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Log" sheetId="2" state="visible" r:id="rId2"/>
    <sheet xmlns:r="http://schemas.openxmlformats.org/officeDocument/2006/relationships" name="Master" sheetId="3" state="visible" r:id="rId3"/>
    <sheet xmlns:r="http://schemas.openxmlformats.org/officeDocument/2006/relationships" name="Rekap" sheetId="4" state="visible" r:id="rId4"/>
  </sheets>
  <definedNames>
    <definedName name="ListShift">Master!$A$2:$A$3</definedName>
    <definedName name="ListModel">Master!$B$2:$B$5</definedName>
    <definedName name="ListStasiun">Master!$C$2:$C$4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A73E8"/>
      </patternFill>
    </fill>
    <fill>
      <patternFill patternType="solid">
        <fgColor rgb="00FFFFFF"/>
      </patternFill>
    </fill>
    <fill>
      <patternFill patternType="solid">
        <fgColor rgb="00E8EAED"/>
      </patternFill>
    </fill>
  </fills>
  <borders count="2">
    <border>
      <left/>
      <right/>
      <top/>
      <bottom/>
      <diagonal/>
    </border>
    <border>
      <left style="thin">
        <color rgb="009AA0A6"/>
      </left>
      <right style="thin">
        <color rgb="009AA0A6"/>
      </right>
      <top style="thin">
        <color rgb="009AA0A6"/>
      </top>
      <bottom style="thin">
        <color rgb="009AA0A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0" applyAlignment="1" pivotButton="0" quotePrefix="0" xfId="0">
      <alignment horizontal="center"/>
    </xf>
    <xf numFmtId="164" fontId="0" fillId="3" borderId="1" applyProtection="1" pivotButton="0" quotePrefix="0" xfId="0">
      <protection locked="0" hidden="0"/>
    </xf>
    <xf numFmtId="0" fontId="0" fillId="3" borderId="1" applyProtection="1" pivotButton="0" quotePrefix="0" xfId="0">
      <protection locked="0" hidden="0"/>
    </xf>
    <xf numFmtId="0" fontId="0" fillId="4" borderId="1" pivotButton="0" quotePrefix="0" xfId="0"/>
    <xf numFmtId="0" fontId="3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dxfs count="1">
    <dxf>
      <font>
        <b val="1"/>
        <color rgb="00B3261E"/>
      </font>
      <fill>
        <patternFill patternType="solid">
          <fgColor rgb="00F4B6B0"/>
          <bgColor rgb="00F4B6B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Rework Log Template (Project 19, data simulasi)</t>
        </is>
      </c>
    </row>
    <row r="2">
      <c r="A2" s="2" t="inlineStr">
        <is>
          <t>Isi hanya sel putih bergaris biru (Tanggal, Shift, Model, Stasiun Asal, Qty Diterima, Qty OK, Qty Scrap). Sel abu-abu adalah rumus dan terkunci.</t>
        </is>
      </c>
    </row>
    <row r="3">
      <c r="A3" s="2" t="inlineStr">
        <is>
          <t>Batch, Sisa Awal, Sisa dihitung otomatis. Sisa Awal = Sisa terakhir model dan stasiun yang sama (saldo awal di sheet Master bila belum ada).</t>
        </is>
      </c>
    </row>
    <row r="4">
      <c r="A4" s="2" t="inlineStr">
        <is>
          <t>Kolom Cek: ABNORMAL bila OK + Scrap melebihi Sisa Awal + Diterima; DUPLIKAT bila kunci tanggal, shift, model, stasiun sama; LENGKAPI bila ada isian wajib kosong.</t>
        </is>
      </c>
    </row>
    <row r="5">
      <c r="A5" s="2" t="inlineStr">
        <is>
          <t>Dropdown dan validasi angka (bilangan bulat &gt;= 0) memblokir ketikan langsung. Salin-tempel dapat melewati validasi, jadi kolom Cek tetap dipantau.</t>
        </is>
      </c>
    </row>
    <row r="6">
      <c r="A6" s="2" t="inlineStr">
        <is>
          <t>Proteksi sheet berkata sandi 'rework' mencegah timpa tidak sengaja, bukan keamanan penuh. Admin: Review &gt; Unprotect Sheet.</t>
        </is>
      </c>
    </row>
    <row r="7">
      <c r="A7" s="2" t="inlineStr">
        <is>
          <t>Menambah kategori atau mengisi saldo awal bulan pertama: ubah sheet Master (admin). Proteksi struktur workbook diaktifkan manual lewat Review &gt; Protect Workbook.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3" t="inlineStr">
        <is>
          <t>Tanggal</t>
        </is>
      </c>
      <c r="B1" s="3" t="inlineStr">
        <is>
          <t>Shift</t>
        </is>
      </c>
      <c r="C1" s="3" t="inlineStr">
        <is>
          <t>Model</t>
        </is>
      </c>
      <c r="D1" s="3" t="inlineStr">
        <is>
          <t>Stasiun Asal</t>
        </is>
      </c>
      <c r="E1" s="3" t="inlineStr">
        <is>
          <t>Batch</t>
        </is>
      </c>
      <c r="F1" s="3" t="inlineStr">
        <is>
          <t>Sisa Awal</t>
        </is>
      </c>
      <c r="G1" s="3" t="inlineStr">
        <is>
          <t>Qty Diterima</t>
        </is>
      </c>
      <c r="H1" s="3" t="inlineStr">
        <is>
          <t>Qty OK</t>
        </is>
      </c>
      <c r="I1" s="3" t="inlineStr">
        <is>
          <t>Qty Scrap</t>
        </is>
      </c>
      <c r="J1" s="3" t="inlineStr">
        <is>
          <t>Sisa</t>
        </is>
      </c>
      <c r="K1" s="3" t="inlineStr">
        <is>
          <t>Cek</t>
        </is>
      </c>
    </row>
    <row r="2">
      <c r="A2" s="4" t="n"/>
      <c r="B2" s="5" t="n"/>
      <c r="C2" s="5" t="n"/>
      <c r="D2" s="5" t="n"/>
      <c r="E2" s="6">
        <f>IF(A2="","","B"&amp;TEXT(COUNT($A$2:A2),"00000"))</f>
        <v/>
      </c>
      <c r="F2" s="6">
        <f>IF(OR(C2="",D2=""),"",IFERROR(LOOKUP(2,1/(($C$1:C1=C2)*($D$1:D1=D2)*ISNUMBER($J$1:J1)),$J$1:J1),SUMIFS(Master!$G$2:$G$13,Master!$E$2:$E$13,C2,Master!$F$2:$F$13,D2)))</f>
        <v/>
      </c>
      <c r="G2" s="5" t="n"/>
      <c r="H2" s="5" t="n"/>
      <c r="I2" s="5" t="n"/>
      <c r="J2" s="6">
        <f>IF(OR(F2="",COUNT(G2:I2)&lt;3),"",F2+G2-H2-I2)</f>
        <v/>
      </c>
      <c r="K2" s="6">
        <f>IF(COUNTA(A2:D2,G2:I2)=0,"",IF(COUNTA(A2:D2,G2:I2)&lt;7,"LENGKAPI",IF(H2+I2&gt;N(F2)+G2,"ABNORMAL",IF(COUNTIFS($A$2:$A$2001,A2,$B$2:$B$2001,B2,$C$2:$C$2001,C2,$D$2:$D$2001,D2)&gt;1,"DUPLIKAT","OK"))))</f>
        <v/>
      </c>
    </row>
    <row r="3">
      <c r="A3" s="4" t="n"/>
      <c r="B3" s="5" t="n"/>
      <c r="C3" s="5" t="n"/>
      <c r="D3" s="5" t="n"/>
      <c r="E3" s="6">
        <f>IF(A3="","","B"&amp;TEXT(COUNT($A$2:A3),"00000"))</f>
        <v/>
      </c>
      <c r="F3" s="6">
        <f>IF(OR(C3="",D3=""),"",IFERROR(LOOKUP(2,1/(($C$1:C2=C3)*($D$1:D2=D3)*ISNUMBER($J$1:J2)),$J$1:J2),SUMIFS(Master!$G$2:$G$13,Master!$E$2:$E$13,C3,Master!$F$2:$F$13,D3)))</f>
        <v/>
      </c>
      <c r="G3" s="5" t="n"/>
      <c r="H3" s="5" t="n"/>
      <c r="I3" s="5" t="n"/>
      <c r="J3" s="6">
        <f>IF(OR(F3="",COUNT(G3:I3)&lt;3),"",F3+G3-H3-I3)</f>
        <v/>
      </c>
      <c r="K3" s="6">
        <f>IF(COUNTA(A3:D3,G3:I3)=0,"",IF(COUNTA(A3:D3,G3:I3)&lt;7,"LENGKAPI",IF(H3+I3&gt;N(F3)+G3,"ABNORMAL",IF(COUNTIFS($A$2:$A$2001,A3,$B$2:$B$2001,B3,$C$2:$C$2001,C3,$D$2:$D$2001,D3)&gt;1,"DUPLIKAT","OK"))))</f>
        <v/>
      </c>
    </row>
    <row r="4">
      <c r="A4" s="4" t="n"/>
      <c r="B4" s="5" t="n"/>
      <c r="C4" s="5" t="n"/>
      <c r="D4" s="5" t="n"/>
      <c r="E4" s="6">
        <f>IF(A4="","","B"&amp;TEXT(COUNT($A$2:A4),"00000"))</f>
        <v/>
      </c>
      <c r="F4" s="6">
        <f>IF(OR(C4="",D4=""),"",IFERROR(LOOKUP(2,1/(($C$1:C3=C4)*($D$1:D3=D4)*ISNUMBER($J$1:J3)),$J$1:J3),SUMIFS(Master!$G$2:$G$13,Master!$E$2:$E$13,C4,Master!$F$2:$F$13,D4)))</f>
        <v/>
      </c>
      <c r="G4" s="5" t="n"/>
      <c r="H4" s="5" t="n"/>
      <c r="I4" s="5" t="n"/>
      <c r="J4" s="6">
        <f>IF(OR(F4="",COUNT(G4:I4)&lt;3),"",F4+G4-H4-I4)</f>
        <v/>
      </c>
      <c r="K4" s="6">
        <f>IF(COUNTA(A4:D4,G4:I4)=0,"",IF(COUNTA(A4:D4,G4:I4)&lt;7,"LENGKAPI",IF(H4+I4&gt;N(F4)+G4,"ABNORMAL",IF(COUNTIFS($A$2:$A$2001,A4,$B$2:$B$2001,B4,$C$2:$C$2001,C4,$D$2:$D$2001,D4)&gt;1,"DUPLIKAT","OK"))))</f>
        <v/>
      </c>
    </row>
    <row r="5">
      <c r="A5" s="4" t="n"/>
      <c r="B5" s="5" t="n"/>
      <c r="C5" s="5" t="n"/>
      <c r="D5" s="5" t="n"/>
      <c r="E5" s="6">
        <f>IF(A5="","","B"&amp;TEXT(COUNT($A$2:A5),"00000"))</f>
        <v/>
      </c>
      <c r="F5" s="6">
        <f>IF(OR(C5="",D5=""),"",IFERROR(LOOKUP(2,1/(($C$1:C4=C5)*($D$1:D4=D5)*ISNUMBER($J$1:J4)),$J$1:J4),SUMIFS(Master!$G$2:$G$13,Master!$E$2:$E$13,C5,Master!$F$2:$F$13,D5)))</f>
        <v/>
      </c>
      <c r="G5" s="5" t="n"/>
      <c r="H5" s="5" t="n"/>
      <c r="I5" s="5" t="n"/>
      <c r="J5" s="6">
        <f>IF(OR(F5="",COUNT(G5:I5)&lt;3),"",F5+G5-H5-I5)</f>
        <v/>
      </c>
      <c r="K5" s="6">
        <f>IF(COUNTA(A5:D5,G5:I5)=0,"",IF(COUNTA(A5:D5,G5:I5)&lt;7,"LENGKAPI",IF(H5+I5&gt;N(F5)+G5,"ABNORMAL",IF(COUNTIFS($A$2:$A$2001,A5,$B$2:$B$2001,B5,$C$2:$C$2001,C5,$D$2:$D$2001,D5)&gt;1,"DUPLIKAT","OK"))))</f>
        <v/>
      </c>
    </row>
    <row r="6">
      <c r="A6" s="4" t="n"/>
      <c r="B6" s="5" t="n"/>
      <c r="C6" s="5" t="n"/>
      <c r="D6" s="5" t="n"/>
      <c r="E6" s="6">
        <f>IF(A6="","","B"&amp;TEXT(COUNT($A$2:A6),"00000"))</f>
        <v/>
      </c>
      <c r="F6" s="6">
        <f>IF(OR(C6="",D6=""),"",IFERROR(LOOKUP(2,1/(($C$1:C5=C6)*($D$1:D5=D6)*ISNUMBER($J$1:J5)),$J$1:J5),SUMIFS(Master!$G$2:$G$13,Master!$E$2:$E$13,C6,Master!$F$2:$F$13,D6)))</f>
        <v/>
      </c>
      <c r="G6" s="5" t="n"/>
      <c r="H6" s="5" t="n"/>
      <c r="I6" s="5" t="n"/>
      <c r="J6" s="6">
        <f>IF(OR(F6="",COUNT(G6:I6)&lt;3),"",F6+G6-H6-I6)</f>
        <v/>
      </c>
      <c r="K6" s="6">
        <f>IF(COUNTA(A6:D6,G6:I6)=0,"",IF(COUNTA(A6:D6,G6:I6)&lt;7,"LENGKAPI",IF(H6+I6&gt;N(F6)+G6,"ABNORMAL",IF(COUNTIFS($A$2:$A$2001,A6,$B$2:$B$2001,B6,$C$2:$C$2001,C6,$D$2:$D$2001,D6)&gt;1,"DUPLIKAT","OK"))))</f>
        <v/>
      </c>
    </row>
    <row r="7">
      <c r="A7" s="4" t="n"/>
      <c r="B7" s="5" t="n"/>
      <c r="C7" s="5" t="n"/>
      <c r="D7" s="5" t="n"/>
      <c r="E7" s="6">
        <f>IF(A7="","","B"&amp;TEXT(COUNT($A$2:A7),"00000"))</f>
        <v/>
      </c>
      <c r="F7" s="6">
        <f>IF(OR(C7="",D7=""),"",IFERROR(LOOKUP(2,1/(($C$1:C6=C7)*($D$1:D6=D7)*ISNUMBER($J$1:J6)),$J$1:J6),SUMIFS(Master!$G$2:$G$13,Master!$E$2:$E$13,C7,Master!$F$2:$F$13,D7)))</f>
        <v/>
      </c>
      <c r="G7" s="5" t="n"/>
      <c r="H7" s="5" t="n"/>
      <c r="I7" s="5" t="n"/>
      <c r="J7" s="6">
        <f>IF(OR(F7="",COUNT(G7:I7)&lt;3),"",F7+G7-H7-I7)</f>
        <v/>
      </c>
      <c r="K7" s="6">
        <f>IF(COUNTA(A7:D7,G7:I7)=0,"",IF(COUNTA(A7:D7,G7:I7)&lt;7,"LENGKAPI",IF(H7+I7&gt;N(F7)+G7,"ABNORMAL",IF(COUNTIFS($A$2:$A$2001,A7,$B$2:$B$2001,B7,$C$2:$C$2001,C7,$D$2:$D$2001,D7)&gt;1,"DUPLIKAT","OK"))))</f>
        <v/>
      </c>
    </row>
    <row r="8">
      <c r="A8" s="4" t="n"/>
      <c r="B8" s="5" t="n"/>
      <c r="C8" s="5" t="n"/>
      <c r="D8" s="5" t="n"/>
      <c r="E8" s="6">
        <f>IF(A8="","","B"&amp;TEXT(COUNT($A$2:A8),"00000"))</f>
        <v/>
      </c>
      <c r="F8" s="6">
        <f>IF(OR(C8="",D8=""),"",IFERROR(LOOKUP(2,1/(($C$1:C7=C8)*($D$1:D7=D8)*ISNUMBER($J$1:J7)),$J$1:J7),SUMIFS(Master!$G$2:$G$13,Master!$E$2:$E$13,C8,Master!$F$2:$F$13,D8)))</f>
        <v/>
      </c>
      <c r="G8" s="5" t="n"/>
      <c r="H8" s="5" t="n"/>
      <c r="I8" s="5" t="n"/>
      <c r="J8" s="6">
        <f>IF(OR(F8="",COUNT(G8:I8)&lt;3),"",F8+G8-H8-I8)</f>
        <v/>
      </c>
      <c r="K8" s="6">
        <f>IF(COUNTA(A8:D8,G8:I8)=0,"",IF(COUNTA(A8:D8,G8:I8)&lt;7,"LENGKAPI",IF(H8+I8&gt;N(F8)+G8,"ABNORMAL",IF(COUNTIFS($A$2:$A$2001,A8,$B$2:$B$2001,B8,$C$2:$C$2001,C8,$D$2:$D$2001,D8)&gt;1,"DUPLIKAT","OK"))))</f>
        <v/>
      </c>
    </row>
    <row r="9">
      <c r="A9" s="4" t="n"/>
      <c r="B9" s="5" t="n"/>
      <c r="C9" s="5" t="n"/>
      <c r="D9" s="5" t="n"/>
      <c r="E9" s="6">
        <f>IF(A9="","","B"&amp;TEXT(COUNT($A$2:A9),"00000"))</f>
        <v/>
      </c>
      <c r="F9" s="6">
        <f>IF(OR(C9="",D9=""),"",IFERROR(LOOKUP(2,1/(($C$1:C8=C9)*($D$1:D8=D9)*ISNUMBER($J$1:J8)),$J$1:J8),SUMIFS(Master!$G$2:$G$13,Master!$E$2:$E$13,C9,Master!$F$2:$F$13,D9)))</f>
        <v/>
      </c>
      <c r="G9" s="5" t="n"/>
      <c r="H9" s="5" t="n"/>
      <c r="I9" s="5" t="n"/>
      <c r="J9" s="6">
        <f>IF(OR(F9="",COUNT(G9:I9)&lt;3),"",F9+G9-H9-I9)</f>
        <v/>
      </c>
      <c r="K9" s="6">
        <f>IF(COUNTA(A9:D9,G9:I9)=0,"",IF(COUNTA(A9:D9,G9:I9)&lt;7,"LENGKAPI",IF(H9+I9&gt;N(F9)+G9,"ABNORMAL",IF(COUNTIFS($A$2:$A$2001,A9,$B$2:$B$2001,B9,$C$2:$C$2001,C9,$D$2:$D$2001,D9)&gt;1,"DUPLIKAT","OK"))))</f>
        <v/>
      </c>
    </row>
    <row r="10">
      <c r="A10" s="4" t="n"/>
      <c r="B10" s="5" t="n"/>
      <c r="C10" s="5" t="n"/>
      <c r="D10" s="5" t="n"/>
      <c r="E10" s="6">
        <f>IF(A10="","","B"&amp;TEXT(COUNT($A$2:A10),"00000"))</f>
        <v/>
      </c>
      <c r="F10" s="6">
        <f>IF(OR(C10="",D10=""),"",IFERROR(LOOKUP(2,1/(($C$1:C9=C10)*($D$1:D9=D10)*ISNUMBER($J$1:J9)),$J$1:J9),SUMIFS(Master!$G$2:$G$13,Master!$E$2:$E$13,C10,Master!$F$2:$F$13,D10)))</f>
        <v/>
      </c>
      <c r="G10" s="5" t="n"/>
      <c r="H10" s="5" t="n"/>
      <c r="I10" s="5" t="n"/>
      <c r="J10" s="6">
        <f>IF(OR(F10="",COUNT(G10:I10)&lt;3),"",F10+G10-H10-I10)</f>
        <v/>
      </c>
      <c r="K10" s="6">
        <f>IF(COUNTA(A10:D10,G10:I10)=0,"",IF(COUNTA(A10:D10,G10:I10)&lt;7,"LENGKAPI",IF(H10+I10&gt;N(F10)+G10,"ABNORMAL",IF(COUNTIFS($A$2:$A$2001,A10,$B$2:$B$2001,B10,$C$2:$C$2001,C10,$D$2:$D$2001,D10)&gt;1,"DUPLIKAT","OK"))))</f>
        <v/>
      </c>
    </row>
    <row r="11">
      <c r="A11" s="4" t="n"/>
      <c r="B11" s="5" t="n"/>
      <c r="C11" s="5" t="n"/>
      <c r="D11" s="5" t="n"/>
      <c r="E11" s="6">
        <f>IF(A11="","","B"&amp;TEXT(COUNT($A$2:A11),"00000"))</f>
        <v/>
      </c>
      <c r="F11" s="6">
        <f>IF(OR(C11="",D11=""),"",IFERROR(LOOKUP(2,1/(($C$1:C10=C11)*($D$1:D10=D11)*ISNUMBER($J$1:J10)),$J$1:J10),SUMIFS(Master!$G$2:$G$13,Master!$E$2:$E$13,C11,Master!$F$2:$F$13,D11)))</f>
        <v/>
      </c>
      <c r="G11" s="5" t="n"/>
      <c r="H11" s="5" t="n"/>
      <c r="I11" s="5" t="n"/>
      <c r="J11" s="6">
        <f>IF(OR(F11="",COUNT(G11:I11)&lt;3),"",F11+G11-H11-I11)</f>
        <v/>
      </c>
      <c r="K11" s="6">
        <f>IF(COUNTA(A11:D11,G11:I11)=0,"",IF(COUNTA(A11:D11,G11:I11)&lt;7,"LENGKAPI",IF(H11+I11&gt;N(F11)+G11,"ABNORMAL",IF(COUNTIFS($A$2:$A$2001,A11,$B$2:$B$2001,B11,$C$2:$C$2001,C11,$D$2:$D$2001,D11)&gt;1,"DUPLIKAT","OK"))))</f>
        <v/>
      </c>
    </row>
    <row r="12">
      <c r="A12" s="4" t="n"/>
      <c r="B12" s="5" t="n"/>
      <c r="C12" s="5" t="n"/>
      <c r="D12" s="5" t="n"/>
      <c r="E12" s="6">
        <f>IF(A12="","","B"&amp;TEXT(COUNT($A$2:A12),"00000"))</f>
        <v/>
      </c>
      <c r="F12" s="6">
        <f>IF(OR(C12="",D12=""),"",IFERROR(LOOKUP(2,1/(($C$1:C11=C12)*($D$1:D11=D12)*ISNUMBER($J$1:J11)),$J$1:J11),SUMIFS(Master!$G$2:$G$13,Master!$E$2:$E$13,C12,Master!$F$2:$F$13,D12)))</f>
        <v/>
      </c>
      <c r="G12" s="5" t="n"/>
      <c r="H12" s="5" t="n"/>
      <c r="I12" s="5" t="n"/>
      <c r="J12" s="6">
        <f>IF(OR(F12="",COUNT(G12:I12)&lt;3),"",F12+G12-H12-I12)</f>
        <v/>
      </c>
      <c r="K12" s="6">
        <f>IF(COUNTA(A12:D12,G12:I12)=0,"",IF(COUNTA(A12:D12,G12:I12)&lt;7,"LENGKAPI",IF(H12+I12&gt;N(F12)+G12,"ABNORMAL",IF(COUNTIFS($A$2:$A$2001,A12,$B$2:$B$2001,B12,$C$2:$C$2001,C12,$D$2:$D$2001,D12)&gt;1,"DUPLIKAT","OK"))))</f>
        <v/>
      </c>
    </row>
    <row r="13">
      <c r="A13" s="4" t="n"/>
      <c r="B13" s="5" t="n"/>
      <c r="C13" s="5" t="n"/>
      <c r="D13" s="5" t="n"/>
      <c r="E13" s="6">
        <f>IF(A13="","","B"&amp;TEXT(COUNT($A$2:A13),"00000"))</f>
        <v/>
      </c>
      <c r="F13" s="6">
        <f>IF(OR(C13="",D13=""),"",IFERROR(LOOKUP(2,1/(($C$1:C12=C13)*($D$1:D12=D13)*ISNUMBER($J$1:J12)),$J$1:J12),SUMIFS(Master!$G$2:$G$13,Master!$E$2:$E$13,C13,Master!$F$2:$F$13,D13)))</f>
        <v/>
      </c>
      <c r="G13" s="5" t="n"/>
      <c r="H13" s="5" t="n"/>
      <c r="I13" s="5" t="n"/>
      <c r="J13" s="6">
        <f>IF(OR(F13="",COUNT(G13:I13)&lt;3),"",F13+G13-H13-I13)</f>
        <v/>
      </c>
      <c r="K13" s="6">
        <f>IF(COUNTA(A13:D13,G13:I13)=0,"",IF(COUNTA(A13:D13,G13:I13)&lt;7,"LENGKAPI",IF(H13+I13&gt;N(F13)+G13,"ABNORMAL",IF(COUNTIFS($A$2:$A$2001,A13,$B$2:$B$2001,B13,$C$2:$C$2001,C13,$D$2:$D$2001,D13)&gt;1,"DUPLIKAT","OK"))))</f>
        <v/>
      </c>
    </row>
    <row r="14">
      <c r="A14" s="4" t="n"/>
      <c r="B14" s="5" t="n"/>
      <c r="C14" s="5" t="n"/>
      <c r="D14" s="5" t="n"/>
      <c r="E14" s="6">
        <f>IF(A14="","","B"&amp;TEXT(COUNT($A$2:A14),"00000"))</f>
        <v/>
      </c>
      <c r="F14" s="6">
        <f>IF(OR(C14="",D14=""),"",IFERROR(LOOKUP(2,1/(($C$1:C13=C14)*($D$1:D13=D14)*ISNUMBER($J$1:J13)),$J$1:J13),SUMIFS(Master!$G$2:$G$13,Master!$E$2:$E$13,C14,Master!$F$2:$F$13,D14)))</f>
        <v/>
      </c>
      <c r="G14" s="5" t="n"/>
      <c r="H14" s="5" t="n"/>
      <c r="I14" s="5" t="n"/>
      <c r="J14" s="6">
        <f>IF(OR(F14="",COUNT(G14:I14)&lt;3),"",F14+G14-H14-I14)</f>
        <v/>
      </c>
      <c r="K14" s="6">
        <f>IF(COUNTA(A14:D14,G14:I14)=0,"",IF(COUNTA(A14:D14,G14:I14)&lt;7,"LENGKAPI",IF(H14+I14&gt;N(F14)+G14,"ABNORMAL",IF(COUNTIFS($A$2:$A$2001,A14,$B$2:$B$2001,B14,$C$2:$C$2001,C14,$D$2:$D$2001,D14)&gt;1,"DUPLIKAT","OK"))))</f>
        <v/>
      </c>
    </row>
    <row r="15">
      <c r="A15" s="4" t="n"/>
      <c r="B15" s="5" t="n"/>
      <c r="C15" s="5" t="n"/>
      <c r="D15" s="5" t="n"/>
      <c r="E15" s="6">
        <f>IF(A15="","","B"&amp;TEXT(COUNT($A$2:A15),"00000"))</f>
        <v/>
      </c>
      <c r="F15" s="6">
        <f>IF(OR(C15="",D15=""),"",IFERROR(LOOKUP(2,1/(($C$1:C14=C15)*($D$1:D14=D15)*ISNUMBER($J$1:J14)),$J$1:J14),SUMIFS(Master!$G$2:$G$13,Master!$E$2:$E$13,C15,Master!$F$2:$F$13,D15)))</f>
        <v/>
      </c>
      <c r="G15" s="5" t="n"/>
      <c r="H15" s="5" t="n"/>
      <c r="I15" s="5" t="n"/>
      <c r="J15" s="6">
        <f>IF(OR(F15="",COUNT(G15:I15)&lt;3),"",F15+G15-H15-I15)</f>
        <v/>
      </c>
      <c r="K15" s="6">
        <f>IF(COUNTA(A15:D15,G15:I15)=0,"",IF(COUNTA(A15:D15,G15:I15)&lt;7,"LENGKAPI",IF(H15+I15&gt;N(F15)+G15,"ABNORMAL",IF(COUNTIFS($A$2:$A$2001,A15,$B$2:$B$2001,B15,$C$2:$C$2001,C15,$D$2:$D$2001,D15)&gt;1,"DUPLIKAT","OK"))))</f>
        <v/>
      </c>
    </row>
    <row r="16">
      <c r="A16" s="4" t="n"/>
      <c r="B16" s="5" t="n"/>
      <c r="C16" s="5" t="n"/>
      <c r="D16" s="5" t="n"/>
      <c r="E16" s="6">
        <f>IF(A16="","","B"&amp;TEXT(COUNT($A$2:A16),"00000"))</f>
        <v/>
      </c>
      <c r="F16" s="6">
        <f>IF(OR(C16="",D16=""),"",IFERROR(LOOKUP(2,1/(($C$1:C15=C16)*($D$1:D15=D16)*ISNUMBER($J$1:J15)),$J$1:J15),SUMIFS(Master!$G$2:$G$13,Master!$E$2:$E$13,C16,Master!$F$2:$F$13,D16)))</f>
        <v/>
      </c>
      <c r="G16" s="5" t="n"/>
      <c r="H16" s="5" t="n"/>
      <c r="I16" s="5" t="n"/>
      <c r="J16" s="6">
        <f>IF(OR(F16="",COUNT(G16:I16)&lt;3),"",F16+G16-H16-I16)</f>
        <v/>
      </c>
      <c r="K16" s="6">
        <f>IF(COUNTA(A16:D16,G16:I16)=0,"",IF(COUNTA(A16:D16,G16:I16)&lt;7,"LENGKAPI",IF(H16+I16&gt;N(F16)+G16,"ABNORMAL",IF(COUNTIFS($A$2:$A$2001,A16,$B$2:$B$2001,B16,$C$2:$C$2001,C16,$D$2:$D$2001,D16)&gt;1,"DUPLIKAT","OK"))))</f>
        <v/>
      </c>
    </row>
    <row r="17">
      <c r="A17" s="4" t="n"/>
      <c r="B17" s="5" t="n"/>
      <c r="C17" s="5" t="n"/>
      <c r="D17" s="5" t="n"/>
      <c r="E17" s="6">
        <f>IF(A17="","","B"&amp;TEXT(COUNT($A$2:A17),"00000"))</f>
        <v/>
      </c>
      <c r="F17" s="6">
        <f>IF(OR(C17="",D17=""),"",IFERROR(LOOKUP(2,1/(($C$1:C16=C17)*($D$1:D16=D17)*ISNUMBER($J$1:J16)),$J$1:J16),SUMIFS(Master!$G$2:$G$13,Master!$E$2:$E$13,C17,Master!$F$2:$F$13,D17)))</f>
        <v/>
      </c>
      <c r="G17" s="5" t="n"/>
      <c r="H17" s="5" t="n"/>
      <c r="I17" s="5" t="n"/>
      <c r="J17" s="6">
        <f>IF(OR(F17="",COUNT(G17:I17)&lt;3),"",F17+G17-H17-I17)</f>
        <v/>
      </c>
      <c r="K17" s="6">
        <f>IF(COUNTA(A17:D17,G17:I17)=0,"",IF(COUNTA(A17:D17,G17:I17)&lt;7,"LENGKAPI",IF(H17+I17&gt;N(F17)+G17,"ABNORMAL",IF(COUNTIFS($A$2:$A$2001,A17,$B$2:$B$2001,B17,$C$2:$C$2001,C17,$D$2:$D$2001,D17)&gt;1,"DUPLIKAT","OK"))))</f>
        <v/>
      </c>
    </row>
    <row r="18">
      <c r="A18" s="4" t="n"/>
      <c r="B18" s="5" t="n"/>
      <c r="C18" s="5" t="n"/>
      <c r="D18" s="5" t="n"/>
      <c r="E18" s="6">
        <f>IF(A18="","","B"&amp;TEXT(COUNT($A$2:A18),"00000"))</f>
        <v/>
      </c>
      <c r="F18" s="6">
        <f>IF(OR(C18="",D18=""),"",IFERROR(LOOKUP(2,1/(($C$1:C17=C18)*($D$1:D17=D18)*ISNUMBER($J$1:J17)),$J$1:J17),SUMIFS(Master!$G$2:$G$13,Master!$E$2:$E$13,C18,Master!$F$2:$F$13,D18)))</f>
        <v/>
      </c>
      <c r="G18" s="5" t="n"/>
      <c r="H18" s="5" t="n"/>
      <c r="I18" s="5" t="n"/>
      <c r="J18" s="6">
        <f>IF(OR(F18="",COUNT(G18:I18)&lt;3),"",F18+G18-H18-I18)</f>
        <v/>
      </c>
      <c r="K18" s="6">
        <f>IF(COUNTA(A18:D18,G18:I18)=0,"",IF(COUNTA(A18:D18,G18:I18)&lt;7,"LENGKAPI",IF(H18+I18&gt;N(F18)+G18,"ABNORMAL",IF(COUNTIFS($A$2:$A$2001,A18,$B$2:$B$2001,B18,$C$2:$C$2001,C18,$D$2:$D$2001,D18)&gt;1,"DUPLIKAT","OK"))))</f>
        <v/>
      </c>
    </row>
    <row r="19">
      <c r="A19" s="4" t="n"/>
      <c r="B19" s="5" t="n"/>
      <c r="C19" s="5" t="n"/>
      <c r="D19" s="5" t="n"/>
      <c r="E19" s="6">
        <f>IF(A19="","","B"&amp;TEXT(COUNT($A$2:A19),"00000"))</f>
        <v/>
      </c>
      <c r="F19" s="6">
        <f>IF(OR(C19="",D19=""),"",IFERROR(LOOKUP(2,1/(($C$1:C18=C19)*($D$1:D18=D19)*ISNUMBER($J$1:J18)),$J$1:J18),SUMIFS(Master!$G$2:$G$13,Master!$E$2:$E$13,C19,Master!$F$2:$F$13,D19)))</f>
        <v/>
      </c>
      <c r="G19" s="5" t="n"/>
      <c r="H19" s="5" t="n"/>
      <c r="I19" s="5" t="n"/>
      <c r="J19" s="6">
        <f>IF(OR(F19="",COUNT(G19:I19)&lt;3),"",F19+G19-H19-I19)</f>
        <v/>
      </c>
      <c r="K19" s="6">
        <f>IF(COUNTA(A19:D19,G19:I19)=0,"",IF(COUNTA(A19:D19,G19:I19)&lt;7,"LENGKAPI",IF(H19+I19&gt;N(F19)+G19,"ABNORMAL",IF(COUNTIFS($A$2:$A$2001,A19,$B$2:$B$2001,B19,$C$2:$C$2001,C19,$D$2:$D$2001,D19)&gt;1,"DUPLIKAT","OK"))))</f>
        <v/>
      </c>
    </row>
    <row r="20">
      <c r="A20" s="4" t="n"/>
      <c r="B20" s="5" t="n"/>
      <c r="C20" s="5" t="n"/>
      <c r="D20" s="5" t="n"/>
      <c r="E20" s="6">
        <f>IF(A20="","","B"&amp;TEXT(COUNT($A$2:A20),"00000"))</f>
        <v/>
      </c>
      <c r="F20" s="6">
        <f>IF(OR(C20="",D20=""),"",IFERROR(LOOKUP(2,1/(($C$1:C19=C20)*($D$1:D19=D20)*ISNUMBER($J$1:J19)),$J$1:J19),SUMIFS(Master!$G$2:$G$13,Master!$E$2:$E$13,C20,Master!$F$2:$F$13,D20)))</f>
        <v/>
      </c>
      <c r="G20" s="5" t="n"/>
      <c r="H20" s="5" t="n"/>
      <c r="I20" s="5" t="n"/>
      <c r="J20" s="6">
        <f>IF(OR(F20="",COUNT(G20:I20)&lt;3),"",F20+G20-H20-I20)</f>
        <v/>
      </c>
      <c r="K20" s="6">
        <f>IF(COUNTA(A20:D20,G20:I20)=0,"",IF(COUNTA(A20:D20,G20:I20)&lt;7,"LENGKAPI",IF(H20+I20&gt;N(F20)+G20,"ABNORMAL",IF(COUNTIFS($A$2:$A$2001,A20,$B$2:$B$2001,B20,$C$2:$C$2001,C20,$D$2:$D$2001,D20)&gt;1,"DUPLIKAT","OK"))))</f>
        <v/>
      </c>
    </row>
    <row r="21">
      <c r="A21" s="4" t="n"/>
      <c r="B21" s="5" t="n"/>
      <c r="C21" s="5" t="n"/>
      <c r="D21" s="5" t="n"/>
      <c r="E21" s="6">
        <f>IF(A21="","","B"&amp;TEXT(COUNT($A$2:A21),"00000"))</f>
        <v/>
      </c>
      <c r="F21" s="6">
        <f>IF(OR(C21="",D21=""),"",IFERROR(LOOKUP(2,1/(($C$1:C20=C21)*($D$1:D20=D21)*ISNUMBER($J$1:J20)),$J$1:J20),SUMIFS(Master!$G$2:$G$13,Master!$E$2:$E$13,C21,Master!$F$2:$F$13,D21)))</f>
        <v/>
      </c>
      <c r="G21" s="5" t="n"/>
      <c r="H21" s="5" t="n"/>
      <c r="I21" s="5" t="n"/>
      <c r="J21" s="6">
        <f>IF(OR(F21="",COUNT(G21:I21)&lt;3),"",F21+G21-H21-I21)</f>
        <v/>
      </c>
      <c r="K21" s="6">
        <f>IF(COUNTA(A21:D21,G21:I21)=0,"",IF(COUNTA(A21:D21,G21:I21)&lt;7,"LENGKAPI",IF(H21+I21&gt;N(F21)+G21,"ABNORMAL",IF(COUNTIFS($A$2:$A$2001,A21,$B$2:$B$2001,B21,$C$2:$C$2001,C21,$D$2:$D$2001,D21)&gt;1,"DUPLIKAT","OK"))))</f>
        <v/>
      </c>
    </row>
    <row r="22">
      <c r="A22" s="4" t="n"/>
      <c r="B22" s="5" t="n"/>
      <c r="C22" s="5" t="n"/>
      <c r="D22" s="5" t="n"/>
      <c r="E22" s="6">
        <f>IF(A22="","","B"&amp;TEXT(COUNT($A$2:A22),"00000"))</f>
        <v/>
      </c>
      <c r="F22" s="6">
        <f>IF(OR(C22="",D22=""),"",IFERROR(LOOKUP(2,1/(($C$1:C21=C22)*($D$1:D21=D22)*ISNUMBER($J$1:J21)),$J$1:J21),SUMIFS(Master!$G$2:$G$13,Master!$E$2:$E$13,C22,Master!$F$2:$F$13,D22)))</f>
        <v/>
      </c>
      <c r="G22" s="5" t="n"/>
      <c r="H22" s="5" t="n"/>
      <c r="I22" s="5" t="n"/>
      <c r="J22" s="6">
        <f>IF(OR(F22="",COUNT(G22:I22)&lt;3),"",F22+G22-H22-I22)</f>
        <v/>
      </c>
      <c r="K22" s="6">
        <f>IF(COUNTA(A22:D22,G22:I22)=0,"",IF(COUNTA(A22:D22,G22:I22)&lt;7,"LENGKAPI",IF(H22+I22&gt;N(F22)+G22,"ABNORMAL",IF(COUNTIFS($A$2:$A$2001,A22,$B$2:$B$2001,B22,$C$2:$C$2001,C22,$D$2:$D$2001,D22)&gt;1,"DUPLIKAT","OK"))))</f>
        <v/>
      </c>
    </row>
    <row r="23">
      <c r="A23" s="4" t="n"/>
      <c r="B23" s="5" t="n"/>
      <c r="C23" s="5" t="n"/>
      <c r="D23" s="5" t="n"/>
      <c r="E23" s="6">
        <f>IF(A23="","","B"&amp;TEXT(COUNT($A$2:A23),"00000"))</f>
        <v/>
      </c>
      <c r="F23" s="6">
        <f>IF(OR(C23="",D23=""),"",IFERROR(LOOKUP(2,1/(($C$1:C22=C23)*($D$1:D22=D23)*ISNUMBER($J$1:J22)),$J$1:J22),SUMIFS(Master!$G$2:$G$13,Master!$E$2:$E$13,C23,Master!$F$2:$F$13,D23)))</f>
        <v/>
      </c>
      <c r="G23" s="5" t="n"/>
      <c r="H23" s="5" t="n"/>
      <c r="I23" s="5" t="n"/>
      <c r="J23" s="6">
        <f>IF(OR(F23="",COUNT(G23:I23)&lt;3),"",F23+G23-H23-I23)</f>
        <v/>
      </c>
      <c r="K23" s="6">
        <f>IF(COUNTA(A23:D23,G23:I23)=0,"",IF(COUNTA(A23:D23,G23:I23)&lt;7,"LENGKAPI",IF(H23+I23&gt;N(F23)+G23,"ABNORMAL",IF(COUNTIFS($A$2:$A$2001,A23,$B$2:$B$2001,B23,$C$2:$C$2001,C23,$D$2:$D$2001,D23)&gt;1,"DUPLIKAT","OK"))))</f>
        <v/>
      </c>
    </row>
    <row r="24">
      <c r="A24" s="4" t="n"/>
      <c r="B24" s="5" t="n"/>
      <c r="C24" s="5" t="n"/>
      <c r="D24" s="5" t="n"/>
      <c r="E24" s="6">
        <f>IF(A24="","","B"&amp;TEXT(COUNT($A$2:A24),"00000"))</f>
        <v/>
      </c>
      <c r="F24" s="6">
        <f>IF(OR(C24="",D24=""),"",IFERROR(LOOKUP(2,1/(($C$1:C23=C24)*($D$1:D23=D24)*ISNUMBER($J$1:J23)),$J$1:J23),SUMIFS(Master!$G$2:$G$13,Master!$E$2:$E$13,C24,Master!$F$2:$F$13,D24)))</f>
        <v/>
      </c>
      <c r="G24" s="5" t="n"/>
      <c r="H24" s="5" t="n"/>
      <c r="I24" s="5" t="n"/>
      <c r="J24" s="6">
        <f>IF(OR(F24="",COUNT(G24:I24)&lt;3),"",F24+G24-H24-I24)</f>
        <v/>
      </c>
      <c r="K24" s="6">
        <f>IF(COUNTA(A24:D24,G24:I24)=0,"",IF(COUNTA(A24:D24,G24:I24)&lt;7,"LENGKAPI",IF(H24+I24&gt;N(F24)+G24,"ABNORMAL",IF(COUNTIFS($A$2:$A$2001,A24,$B$2:$B$2001,B24,$C$2:$C$2001,C24,$D$2:$D$2001,D24)&gt;1,"DUPLIKAT","OK"))))</f>
        <v/>
      </c>
    </row>
    <row r="25">
      <c r="A25" s="4" t="n"/>
      <c r="B25" s="5" t="n"/>
      <c r="C25" s="5" t="n"/>
      <c r="D25" s="5" t="n"/>
      <c r="E25" s="6">
        <f>IF(A25="","","B"&amp;TEXT(COUNT($A$2:A25),"00000"))</f>
        <v/>
      </c>
      <c r="F25" s="6">
        <f>IF(OR(C25="",D25=""),"",IFERROR(LOOKUP(2,1/(($C$1:C24=C25)*($D$1:D24=D25)*ISNUMBER($J$1:J24)),$J$1:J24),SUMIFS(Master!$G$2:$G$13,Master!$E$2:$E$13,C25,Master!$F$2:$F$13,D25)))</f>
        <v/>
      </c>
      <c r="G25" s="5" t="n"/>
      <c r="H25" s="5" t="n"/>
      <c r="I25" s="5" t="n"/>
      <c r="J25" s="6">
        <f>IF(OR(F25="",COUNT(G25:I25)&lt;3),"",F25+G25-H25-I25)</f>
        <v/>
      </c>
      <c r="K25" s="6">
        <f>IF(COUNTA(A25:D25,G25:I25)=0,"",IF(COUNTA(A25:D25,G25:I25)&lt;7,"LENGKAPI",IF(H25+I25&gt;N(F25)+G25,"ABNORMAL",IF(COUNTIFS($A$2:$A$2001,A25,$B$2:$B$2001,B25,$C$2:$C$2001,C25,$D$2:$D$2001,D25)&gt;1,"DUPLIKAT","OK"))))</f>
        <v/>
      </c>
    </row>
    <row r="26">
      <c r="A26" s="4" t="n"/>
      <c r="B26" s="5" t="n"/>
      <c r="C26" s="5" t="n"/>
      <c r="D26" s="5" t="n"/>
      <c r="E26" s="6">
        <f>IF(A26="","","B"&amp;TEXT(COUNT($A$2:A26),"00000"))</f>
        <v/>
      </c>
      <c r="F26" s="6">
        <f>IF(OR(C26="",D26=""),"",IFERROR(LOOKUP(2,1/(($C$1:C25=C26)*($D$1:D25=D26)*ISNUMBER($J$1:J25)),$J$1:J25),SUMIFS(Master!$G$2:$G$13,Master!$E$2:$E$13,C26,Master!$F$2:$F$13,D26)))</f>
        <v/>
      </c>
      <c r="G26" s="5" t="n"/>
      <c r="H26" s="5" t="n"/>
      <c r="I26" s="5" t="n"/>
      <c r="J26" s="6">
        <f>IF(OR(F26="",COUNT(G26:I26)&lt;3),"",F26+G26-H26-I26)</f>
        <v/>
      </c>
      <c r="K26" s="6">
        <f>IF(COUNTA(A26:D26,G26:I26)=0,"",IF(COUNTA(A26:D26,G26:I26)&lt;7,"LENGKAPI",IF(H26+I26&gt;N(F26)+G26,"ABNORMAL",IF(COUNTIFS($A$2:$A$2001,A26,$B$2:$B$2001,B26,$C$2:$C$2001,C26,$D$2:$D$2001,D26)&gt;1,"DUPLIKAT","OK"))))</f>
        <v/>
      </c>
    </row>
    <row r="27">
      <c r="A27" s="4" t="n"/>
      <c r="B27" s="5" t="n"/>
      <c r="C27" s="5" t="n"/>
      <c r="D27" s="5" t="n"/>
      <c r="E27" s="6">
        <f>IF(A27="","","B"&amp;TEXT(COUNT($A$2:A27),"00000"))</f>
        <v/>
      </c>
      <c r="F27" s="6">
        <f>IF(OR(C27="",D27=""),"",IFERROR(LOOKUP(2,1/(($C$1:C26=C27)*($D$1:D26=D27)*ISNUMBER($J$1:J26)),$J$1:J26),SUMIFS(Master!$G$2:$G$13,Master!$E$2:$E$13,C27,Master!$F$2:$F$13,D27)))</f>
        <v/>
      </c>
      <c r="G27" s="5" t="n"/>
      <c r="H27" s="5" t="n"/>
      <c r="I27" s="5" t="n"/>
      <c r="J27" s="6">
        <f>IF(OR(F27="",COUNT(G27:I27)&lt;3),"",F27+G27-H27-I27)</f>
        <v/>
      </c>
      <c r="K27" s="6">
        <f>IF(COUNTA(A27:D27,G27:I27)=0,"",IF(COUNTA(A27:D27,G27:I27)&lt;7,"LENGKAPI",IF(H27+I27&gt;N(F27)+G27,"ABNORMAL",IF(COUNTIFS($A$2:$A$2001,A27,$B$2:$B$2001,B27,$C$2:$C$2001,C27,$D$2:$D$2001,D27)&gt;1,"DUPLIKAT","OK"))))</f>
        <v/>
      </c>
    </row>
    <row r="28">
      <c r="A28" s="4" t="n"/>
      <c r="B28" s="5" t="n"/>
      <c r="C28" s="5" t="n"/>
      <c r="D28" s="5" t="n"/>
      <c r="E28" s="6">
        <f>IF(A28="","","B"&amp;TEXT(COUNT($A$2:A28),"00000"))</f>
        <v/>
      </c>
      <c r="F28" s="6">
        <f>IF(OR(C28="",D28=""),"",IFERROR(LOOKUP(2,1/(($C$1:C27=C28)*($D$1:D27=D28)*ISNUMBER($J$1:J27)),$J$1:J27),SUMIFS(Master!$G$2:$G$13,Master!$E$2:$E$13,C28,Master!$F$2:$F$13,D28)))</f>
        <v/>
      </c>
      <c r="G28" s="5" t="n"/>
      <c r="H28" s="5" t="n"/>
      <c r="I28" s="5" t="n"/>
      <c r="J28" s="6">
        <f>IF(OR(F28="",COUNT(G28:I28)&lt;3),"",F28+G28-H28-I28)</f>
        <v/>
      </c>
      <c r="K28" s="6">
        <f>IF(COUNTA(A28:D28,G28:I28)=0,"",IF(COUNTA(A28:D28,G28:I28)&lt;7,"LENGKAPI",IF(H28+I28&gt;N(F28)+G28,"ABNORMAL",IF(COUNTIFS($A$2:$A$2001,A28,$B$2:$B$2001,B28,$C$2:$C$2001,C28,$D$2:$D$2001,D28)&gt;1,"DUPLIKAT","OK"))))</f>
        <v/>
      </c>
    </row>
    <row r="29">
      <c r="A29" s="4" t="n"/>
      <c r="B29" s="5" t="n"/>
      <c r="C29" s="5" t="n"/>
      <c r="D29" s="5" t="n"/>
      <c r="E29" s="6">
        <f>IF(A29="","","B"&amp;TEXT(COUNT($A$2:A29),"00000"))</f>
        <v/>
      </c>
      <c r="F29" s="6">
        <f>IF(OR(C29="",D29=""),"",IFERROR(LOOKUP(2,1/(($C$1:C28=C29)*($D$1:D28=D29)*ISNUMBER($J$1:J28)),$J$1:J28),SUMIFS(Master!$G$2:$G$13,Master!$E$2:$E$13,C29,Master!$F$2:$F$13,D29)))</f>
        <v/>
      </c>
      <c r="G29" s="5" t="n"/>
      <c r="H29" s="5" t="n"/>
      <c r="I29" s="5" t="n"/>
      <c r="J29" s="6">
        <f>IF(OR(F29="",COUNT(G29:I29)&lt;3),"",F29+G29-H29-I29)</f>
        <v/>
      </c>
      <c r="K29" s="6">
        <f>IF(COUNTA(A29:D29,G29:I29)=0,"",IF(COUNTA(A29:D29,G29:I29)&lt;7,"LENGKAPI",IF(H29+I29&gt;N(F29)+G29,"ABNORMAL",IF(COUNTIFS($A$2:$A$2001,A29,$B$2:$B$2001,B29,$C$2:$C$2001,C29,$D$2:$D$2001,D29)&gt;1,"DUPLIKAT","OK"))))</f>
        <v/>
      </c>
    </row>
    <row r="30">
      <c r="A30" s="4" t="n"/>
      <c r="B30" s="5" t="n"/>
      <c r="C30" s="5" t="n"/>
      <c r="D30" s="5" t="n"/>
      <c r="E30" s="6">
        <f>IF(A30="","","B"&amp;TEXT(COUNT($A$2:A30),"00000"))</f>
        <v/>
      </c>
      <c r="F30" s="6">
        <f>IF(OR(C30="",D30=""),"",IFERROR(LOOKUP(2,1/(($C$1:C29=C30)*($D$1:D29=D30)*ISNUMBER($J$1:J29)),$J$1:J29),SUMIFS(Master!$G$2:$G$13,Master!$E$2:$E$13,C30,Master!$F$2:$F$13,D30)))</f>
        <v/>
      </c>
      <c r="G30" s="5" t="n"/>
      <c r="H30" s="5" t="n"/>
      <c r="I30" s="5" t="n"/>
      <c r="J30" s="6">
        <f>IF(OR(F30="",COUNT(G30:I30)&lt;3),"",F30+G30-H30-I30)</f>
        <v/>
      </c>
      <c r="K30" s="6">
        <f>IF(COUNTA(A30:D30,G30:I30)=0,"",IF(COUNTA(A30:D30,G30:I30)&lt;7,"LENGKAPI",IF(H30+I30&gt;N(F30)+G30,"ABNORMAL",IF(COUNTIFS($A$2:$A$2001,A30,$B$2:$B$2001,B30,$C$2:$C$2001,C30,$D$2:$D$2001,D30)&gt;1,"DUPLIKAT","OK"))))</f>
        <v/>
      </c>
    </row>
    <row r="31">
      <c r="A31" s="4" t="n"/>
      <c r="B31" s="5" t="n"/>
      <c r="C31" s="5" t="n"/>
      <c r="D31" s="5" t="n"/>
      <c r="E31" s="6">
        <f>IF(A31="","","B"&amp;TEXT(COUNT($A$2:A31),"00000"))</f>
        <v/>
      </c>
      <c r="F31" s="6">
        <f>IF(OR(C31="",D31=""),"",IFERROR(LOOKUP(2,1/(($C$1:C30=C31)*($D$1:D30=D31)*ISNUMBER($J$1:J30)),$J$1:J30),SUMIFS(Master!$G$2:$G$13,Master!$E$2:$E$13,C31,Master!$F$2:$F$13,D31)))</f>
        <v/>
      </c>
      <c r="G31" s="5" t="n"/>
      <c r="H31" s="5" t="n"/>
      <c r="I31" s="5" t="n"/>
      <c r="J31" s="6">
        <f>IF(OR(F31="",COUNT(G31:I31)&lt;3),"",F31+G31-H31-I31)</f>
        <v/>
      </c>
      <c r="K31" s="6">
        <f>IF(COUNTA(A31:D31,G31:I31)=0,"",IF(COUNTA(A31:D31,G31:I31)&lt;7,"LENGKAPI",IF(H31+I31&gt;N(F31)+G31,"ABNORMAL",IF(COUNTIFS($A$2:$A$2001,A31,$B$2:$B$2001,B31,$C$2:$C$2001,C31,$D$2:$D$2001,D31)&gt;1,"DUPLIKAT","OK"))))</f>
        <v/>
      </c>
    </row>
    <row r="32">
      <c r="A32" s="4" t="n"/>
      <c r="B32" s="5" t="n"/>
      <c r="C32" s="5" t="n"/>
      <c r="D32" s="5" t="n"/>
      <c r="E32" s="6">
        <f>IF(A32="","","B"&amp;TEXT(COUNT($A$2:A32),"00000"))</f>
        <v/>
      </c>
      <c r="F32" s="6">
        <f>IF(OR(C32="",D32=""),"",IFERROR(LOOKUP(2,1/(($C$1:C31=C32)*($D$1:D31=D32)*ISNUMBER($J$1:J31)),$J$1:J31),SUMIFS(Master!$G$2:$G$13,Master!$E$2:$E$13,C32,Master!$F$2:$F$13,D32)))</f>
        <v/>
      </c>
      <c r="G32" s="5" t="n"/>
      <c r="H32" s="5" t="n"/>
      <c r="I32" s="5" t="n"/>
      <c r="J32" s="6">
        <f>IF(OR(F32="",COUNT(G32:I32)&lt;3),"",F32+G32-H32-I32)</f>
        <v/>
      </c>
      <c r="K32" s="6">
        <f>IF(COUNTA(A32:D32,G32:I32)=0,"",IF(COUNTA(A32:D32,G32:I32)&lt;7,"LENGKAPI",IF(H32+I32&gt;N(F32)+G32,"ABNORMAL",IF(COUNTIFS($A$2:$A$2001,A32,$B$2:$B$2001,B32,$C$2:$C$2001,C32,$D$2:$D$2001,D32)&gt;1,"DUPLIKAT","OK"))))</f>
        <v/>
      </c>
    </row>
    <row r="33">
      <c r="A33" s="4" t="n"/>
      <c r="B33" s="5" t="n"/>
      <c r="C33" s="5" t="n"/>
      <c r="D33" s="5" t="n"/>
      <c r="E33" s="6">
        <f>IF(A33="","","B"&amp;TEXT(COUNT($A$2:A33),"00000"))</f>
        <v/>
      </c>
      <c r="F33" s="6">
        <f>IF(OR(C33="",D33=""),"",IFERROR(LOOKUP(2,1/(($C$1:C32=C33)*($D$1:D32=D33)*ISNUMBER($J$1:J32)),$J$1:J32),SUMIFS(Master!$G$2:$G$13,Master!$E$2:$E$13,C33,Master!$F$2:$F$13,D33)))</f>
        <v/>
      </c>
      <c r="G33" s="5" t="n"/>
      <c r="H33" s="5" t="n"/>
      <c r="I33" s="5" t="n"/>
      <c r="J33" s="6">
        <f>IF(OR(F33="",COUNT(G33:I33)&lt;3),"",F33+G33-H33-I33)</f>
        <v/>
      </c>
      <c r="K33" s="6">
        <f>IF(COUNTA(A33:D33,G33:I33)=0,"",IF(COUNTA(A33:D33,G33:I33)&lt;7,"LENGKAPI",IF(H33+I33&gt;N(F33)+G33,"ABNORMAL",IF(COUNTIFS($A$2:$A$2001,A33,$B$2:$B$2001,B33,$C$2:$C$2001,C33,$D$2:$D$2001,D33)&gt;1,"DUPLIKAT","OK"))))</f>
        <v/>
      </c>
    </row>
    <row r="34">
      <c r="A34" s="4" t="n"/>
      <c r="B34" s="5" t="n"/>
      <c r="C34" s="5" t="n"/>
      <c r="D34" s="5" t="n"/>
      <c r="E34" s="6">
        <f>IF(A34="","","B"&amp;TEXT(COUNT($A$2:A34),"00000"))</f>
        <v/>
      </c>
      <c r="F34" s="6">
        <f>IF(OR(C34="",D34=""),"",IFERROR(LOOKUP(2,1/(($C$1:C33=C34)*($D$1:D33=D34)*ISNUMBER($J$1:J33)),$J$1:J33),SUMIFS(Master!$G$2:$G$13,Master!$E$2:$E$13,C34,Master!$F$2:$F$13,D34)))</f>
        <v/>
      </c>
      <c r="G34" s="5" t="n"/>
      <c r="H34" s="5" t="n"/>
      <c r="I34" s="5" t="n"/>
      <c r="J34" s="6">
        <f>IF(OR(F34="",COUNT(G34:I34)&lt;3),"",F34+G34-H34-I34)</f>
        <v/>
      </c>
      <c r="K34" s="6">
        <f>IF(COUNTA(A34:D34,G34:I34)=0,"",IF(COUNTA(A34:D34,G34:I34)&lt;7,"LENGKAPI",IF(H34+I34&gt;N(F34)+G34,"ABNORMAL",IF(COUNTIFS($A$2:$A$2001,A34,$B$2:$B$2001,B34,$C$2:$C$2001,C34,$D$2:$D$2001,D34)&gt;1,"DUPLIKAT","OK"))))</f>
        <v/>
      </c>
    </row>
    <row r="35">
      <c r="A35" s="4" t="n"/>
      <c r="B35" s="5" t="n"/>
      <c r="C35" s="5" t="n"/>
      <c r="D35" s="5" t="n"/>
      <c r="E35" s="6">
        <f>IF(A35="","","B"&amp;TEXT(COUNT($A$2:A35),"00000"))</f>
        <v/>
      </c>
      <c r="F35" s="6">
        <f>IF(OR(C35="",D35=""),"",IFERROR(LOOKUP(2,1/(($C$1:C34=C35)*($D$1:D34=D35)*ISNUMBER($J$1:J34)),$J$1:J34),SUMIFS(Master!$G$2:$G$13,Master!$E$2:$E$13,C35,Master!$F$2:$F$13,D35)))</f>
        <v/>
      </c>
      <c r="G35" s="5" t="n"/>
      <c r="H35" s="5" t="n"/>
      <c r="I35" s="5" t="n"/>
      <c r="J35" s="6">
        <f>IF(OR(F35="",COUNT(G35:I35)&lt;3),"",F35+G35-H35-I35)</f>
        <v/>
      </c>
      <c r="K35" s="6">
        <f>IF(COUNTA(A35:D35,G35:I35)=0,"",IF(COUNTA(A35:D35,G35:I35)&lt;7,"LENGKAPI",IF(H35+I35&gt;N(F35)+G35,"ABNORMAL",IF(COUNTIFS($A$2:$A$2001,A35,$B$2:$B$2001,B35,$C$2:$C$2001,C35,$D$2:$D$2001,D35)&gt;1,"DUPLIKAT","OK"))))</f>
        <v/>
      </c>
    </row>
    <row r="36">
      <c r="A36" s="4" t="n"/>
      <c r="B36" s="5" t="n"/>
      <c r="C36" s="5" t="n"/>
      <c r="D36" s="5" t="n"/>
      <c r="E36" s="6">
        <f>IF(A36="","","B"&amp;TEXT(COUNT($A$2:A36),"00000"))</f>
        <v/>
      </c>
      <c r="F36" s="6">
        <f>IF(OR(C36="",D36=""),"",IFERROR(LOOKUP(2,1/(($C$1:C35=C36)*($D$1:D35=D36)*ISNUMBER($J$1:J35)),$J$1:J35),SUMIFS(Master!$G$2:$G$13,Master!$E$2:$E$13,C36,Master!$F$2:$F$13,D36)))</f>
        <v/>
      </c>
      <c r="G36" s="5" t="n"/>
      <c r="H36" s="5" t="n"/>
      <c r="I36" s="5" t="n"/>
      <c r="J36" s="6">
        <f>IF(OR(F36="",COUNT(G36:I36)&lt;3),"",F36+G36-H36-I36)</f>
        <v/>
      </c>
      <c r="K36" s="6">
        <f>IF(COUNTA(A36:D36,G36:I36)=0,"",IF(COUNTA(A36:D36,G36:I36)&lt;7,"LENGKAPI",IF(H36+I36&gt;N(F36)+G36,"ABNORMAL",IF(COUNTIFS($A$2:$A$2001,A36,$B$2:$B$2001,B36,$C$2:$C$2001,C36,$D$2:$D$2001,D36)&gt;1,"DUPLIKAT","OK"))))</f>
        <v/>
      </c>
    </row>
    <row r="37">
      <c r="A37" s="4" t="n"/>
      <c r="B37" s="5" t="n"/>
      <c r="C37" s="5" t="n"/>
      <c r="D37" s="5" t="n"/>
      <c r="E37" s="6">
        <f>IF(A37="","","B"&amp;TEXT(COUNT($A$2:A37),"00000"))</f>
        <v/>
      </c>
      <c r="F37" s="6">
        <f>IF(OR(C37="",D37=""),"",IFERROR(LOOKUP(2,1/(($C$1:C36=C37)*($D$1:D36=D37)*ISNUMBER($J$1:J36)),$J$1:J36),SUMIFS(Master!$G$2:$G$13,Master!$E$2:$E$13,C37,Master!$F$2:$F$13,D37)))</f>
        <v/>
      </c>
      <c r="G37" s="5" t="n"/>
      <c r="H37" s="5" t="n"/>
      <c r="I37" s="5" t="n"/>
      <c r="J37" s="6">
        <f>IF(OR(F37="",COUNT(G37:I37)&lt;3),"",F37+G37-H37-I37)</f>
        <v/>
      </c>
      <c r="K37" s="6">
        <f>IF(COUNTA(A37:D37,G37:I37)=0,"",IF(COUNTA(A37:D37,G37:I37)&lt;7,"LENGKAPI",IF(H37+I37&gt;N(F37)+G37,"ABNORMAL",IF(COUNTIFS($A$2:$A$2001,A37,$B$2:$B$2001,B37,$C$2:$C$2001,C37,$D$2:$D$2001,D37)&gt;1,"DUPLIKAT","OK"))))</f>
        <v/>
      </c>
    </row>
    <row r="38">
      <c r="A38" s="4" t="n"/>
      <c r="B38" s="5" t="n"/>
      <c r="C38" s="5" t="n"/>
      <c r="D38" s="5" t="n"/>
      <c r="E38" s="6">
        <f>IF(A38="","","B"&amp;TEXT(COUNT($A$2:A38),"00000"))</f>
        <v/>
      </c>
      <c r="F38" s="6">
        <f>IF(OR(C38="",D38=""),"",IFERROR(LOOKUP(2,1/(($C$1:C37=C38)*($D$1:D37=D38)*ISNUMBER($J$1:J37)),$J$1:J37),SUMIFS(Master!$G$2:$G$13,Master!$E$2:$E$13,C38,Master!$F$2:$F$13,D38)))</f>
        <v/>
      </c>
      <c r="G38" s="5" t="n"/>
      <c r="H38" s="5" t="n"/>
      <c r="I38" s="5" t="n"/>
      <c r="J38" s="6">
        <f>IF(OR(F38="",COUNT(G38:I38)&lt;3),"",F38+G38-H38-I38)</f>
        <v/>
      </c>
      <c r="K38" s="6">
        <f>IF(COUNTA(A38:D38,G38:I38)=0,"",IF(COUNTA(A38:D38,G38:I38)&lt;7,"LENGKAPI",IF(H38+I38&gt;N(F38)+G38,"ABNORMAL",IF(COUNTIFS($A$2:$A$2001,A38,$B$2:$B$2001,B38,$C$2:$C$2001,C38,$D$2:$D$2001,D38)&gt;1,"DUPLIKAT","OK"))))</f>
        <v/>
      </c>
    </row>
    <row r="39">
      <c r="A39" s="4" t="n"/>
      <c r="B39" s="5" t="n"/>
      <c r="C39" s="5" t="n"/>
      <c r="D39" s="5" t="n"/>
      <c r="E39" s="6">
        <f>IF(A39="","","B"&amp;TEXT(COUNT($A$2:A39),"00000"))</f>
        <v/>
      </c>
      <c r="F39" s="6">
        <f>IF(OR(C39="",D39=""),"",IFERROR(LOOKUP(2,1/(($C$1:C38=C39)*($D$1:D38=D39)*ISNUMBER($J$1:J38)),$J$1:J38),SUMIFS(Master!$G$2:$G$13,Master!$E$2:$E$13,C39,Master!$F$2:$F$13,D39)))</f>
        <v/>
      </c>
      <c r="G39" s="5" t="n"/>
      <c r="H39" s="5" t="n"/>
      <c r="I39" s="5" t="n"/>
      <c r="J39" s="6">
        <f>IF(OR(F39="",COUNT(G39:I39)&lt;3),"",F39+G39-H39-I39)</f>
        <v/>
      </c>
      <c r="K39" s="6">
        <f>IF(COUNTA(A39:D39,G39:I39)=0,"",IF(COUNTA(A39:D39,G39:I39)&lt;7,"LENGKAPI",IF(H39+I39&gt;N(F39)+G39,"ABNORMAL",IF(COUNTIFS($A$2:$A$2001,A39,$B$2:$B$2001,B39,$C$2:$C$2001,C39,$D$2:$D$2001,D39)&gt;1,"DUPLIKAT","OK"))))</f>
        <v/>
      </c>
    </row>
    <row r="40">
      <c r="A40" s="4" t="n"/>
      <c r="B40" s="5" t="n"/>
      <c r="C40" s="5" t="n"/>
      <c r="D40" s="5" t="n"/>
      <c r="E40" s="6">
        <f>IF(A40="","","B"&amp;TEXT(COUNT($A$2:A40),"00000"))</f>
        <v/>
      </c>
      <c r="F40" s="6">
        <f>IF(OR(C40="",D40=""),"",IFERROR(LOOKUP(2,1/(($C$1:C39=C40)*($D$1:D39=D40)*ISNUMBER($J$1:J39)),$J$1:J39),SUMIFS(Master!$G$2:$G$13,Master!$E$2:$E$13,C40,Master!$F$2:$F$13,D40)))</f>
        <v/>
      </c>
      <c r="G40" s="5" t="n"/>
      <c r="H40" s="5" t="n"/>
      <c r="I40" s="5" t="n"/>
      <c r="J40" s="6">
        <f>IF(OR(F40="",COUNT(G40:I40)&lt;3),"",F40+G40-H40-I40)</f>
        <v/>
      </c>
      <c r="K40" s="6">
        <f>IF(COUNTA(A40:D40,G40:I40)=0,"",IF(COUNTA(A40:D40,G40:I40)&lt;7,"LENGKAPI",IF(H40+I40&gt;N(F40)+G40,"ABNORMAL",IF(COUNTIFS($A$2:$A$2001,A40,$B$2:$B$2001,B40,$C$2:$C$2001,C40,$D$2:$D$2001,D40)&gt;1,"DUPLIKAT","OK"))))</f>
        <v/>
      </c>
    </row>
    <row r="41">
      <c r="A41" s="4" t="n"/>
      <c r="B41" s="5" t="n"/>
      <c r="C41" s="5" t="n"/>
      <c r="D41" s="5" t="n"/>
      <c r="E41" s="6">
        <f>IF(A41="","","B"&amp;TEXT(COUNT($A$2:A41),"00000"))</f>
        <v/>
      </c>
      <c r="F41" s="6">
        <f>IF(OR(C41="",D41=""),"",IFERROR(LOOKUP(2,1/(($C$1:C40=C41)*($D$1:D40=D41)*ISNUMBER($J$1:J40)),$J$1:J40),SUMIFS(Master!$G$2:$G$13,Master!$E$2:$E$13,C41,Master!$F$2:$F$13,D41)))</f>
        <v/>
      </c>
      <c r="G41" s="5" t="n"/>
      <c r="H41" s="5" t="n"/>
      <c r="I41" s="5" t="n"/>
      <c r="J41" s="6">
        <f>IF(OR(F41="",COUNT(G41:I41)&lt;3),"",F41+G41-H41-I41)</f>
        <v/>
      </c>
      <c r="K41" s="6">
        <f>IF(COUNTA(A41:D41,G41:I41)=0,"",IF(COUNTA(A41:D41,G41:I41)&lt;7,"LENGKAPI",IF(H41+I41&gt;N(F41)+G41,"ABNORMAL",IF(COUNTIFS($A$2:$A$2001,A41,$B$2:$B$2001,B41,$C$2:$C$2001,C41,$D$2:$D$2001,D41)&gt;1,"DUPLIKAT","OK"))))</f>
        <v/>
      </c>
    </row>
    <row r="42">
      <c r="A42" s="4" t="n"/>
      <c r="B42" s="5" t="n"/>
      <c r="C42" s="5" t="n"/>
      <c r="D42" s="5" t="n"/>
      <c r="E42" s="6">
        <f>IF(A42="","","B"&amp;TEXT(COUNT($A$2:A42),"00000"))</f>
        <v/>
      </c>
      <c r="F42" s="6">
        <f>IF(OR(C42="",D42=""),"",IFERROR(LOOKUP(2,1/(($C$1:C41=C42)*($D$1:D41=D42)*ISNUMBER($J$1:J41)),$J$1:J41),SUMIFS(Master!$G$2:$G$13,Master!$E$2:$E$13,C42,Master!$F$2:$F$13,D42)))</f>
        <v/>
      </c>
      <c r="G42" s="5" t="n"/>
      <c r="H42" s="5" t="n"/>
      <c r="I42" s="5" t="n"/>
      <c r="J42" s="6">
        <f>IF(OR(F42="",COUNT(G42:I42)&lt;3),"",F42+G42-H42-I42)</f>
        <v/>
      </c>
      <c r="K42" s="6">
        <f>IF(COUNTA(A42:D42,G42:I42)=0,"",IF(COUNTA(A42:D42,G42:I42)&lt;7,"LENGKAPI",IF(H42+I42&gt;N(F42)+G42,"ABNORMAL",IF(COUNTIFS($A$2:$A$2001,A42,$B$2:$B$2001,B42,$C$2:$C$2001,C42,$D$2:$D$2001,D42)&gt;1,"DUPLIKAT","OK"))))</f>
        <v/>
      </c>
    </row>
    <row r="43">
      <c r="A43" s="4" t="n"/>
      <c r="B43" s="5" t="n"/>
      <c r="C43" s="5" t="n"/>
      <c r="D43" s="5" t="n"/>
      <c r="E43" s="6">
        <f>IF(A43="","","B"&amp;TEXT(COUNT($A$2:A43),"00000"))</f>
        <v/>
      </c>
      <c r="F43" s="6">
        <f>IF(OR(C43="",D43=""),"",IFERROR(LOOKUP(2,1/(($C$1:C42=C43)*($D$1:D42=D43)*ISNUMBER($J$1:J42)),$J$1:J42),SUMIFS(Master!$G$2:$G$13,Master!$E$2:$E$13,C43,Master!$F$2:$F$13,D43)))</f>
        <v/>
      </c>
      <c r="G43" s="5" t="n"/>
      <c r="H43" s="5" t="n"/>
      <c r="I43" s="5" t="n"/>
      <c r="J43" s="6">
        <f>IF(OR(F43="",COUNT(G43:I43)&lt;3),"",F43+G43-H43-I43)</f>
        <v/>
      </c>
      <c r="K43" s="6">
        <f>IF(COUNTA(A43:D43,G43:I43)=0,"",IF(COUNTA(A43:D43,G43:I43)&lt;7,"LENGKAPI",IF(H43+I43&gt;N(F43)+G43,"ABNORMAL",IF(COUNTIFS($A$2:$A$2001,A43,$B$2:$B$2001,B43,$C$2:$C$2001,C43,$D$2:$D$2001,D43)&gt;1,"DUPLIKAT","OK"))))</f>
        <v/>
      </c>
    </row>
    <row r="44">
      <c r="A44" s="4" t="n"/>
      <c r="B44" s="5" t="n"/>
      <c r="C44" s="5" t="n"/>
      <c r="D44" s="5" t="n"/>
      <c r="E44" s="6">
        <f>IF(A44="","","B"&amp;TEXT(COUNT($A$2:A44),"00000"))</f>
        <v/>
      </c>
      <c r="F44" s="6">
        <f>IF(OR(C44="",D44=""),"",IFERROR(LOOKUP(2,1/(($C$1:C43=C44)*($D$1:D43=D44)*ISNUMBER($J$1:J43)),$J$1:J43),SUMIFS(Master!$G$2:$G$13,Master!$E$2:$E$13,C44,Master!$F$2:$F$13,D44)))</f>
        <v/>
      </c>
      <c r="G44" s="5" t="n"/>
      <c r="H44" s="5" t="n"/>
      <c r="I44" s="5" t="n"/>
      <c r="J44" s="6">
        <f>IF(OR(F44="",COUNT(G44:I44)&lt;3),"",F44+G44-H44-I44)</f>
        <v/>
      </c>
      <c r="K44" s="6">
        <f>IF(COUNTA(A44:D44,G44:I44)=0,"",IF(COUNTA(A44:D44,G44:I44)&lt;7,"LENGKAPI",IF(H44+I44&gt;N(F44)+G44,"ABNORMAL",IF(COUNTIFS($A$2:$A$2001,A44,$B$2:$B$2001,B44,$C$2:$C$2001,C44,$D$2:$D$2001,D44)&gt;1,"DUPLIKAT","OK"))))</f>
        <v/>
      </c>
    </row>
    <row r="45">
      <c r="A45" s="4" t="n"/>
      <c r="B45" s="5" t="n"/>
      <c r="C45" s="5" t="n"/>
      <c r="D45" s="5" t="n"/>
      <c r="E45" s="6">
        <f>IF(A45="","","B"&amp;TEXT(COUNT($A$2:A45),"00000"))</f>
        <v/>
      </c>
      <c r="F45" s="6">
        <f>IF(OR(C45="",D45=""),"",IFERROR(LOOKUP(2,1/(($C$1:C44=C45)*($D$1:D44=D45)*ISNUMBER($J$1:J44)),$J$1:J44),SUMIFS(Master!$G$2:$G$13,Master!$E$2:$E$13,C45,Master!$F$2:$F$13,D45)))</f>
        <v/>
      </c>
      <c r="G45" s="5" t="n"/>
      <c r="H45" s="5" t="n"/>
      <c r="I45" s="5" t="n"/>
      <c r="J45" s="6">
        <f>IF(OR(F45="",COUNT(G45:I45)&lt;3),"",F45+G45-H45-I45)</f>
        <v/>
      </c>
      <c r="K45" s="6">
        <f>IF(COUNTA(A45:D45,G45:I45)=0,"",IF(COUNTA(A45:D45,G45:I45)&lt;7,"LENGKAPI",IF(H45+I45&gt;N(F45)+G45,"ABNORMAL",IF(COUNTIFS($A$2:$A$2001,A45,$B$2:$B$2001,B45,$C$2:$C$2001,C45,$D$2:$D$2001,D45)&gt;1,"DUPLIKAT","OK"))))</f>
        <v/>
      </c>
    </row>
    <row r="46">
      <c r="A46" s="4" t="n"/>
      <c r="B46" s="5" t="n"/>
      <c r="C46" s="5" t="n"/>
      <c r="D46" s="5" t="n"/>
      <c r="E46" s="6">
        <f>IF(A46="","","B"&amp;TEXT(COUNT($A$2:A46),"00000"))</f>
        <v/>
      </c>
      <c r="F46" s="6">
        <f>IF(OR(C46="",D46=""),"",IFERROR(LOOKUP(2,1/(($C$1:C45=C46)*($D$1:D45=D46)*ISNUMBER($J$1:J45)),$J$1:J45),SUMIFS(Master!$G$2:$G$13,Master!$E$2:$E$13,C46,Master!$F$2:$F$13,D46)))</f>
        <v/>
      </c>
      <c r="G46" s="5" t="n"/>
      <c r="H46" s="5" t="n"/>
      <c r="I46" s="5" t="n"/>
      <c r="J46" s="6">
        <f>IF(OR(F46="",COUNT(G46:I46)&lt;3),"",F46+G46-H46-I46)</f>
        <v/>
      </c>
      <c r="K46" s="6">
        <f>IF(COUNTA(A46:D46,G46:I46)=0,"",IF(COUNTA(A46:D46,G46:I46)&lt;7,"LENGKAPI",IF(H46+I46&gt;N(F46)+G46,"ABNORMAL",IF(COUNTIFS($A$2:$A$2001,A46,$B$2:$B$2001,B46,$C$2:$C$2001,C46,$D$2:$D$2001,D46)&gt;1,"DUPLIKAT","OK"))))</f>
        <v/>
      </c>
    </row>
    <row r="47">
      <c r="A47" s="4" t="n"/>
      <c r="B47" s="5" t="n"/>
      <c r="C47" s="5" t="n"/>
      <c r="D47" s="5" t="n"/>
      <c r="E47" s="6">
        <f>IF(A47="","","B"&amp;TEXT(COUNT($A$2:A47),"00000"))</f>
        <v/>
      </c>
      <c r="F47" s="6">
        <f>IF(OR(C47="",D47=""),"",IFERROR(LOOKUP(2,1/(($C$1:C46=C47)*($D$1:D46=D47)*ISNUMBER($J$1:J46)),$J$1:J46),SUMIFS(Master!$G$2:$G$13,Master!$E$2:$E$13,C47,Master!$F$2:$F$13,D47)))</f>
        <v/>
      </c>
      <c r="G47" s="5" t="n"/>
      <c r="H47" s="5" t="n"/>
      <c r="I47" s="5" t="n"/>
      <c r="J47" s="6">
        <f>IF(OR(F47="",COUNT(G47:I47)&lt;3),"",F47+G47-H47-I47)</f>
        <v/>
      </c>
      <c r="K47" s="6">
        <f>IF(COUNTA(A47:D47,G47:I47)=0,"",IF(COUNTA(A47:D47,G47:I47)&lt;7,"LENGKAPI",IF(H47+I47&gt;N(F47)+G47,"ABNORMAL",IF(COUNTIFS($A$2:$A$2001,A47,$B$2:$B$2001,B47,$C$2:$C$2001,C47,$D$2:$D$2001,D47)&gt;1,"DUPLIKAT","OK"))))</f>
        <v/>
      </c>
    </row>
    <row r="48">
      <c r="A48" s="4" t="n"/>
      <c r="B48" s="5" t="n"/>
      <c r="C48" s="5" t="n"/>
      <c r="D48" s="5" t="n"/>
      <c r="E48" s="6">
        <f>IF(A48="","","B"&amp;TEXT(COUNT($A$2:A48),"00000"))</f>
        <v/>
      </c>
      <c r="F48" s="6">
        <f>IF(OR(C48="",D48=""),"",IFERROR(LOOKUP(2,1/(($C$1:C47=C48)*($D$1:D47=D48)*ISNUMBER($J$1:J47)),$J$1:J47),SUMIFS(Master!$G$2:$G$13,Master!$E$2:$E$13,C48,Master!$F$2:$F$13,D48)))</f>
        <v/>
      </c>
      <c r="G48" s="5" t="n"/>
      <c r="H48" s="5" t="n"/>
      <c r="I48" s="5" t="n"/>
      <c r="J48" s="6">
        <f>IF(OR(F48="",COUNT(G48:I48)&lt;3),"",F48+G48-H48-I48)</f>
        <v/>
      </c>
      <c r="K48" s="6">
        <f>IF(COUNTA(A48:D48,G48:I48)=0,"",IF(COUNTA(A48:D48,G48:I48)&lt;7,"LENGKAPI",IF(H48+I48&gt;N(F48)+G48,"ABNORMAL",IF(COUNTIFS($A$2:$A$2001,A48,$B$2:$B$2001,B48,$C$2:$C$2001,C48,$D$2:$D$2001,D48)&gt;1,"DUPLIKAT","OK"))))</f>
        <v/>
      </c>
    </row>
    <row r="49">
      <c r="A49" s="4" t="n"/>
      <c r="B49" s="5" t="n"/>
      <c r="C49" s="5" t="n"/>
      <c r="D49" s="5" t="n"/>
      <c r="E49" s="6">
        <f>IF(A49="","","B"&amp;TEXT(COUNT($A$2:A49),"00000"))</f>
        <v/>
      </c>
      <c r="F49" s="6">
        <f>IF(OR(C49="",D49=""),"",IFERROR(LOOKUP(2,1/(($C$1:C48=C49)*($D$1:D48=D49)*ISNUMBER($J$1:J48)),$J$1:J48),SUMIFS(Master!$G$2:$G$13,Master!$E$2:$E$13,C49,Master!$F$2:$F$13,D49)))</f>
        <v/>
      </c>
      <c r="G49" s="5" t="n"/>
      <c r="H49" s="5" t="n"/>
      <c r="I49" s="5" t="n"/>
      <c r="J49" s="6">
        <f>IF(OR(F49="",COUNT(G49:I49)&lt;3),"",F49+G49-H49-I49)</f>
        <v/>
      </c>
      <c r="K49" s="6">
        <f>IF(COUNTA(A49:D49,G49:I49)=0,"",IF(COUNTA(A49:D49,G49:I49)&lt;7,"LENGKAPI",IF(H49+I49&gt;N(F49)+G49,"ABNORMAL",IF(COUNTIFS($A$2:$A$2001,A49,$B$2:$B$2001,B49,$C$2:$C$2001,C49,$D$2:$D$2001,D49)&gt;1,"DUPLIKAT","OK"))))</f>
        <v/>
      </c>
    </row>
    <row r="50">
      <c r="A50" s="4" t="n"/>
      <c r="B50" s="5" t="n"/>
      <c r="C50" s="5" t="n"/>
      <c r="D50" s="5" t="n"/>
      <c r="E50" s="6">
        <f>IF(A50="","","B"&amp;TEXT(COUNT($A$2:A50),"00000"))</f>
        <v/>
      </c>
      <c r="F50" s="6">
        <f>IF(OR(C50="",D50=""),"",IFERROR(LOOKUP(2,1/(($C$1:C49=C50)*($D$1:D49=D50)*ISNUMBER($J$1:J49)),$J$1:J49),SUMIFS(Master!$G$2:$G$13,Master!$E$2:$E$13,C50,Master!$F$2:$F$13,D50)))</f>
        <v/>
      </c>
      <c r="G50" s="5" t="n"/>
      <c r="H50" s="5" t="n"/>
      <c r="I50" s="5" t="n"/>
      <c r="J50" s="6">
        <f>IF(OR(F50="",COUNT(G50:I50)&lt;3),"",F50+G50-H50-I50)</f>
        <v/>
      </c>
      <c r="K50" s="6">
        <f>IF(COUNTA(A50:D50,G50:I50)=0,"",IF(COUNTA(A50:D50,G50:I50)&lt;7,"LENGKAPI",IF(H50+I50&gt;N(F50)+G50,"ABNORMAL",IF(COUNTIFS($A$2:$A$2001,A50,$B$2:$B$2001,B50,$C$2:$C$2001,C50,$D$2:$D$2001,D50)&gt;1,"DUPLIKAT","OK"))))</f>
        <v/>
      </c>
    </row>
    <row r="51">
      <c r="A51" s="4" t="n"/>
      <c r="B51" s="5" t="n"/>
      <c r="C51" s="5" t="n"/>
      <c r="D51" s="5" t="n"/>
      <c r="E51" s="6">
        <f>IF(A51="","","B"&amp;TEXT(COUNT($A$2:A51),"00000"))</f>
        <v/>
      </c>
      <c r="F51" s="6">
        <f>IF(OR(C51="",D51=""),"",IFERROR(LOOKUP(2,1/(($C$1:C50=C51)*($D$1:D50=D51)*ISNUMBER($J$1:J50)),$J$1:J50),SUMIFS(Master!$G$2:$G$13,Master!$E$2:$E$13,C51,Master!$F$2:$F$13,D51)))</f>
        <v/>
      </c>
      <c r="G51" s="5" t="n"/>
      <c r="H51" s="5" t="n"/>
      <c r="I51" s="5" t="n"/>
      <c r="J51" s="6">
        <f>IF(OR(F51="",COUNT(G51:I51)&lt;3),"",F51+G51-H51-I51)</f>
        <v/>
      </c>
      <c r="K51" s="6">
        <f>IF(COUNTA(A51:D51,G51:I51)=0,"",IF(COUNTA(A51:D51,G51:I51)&lt;7,"LENGKAPI",IF(H51+I51&gt;N(F51)+G51,"ABNORMAL",IF(COUNTIFS($A$2:$A$2001,A51,$B$2:$B$2001,B51,$C$2:$C$2001,C51,$D$2:$D$2001,D51)&gt;1,"DUPLIKAT","OK"))))</f>
        <v/>
      </c>
    </row>
    <row r="52">
      <c r="A52" s="4" t="n"/>
      <c r="B52" s="5" t="n"/>
      <c r="C52" s="5" t="n"/>
      <c r="D52" s="5" t="n"/>
      <c r="E52" s="6">
        <f>IF(A52="","","B"&amp;TEXT(COUNT($A$2:A52),"00000"))</f>
        <v/>
      </c>
      <c r="F52" s="6">
        <f>IF(OR(C52="",D52=""),"",IFERROR(LOOKUP(2,1/(($C$1:C51=C52)*($D$1:D51=D52)*ISNUMBER($J$1:J51)),$J$1:J51),SUMIFS(Master!$G$2:$G$13,Master!$E$2:$E$13,C52,Master!$F$2:$F$13,D52)))</f>
        <v/>
      </c>
      <c r="G52" s="5" t="n"/>
      <c r="H52" s="5" t="n"/>
      <c r="I52" s="5" t="n"/>
      <c r="J52" s="6">
        <f>IF(OR(F52="",COUNT(G52:I52)&lt;3),"",F52+G52-H52-I52)</f>
        <v/>
      </c>
      <c r="K52" s="6">
        <f>IF(COUNTA(A52:D52,G52:I52)=0,"",IF(COUNTA(A52:D52,G52:I52)&lt;7,"LENGKAPI",IF(H52+I52&gt;N(F52)+G52,"ABNORMAL",IF(COUNTIFS($A$2:$A$2001,A52,$B$2:$B$2001,B52,$C$2:$C$2001,C52,$D$2:$D$2001,D52)&gt;1,"DUPLIKAT","OK"))))</f>
        <v/>
      </c>
    </row>
    <row r="53">
      <c r="A53" s="4" t="n"/>
      <c r="B53" s="5" t="n"/>
      <c r="C53" s="5" t="n"/>
      <c r="D53" s="5" t="n"/>
      <c r="E53" s="6">
        <f>IF(A53="","","B"&amp;TEXT(COUNT($A$2:A53),"00000"))</f>
        <v/>
      </c>
      <c r="F53" s="6">
        <f>IF(OR(C53="",D53=""),"",IFERROR(LOOKUP(2,1/(($C$1:C52=C53)*($D$1:D52=D53)*ISNUMBER($J$1:J52)),$J$1:J52),SUMIFS(Master!$G$2:$G$13,Master!$E$2:$E$13,C53,Master!$F$2:$F$13,D53)))</f>
        <v/>
      </c>
      <c r="G53" s="5" t="n"/>
      <c r="H53" s="5" t="n"/>
      <c r="I53" s="5" t="n"/>
      <c r="J53" s="6">
        <f>IF(OR(F53="",COUNT(G53:I53)&lt;3),"",F53+G53-H53-I53)</f>
        <v/>
      </c>
      <c r="K53" s="6">
        <f>IF(COUNTA(A53:D53,G53:I53)=0,"",IF(COUNTA(A53:D53,G53:I53)&lt;7,"LENGKAPI",IF(H53+I53&gt;N(F53)+G53,"ABNORMAL",IF(COUNTIFS($A$2:$A$2001,A53,$B$2:$B$2001,B53,$C$2:$C$2001,C53,$D$2:$D$2001,D53)&gt;1,"DUPLIKAT","OK"))))</f>
        <v/>
      </c>
    </row>
    <row r="54">
      <c r="A54" s="4" t="n"/>
      <c r="B54" s="5" t="n"/>
      <c r="C54" s="5" t="n"/>
      <c r="D54" s="5" t="n"/>
      <c r="E54" s="6">
        <f>IF(A54="","","B"&amp;TEXT(COUNT($A$2:A54),"00000"))</f>
        <v/>
      </c>
      <c r="F54" s="6">
        <f>IF(OR(C54="",D54=""),"",IFERROR(LOOKUP(2,1/(($C$1:C53=C54)*($D$1:D53=D54)*ISNUMBER($J$1:J53)),$J$1:J53),SUMIFS(Master!$G$2:$G$13,Master!$E$2:$E$13,C54,Master!$F$2:$F$13,D54)))</f>
        <v/>
      </c>
      <c r="G54" s="5" t="n"/>
      <c r="H54" s="5" t="n"/>
      <c r="I54" s="5" t="n"/>
      <c r="J54" s="6">
        <f>IF(OR(F54="",COUNT(G54:I54)&lt;3),"",F54+G54-H54-I54)</f>
        <v/>
      </c>
      <c r="K54" s="6">
        <f>IF(COUNTA(A54:D54,G54:I54)=0,"",IF(COUNTA(A54:D54,G54:I54)&lt;7,"LENGKAPI",IF(H54+I54&gt;N(F54)+G54,"ABNORMAL",IF(COUNTIFS($A$2:$A$2001,A54,$B$2:$B$2001,B54,$C$2:$C$2001,C54,$D$2:$D$2001,D54)&gt;1,"DUPLIKAT","OK"))))</f>
        <v/>
      </c>
    </row>
    <row r="55">
      <c r="A55" s="4" t="n"/>
      <c r="B55" s="5" t="n"/>
      <c r="C55" s="5" t="n"/>
      <c r="D55" s="5" t="n"/>
      <c r="E55" s="6">
        <f>IF(A55="","","B"&amp;TEXT(COUNT($A$2:A55),"00000"))</f>
        <v/>
      </c>
      <c r="F55" s="6">
        <f>IF(OR(C55="",D55=""),"",IFERROR(LOOKUP(2,1/(($C$1:C54=C55)*($D$1:D54=D55)*ISNUMBER($J$1:J54)),$J$1:J54),SUMIFS(Master!$G$2:$G$13,Master!$E$2:$E$13,C55,Master!$F$2:$F$13,D55)))</f>
        <v/>
      </c>
      <c r="G55" s="5" t="n"/>
      <c r="H55" s="5" t="n"/>
      <c r="I55" s="5" t="n"/>
      <c r="J55" s="6">
        <f>IF(OR(F55="",COUNT(G55:I55)&lt;3),"",F55+G55-H55-I55)</f>
        <v/>
      </c>
      <c r="K55" s="6">
        <f>IF(COUNTA(A55:D55,G55:I55)=0,"",IF(COUNTA(A55:D55,G55:I55)&lt;7,"LENGKAPI",IF(H55+I55&gt;N(F55)+G55,"ABNORMAL",IF(COUNTIFS($A$2:$A$2001,A55,$B$2:$B$2001,B55,$C$2:$C$2001,C55,$D$2:$D$2001,D55)&gt;1,"DUPLIKAT","OK"))))</f>
        <v/>
      </c>
    </row>
    <row r="56">
      <c r="A56" s="4" t="n"/>
      <c r="B56" s="5" t="n"/>
      <c r="C56" s="5" t="n"/>
      <c r="D56" s="5" t="n"/>
      <c r="E56" s="6">
        <f>IF(A56="","","B"&amp;TEXT(COUNT($A$2:A56),"00000"))</f>
        <v/>
      </c>
      <c r="F56" s="6">
        <f>IF(OR(C56="",D56=""),"",IFERROR(LOOKUP(2,1/(($C$1:C55=C56)*($D$1:D55=D56)*ISNUMBER($J$1:J55)),$J$1:J55),SUMIFS(Master!$G$2:$G$13,Master!$E$2:$E$13,C56,Master!$F$2:$F$13,D56)))</f>
        <v/>
      </c>
      <c r="G56" s="5" t="n"/>
      <c r="H56" s="5" t="n"/>
      <c r="I56" s="5" t="n"/>
      <c r="J56" s="6">
        <f>IF(OR(F56="",COUNT(G56:I56)&lt;3),"",F56+G56-H56-I56)</f>
        <v/>
      </c>
      <c r="K56" s="6">
        <f>IF(COUNTA(A56:D56,G56:I56)=0,"",IF(COUNTA(A56:D56,G56:I56)&lt;7,"LENGKAPI",IF(H56+I56&gt;N(F56)+G56,"ABNORMAL",IF(COUNTIFS($A$2:$A$2001,A56,$B$2:$B$2001,B56,$C$2:$C$2001,C56,$D$2:$D$2001,D56)&gt;1,"DUPLIKAT","OK"))))</f>
        <v/>
      </c>
    </row>
    <row r="57">
      <c r="A57" s="4" t="n"/>
      <c r="B57" s="5" t="n"/>
      <c r="C57" s="5" t="n"/>
      <c r="D57" s="5" t="n"/>
      <c r="E57" s="6">
        <f>IF(A57="","","B"&amp;TEXT(COUNT($A$2:A57),"00000"))</f>
        <v/>
      </c>
      <c r="F57" s="6">
        <f>IF(OR(C57="",D57=""),"",IFERROR(LOOKUP(2,1/(($C$1:C56=C57)*($D$1:D56=D57)*ISNUMBER($J$1:J56)),$J$1:J56),SUMIFS(Master!$G$2:$G$13,Master!$E$2:$E$13,C57,Master!$F$2:$F$13,D57)))</f>
        <v/>
      </c>
      <c r="G57" s="5" t="n"/>
      <c r="H57" s="5" t="n"/>
      <c r="I57" s="5" t="n"/>
      <c r="J57" s="6">
        <f>IF(OR(F57="",COUNT(G57:I57)&lt;3),"",F57+G57-H57-I57)</f>
        <v/>
      </c>
      <c r="K57" s="6">
        <f>IF(COUNTA(A57:D57,G57:I57)=0,"",IF(COUNTA(A57:D57,G57:I57)&lt;7,"LENGKAPI",IF(H57+I57&gt;N(F57)+G57,"ABNORMAL",IF(COUNTIFS($A$2:$A$2001,A57,$B$2:$B$2001,B57,$C$2:$C$2001,C57,$D$2:$D$2001,D57)&gt;1,"DUPLIKAT","OK"))))</f>
        <v/>
      </c>
    </row>
    <row r="58">
      <c r="A58" s="4" t="n"/>
      <c r="B58" s="5" t="n"/>
      <c r="C58" s="5" t="n"/>
      <c r="D58" s="5" t="n"/>
      <c r="E58" s="6">
        <f>IF(A58="","","B"&amp;TEXT(COUNT($A$2:A58),"00000"))</f>
        <v/>
      </c>
      <c r="F58" s="6">
        <f>IF(OR(C58="",D58=""),"",IFERROR(LOOKUP(2,1/(($C$1:C57=C58)*($D$1:D57=D58)*ISNUMBER($J$1:J57)),$J$1:J57),SUMIFS(Master!$G$2:$G$13,Master!$E$2:$E$13,C58,Master!$F$2:$F$13,D58)))</f>
        <v/>
      </c>
      <c r="G58" s="5" t="n"/>
      <c r="H58" s="5" t="n"/>
      <c r="I58" s="5" t="n"/>
      <c r="J58" s="6">
        <f>IF(OR(F58="",COUNT(G58:I58)&lt;3),"",F58+G58-H58-I58)</f>
        <v/>
      </c>
      <c r="K58" s="6">
        <f>IF(COUNTA(A58:D58,G58:I58)=0,"",IF(COUNTA(A58:D58,G58:I58)&lt;7,"LENGKAPI",IF(H58+I58&gt;N(F58)+G58,"ABNORMAL",IF(COUNTIFS($A$2:$A$2001,A58,$B$2:$B$2001,B58,$C$2:$C$2001,C58,$D$2:$D$2001,D58)&gt;1,"DUPLIKAT","OK"))))</f>
        <v/>
      </c>
    </row>
    <row r="59">
      <c r="A59" s="4" t="n"/>
      <c r="B59" s="5" t="n"/>
      <c r="C59" s="5" t="n"/>
      <c r="D59" s="5" t="n"/>
      <c r="E59" s="6">
        <f>IF(A59="","","B"&amp;TEXT(COUNT($A$2:A59),"00000"))</f>
        <v/>
      </c>
      <c r="F59" s="6">
        <f>IF(OR(C59="",D59=""),"",IFERROR(LOOKUP(2,1/(($C$1:C58=C59)*($D$1:D58=D59)*ISNUMBER($J$1:J58)),$J$1:J58),SUMIFS(Master!$G$2:$G$13,Master!$E$2:$E$13,C59,Master!$F$2:$F$13,D59)))</f>
        <v/>
      </c>
      <c r="G59" s="5" t="n"/>
      <c r="H59" s="5" t="n"/>
      <c r="I59" s="5" t="n"/>
      <c r="J59" s="6">
        <f>IF(OR(F59="",COUNT(G59:I59)&lt;3),"",F59+G59-H59-I59)</f>
        <v/>
      </c>
      <c r="K59" s="6">
        <f>IF(COUNTA(A59:D59,G59:I59)=0,"",IF(COUNTA(A59:D59,G59:I59)&lt;7,"LENGKAPI",IF(H59+I59&gt;N(F59)+G59,"ABNORMAL",IF(COUNTIFS($A$2:$A$2001,A59,$B$2:$B$2001,B59,$C$2:$C$2001,C59,$D$2:$D$2001,D59)&gt;1,"DUPLIKAT","OK"))))</f>
        <v/>
      </c>
    </row>
    <row r="60">
      <c r="A60" s="4" t="n"/>
      <c r="B60" s="5" t="n"/>
      <c r="C60" s="5" t="n"/>
      <c r="D60" s="5" t="n"/>
      <c r="E60" s="6">
        <f>IF(A60="","","B"&amp;TEXT(COUNT($A$2:A60),"00000"))</f>
        <v/>
      </c>
      <c r="F60" s="6">
        <f>IF(OR(C60="",D60=""),"",IFERROR(LOOKUP(2,1/(($C$1:C59=C60)*($D$1:D59=D60)*ISNUMBER($J$1:J59)),$J$1:J59),SUMIFS(Master!$G$2:$G$13,Master!$E$2:$E$13,C60,Master!$F$2:$F$13,D60)))</f>
        <v/>
      </c>
      <c r="G60" s="5" t="n"/>
      <c r="H60" s="5" t="n"/>
      <c r="I60" s="5" t="n"/>
      <c r="J60" s="6">
        <f>IF(OR(F60="",COUNT(G60:I60)&lt;3),"",F60+G60-H60-I60)</f>
        <v/>
      </c>
      <c r="K60" s="6">
        <f>IF(COUNTA(A60:D60,G60:I60)=0,"",IF(COUNTA(A60:D60,G60:I60)&lt;7,"LENGKAPI",IF(H60+I60&gt;N(F60)+G60,"ABNORMAL",IF(COUNTIFS($A$2:$A$2001,A60,$B$2:$B$2001,B60,$C$2:$C$2001,C60,$D$2:$D$2001,D60)&gt;1,"DUPLIKAT","OK"))))</f>
        <v/>
      </c>
    </row>
    <row r="61">
      <c r="A61" s="4" t="n"/>
      <c r="B61" s="5" t="n"/>
      <c r="C61" s="5" t="n"/>
      <c r="D61" s="5" t="n"/>
      <c r="E61" s="6">
        <f>IF(A61="","","B"&amp;TEXT(COUNT($A$2:A61),"00000"))</f>
        <v/>
      </c>
      <c r="F61" s="6">
        <f>IF(OR(C61="",D61=""),"",IFERROR(LOOKUP(2,1/(($C$1:C60=C61)*($D$1:D60=D61)*ISNUMBER($J$1:J60)),$J$1:J60),SUMIFS(Master!$G$2:$G$13,Master!$E$2:$E$13,C61,Master!$F$2:$F$13,D61)))</f>
        <v/>
      </c>
      <c r="G61" s="5" t="n"/>
      <c r="H61" s="5" t="n"/>
      <c r="I61" s="5" t="n"/>
      <c r="J61" s="6">
        <f>IF(OR(F61="",COUNT(G61:I61)&lt;3),"",F61+G61-H61-I61)</f>
        <v/>
      </c>
      <c r="K61" s="6">
        <f>IF(COUNTA(A61:D61,G61:I61)=0,"",IF(COUNTA(A61:D61,G61:I61)&lt;7,"LENGKAPI",IF(H61+I61&gt;N(F61)+G61,"ABNORMAL",IF(COUNTIFS($A$2:$A$2001,A61,$B$2:$B$2001,B61,$C$2:$C$2001,C61,$D$2:$D$2001,D61)&gt;1,"DUPLIKAT","OK"))))</f>
        <v/>
      </c>
    </row>
    <row r="62">
      <c r="A62" s="4" t="n"/>
      <c r="B62" s="5" t="n"/>
      <c r="C62" s="5" t="n"/>
      <c r="D62" s="5" t="n"/>
      <c r="E62" s="6">
        <f>IF(A62="","","B"&amp;TEXT(COUNT($A$2:A62),"00000"))</f>
        <v/>
      </c>
      <c r="F62" s="6">
        <f>IF(OR(C62="",D62=""),"",IFERROR(LOOKUP(2,1/(($C$1:C61=C62)*($D$1:D61=D62)*ISNUMBER($J$1:J61)),$J$1:J61),SUMIFS(Master!$G$2:$G$13,Master!$E$2:$E$13,C62,Master!$F$2:$F$13,D62)))</f>
        <v/>
      </c>
      <c r="G62" s="5" t="n"/>
      <c r="H62" s="5" t="n"/>
      <c r="I62" s="5" t="n"/>
      <c r="J62" s="6">
        <f>IF(OR(F62="",COUNT(G62:I62)&lt;3),"",F62+G62-H62-I62)</f>
        <v/>
      </c>
      <c r="K62" s="6">
        <f>IF(COUNTA(A62:D62,G62:I62)=0,"",IF(COUNTA(A62:D62,G62:I62)&lt;7,"LENGKAPI",IF(H62+I62&gt;N(F62)+G62,"ABNORMAL",IF(COUNTIFS($A$2:$A$2001,A62,$B$2:$B$2001,B62,$C$2:$C$2001,C62,$D$2:$D$2001,D62)&gt;1,"DUPLIKAT","OK"))))</f>
        <v/>
      </c>
    </row>
    <row r="63">
      <c r="A63" s="4" t="n"/>
      <c r="B63" s="5" t="n"/>
      <c r="C63" s="5" t="n"/>
      <c r="D63" s="5" t="n"/>
      <c r="E63" s="6">
        <f>IF(A63="","","B"&amp;TEXT(COUNT($A$2:A63),"00000"))</f>
        <v/>
      </c>
      <c r="F63" s="6">
        <f>IF(OR(C63="",D63=""),"",IFERROR(LOOKUP(2,1/(($C$1:C62=C63)*($D$1:D62=D63)*ISNUMBER($J$1:J62)),$J$1:J62),SUMIFS(Master!$G$2:$G$13,Master!$E$2:$E$13,C63,Master!$F$2:$F$13,D63)))</f>
        <v/>
      </c>
      <c r="G63" s="5" t="n"/>
      <c r="H63" s="5" t="n"/>
      <c r="I63" s="5" t="n"/>
      <c r="J63" s="6">
        <f>IF(OR(F63="",COUNT(G63:I63)&lt;3),"",F63+G63-H63-I63)</f>
        <v/>
      </c>
      <c r="K63" s="6">
        <f>IF(COUNTA(A63:D63,G63:I63)=0,"",IF(COUNTA(A63:D63,G63:I63)&lt;7,"LENGKAPI",IF(H63+I63&gt;N(F63)+G63,"ABNORMAL",IF(COUNTIFS($A$2:$A$2001,A63,$B$2:$B$2001,B63,$C$2:$C$2001,C63,$D$2:$D$2001,D63)&gt;1,"DUPLIKAT","OK"))))</f>
        <v/>
      </c>
    </row>
    <row r="64">
      <c r="A64" s="4" t="n"/>
      <c r="B64" s="5" t="n"/>
      <c r="C64" s="5" t="n"/>
      <c r="D64" s="5" t="n"/>
      <c r="E64" s="6">
        <f>IF(A64="","","B"&amp;TEXT(COUNT($A$2:A64),"00000"))</f>
        <v/>
      </c>
      <c r="F64" s="6">
        <f>IF(OR(C64="",D64=""),"",IFERROR(LOOKUP(2,1/(($C$1:C63=C64)*($D$1:D63=D64)*ISNUMBER($J$1:J63)),$J$1:J63),SUMIFS(Master!$G$2:$G$13,Master!$E$2:$E$13,C64,Master!$F$2:$F$13,D64)))</f>
        <v/>
      </c>
      <c r="G64" s="5" t="n"/>
      <c r="H64" s="5" t="n"/>
      <c r="I64" s="5" t="n"/>
      <c r="J64" s="6">
        <f>IF(OR(F64="",COUNT(G64:I64)&lt;3),"",F64+G64-H64-I64)</f>
        <v/>
      </c>
      <c r="K64" s="6">
        <f>IF(COUNTA(A64:D64,G64:I64)=0,"",IF(COUNTA(A64:D64,G64:I64)&lt;7,"LENGKAPI",IF(H64+I64&gt;N(F64)+G64,"ABNORMAL",IF(COUNTIFS($A$2:$A$2001,A64,$B$2:$B$2001,B64,$C$2:$C$2001,C64,$D$2:$D$2001,D64)&gt;1,"DUPLIKAT","OK"))))</f>
        <v/>
      </c>
    </row>
    <row r="65">
      <c r="A65" s="4" t="n"/>
      <c r="B65" s="5" t="n"/>
      <c r="C65" s="5" t="n"/>
      <c r="D65" s="5" t="n"/>
      <c r="E65" s="6">
        <f>IF(A65="","","B"&amp;TEXT(COUNT($A$2:A65),"00000"))</f>
        <v/>
      </c>
      <c r="F65" s="6">
        <f>IF(OR(C65="",D65=""),"",IFERROR(LOOKUP(2,1/(($C$1:C64=C65)*($D$1:D64=D65)*ISNUMBER($J$1:J64)),$J$1:J64),SUMIFS(Master!$G$2:$G$13,Master!$E$2:$E$13,C65,Master!$F$2:$F$13,D65)))</f>
        <v/>
      </c>
      <c r="G65" s="5" t="n"/>
      <c r="H65" s="5" t="n"/>
      <c r="I65" s="5" t="n"/>
      <c r="J65" s="6">
        <f>IF(OR(F65="",COUNT(G65:I65)&lt;3),"",F65+G65-H65-I65)</f>
        <v/>
      </c>
      <c r="K65" s="6">
        <f>IF(COUNTA(A65:D65,G65:I65)=0,"",IF(COUNTA(A65:D65,G65:I65)&lt;7,"LENGKAPI",IF(H65+I65&gt;N(F65)+G65,"ABNORMAL",IF(COUNTIFS($A$2:$A$2001,A65,$B$2:$B$2001,B65,$C$2:$C$2001,C65,$D$2:$D$2001,D65)&gt;1,"DUPLIKAT","OK"))))</f>
        <v/>
      </c>
    </row>
    <row r="66">
      <c r="A66" s="4" t="n"/>
      <c r="B66" s="5" t="n"/>
      <c r="C66" s="5" t="n"/>
      <c r="D66" s="5" t="n"/>
      <c r="E66" s="6">
        <f>IF(A66="","","B"&amp;TEXT(COUNT($A$2:A66),"00000"))</f>
        <v/>
      </c>
      <c r="F66" s="6">
        <f>IF(OR(C66="",D66=""),"",IFERROR(LOOKUP(2,1/(($C$1:C65=C66)*($D$1:D65=D66)*ISNUMBER($J$1:J65)),$J$1:J65),SUMIFS(Master!$G$2:$G$13,Master!$E$2:$E$13,C66,Master!$F$2:$F$13,D66)))</f>
        <v/>
      </c>
      <c r="G66" s="5" t="n"/>
      <c r="H66" s="5" t="n"/>
      <c r="I66" s="5" t="n"/>
      <c r="J66" s="6">
        <f>IF(OR(F66="",COUNT(G66:I66)&lt;3),"",F66+G66-H66-I66)</f>
        <v/>
      </c>
      <c r="K66" s="6">
        <f>IF(COUNTA(A66:D66,G66:I66)=0,"",IF(COUNTA(A66:D66,G66:I66)&lt;7,"LENGKAPI",IF(H66+I66&gt;N(F66)+G66,"ABNORMAL",IF(COUNTIFS($A$2:$A$2001,A66,$B$2:$B$2001,B66,$C$2:$C$2001,C66,$D$2:$D$2001,D66)&gt;1,"DUPLIKAT","OK"))))</f>
        <v/>
      </c>
    </row>
    <row r="67">
      <c r="A67" s="4" t="n"/>
      <c r="B67" s="5" t="n"/>
      <c r="C67" s="5" t="n"/>
      <c r="D67" s="5" t="n"/>
      <c r="E67" s="6">
        <f>IF(A67="","","B"&amp;TEXT(COUNT($A$2:A67),"00000"))</f>
        <v/>
      </c>
      <c r="F67" s="6">
        <f>IF(OR(C67="",D67=""),"",IFERROR(LOOKUP(2,1/(($C$1:C66=C67)*($D$1:D66=D67)*ISNUMBER($J$1:J66)),$J$1:J66),SUMIFS(Master!$G$2:$G$13,Master!$E$2:$E$13,C67,Master!$F$2:$F$13,D67)))</f>
        <v/>
      </c>
      <c r="G67" s="5" t="n"/>
      <c r="H67" s="5" t="n"/>
      <c r="I67" s="5" t="n"/>
      <c r="J67" s="6">
        <f>IF(OR(F67="",COUNT(G67:I67)&lt;3),"",F67+G67-H67-I67)</f>
        <v/>
      </c>
      <c r="K67" s="6">
        <f>IF(COUNTA(A67:D67,G67:I67)=0,"",IF(COUNTA(A67:D67,G67:I67)&lt;7,"LENGKAPI",IF(H67+I67&gt;N(F67)+G67,"ABNORMAL",IF(COUNTIFS($A$2:$A$2001,A67,$B$2:$B$2001,B67,$C$2:$C$2001,C67,$D$2:$D$2001,D67)&gt;1,"DUPLIKAT","OK"))))</f>
        <v/>
      </c>
    </row>
    <row r="68">
      <c r="A68" s="4" t="n"/>
      <c r="B68" s="5" t="n"/>
      <c r="C68" s="5" t="n"/>
      <c r="D68" s="5" t="n"/>
      <c r="E68" s="6">
        <f>IF(A68="","","B"&amp;TEXT(COUNT($A$2:A68),"00000"))</f>
        <v/>
      </c>
      <c r="F68" s="6">
        <f>IF(OR(C68="",D68=""),"",IFERROR(LOOKUP(2,1/(($C$1:C67=C68)*($D$1:D67=D68)*ISNUMBER($J$1:J67)),$J$1:J67),SUMIFS(Master!$G$2:$G$13,Master!$E$2:$E$13,C68,Master!$F$2:$F$13,D68)))</f>
        <v/>
      </c>
      <c r="G68" s="5" t="n"/>
      <c r="H68" s="5" t="n"/>
      <c r="I68" s="5" t="n"/>
      <c r="J68" s="6">
        <f>IF(OR(F68="",COUNT(G68:I68)&lt;3),"",F68+G68-H68-I68)</f>
        <v/>
      </c>
      <c r="K68" s="6">
        <f>IF(COUNTA(A68:D68,G68:I68)=0,"",IF(COUNTA(A68:D68,G68:I68)&lt;7,"LENGKAPI",IF(H68+I68&gt;N(F68)+G68,"ABNORMAL",IF(COUNTIFS($A$2:$A$2001,A68,$B$2:$B$2001,B68,$C$2:$C$2001,C68,$D$2:$D$2001,D68)&gt;1,"DUPLIKAT","OK"))))</f>
        <v/>
      </c>
    </row>
    <row r="69">
      <c r="A69" s="4" t="n"/>
      <c r="B69" s="5" t="n"/>
      <c r="C69" s="5" t="n"/>
      <c r="D69" s="5" t="n"/>
      <c r="E69" s="6">
        <f>IF(A69="","","B"&amp;TEXT(COUNT($A$2:A69),"00000"))</f>
        <v/>
      </c>
      <c r="F69" s="6">
        <f>IF(OR(C69="",D69=""),"",IFERROR(LOOKUP(2,1/(($C$1:C68=C69)*($D$1:D68=D69)*ISNUMBER($J$1:J68)),$J$1:J68),SUMIFS(Master!$G$2:$G$13,Master!$E$2:$E$13,C69,Master!$F$2:$F$13,D69)))</f>
        <v/>
      </c>
      <c r="G69" s="5" t="n"/>
      <c r="H69" s="5" t="n"/>
      <c r="I69" s="5" t="n"/>
      <c r="J69" s="6">
        <f>IF(OR(F69="",COUNT(G69:I69)&lt;3),"",F69+G69-H69-I69)</f>
        <v/>
      </c>
      <c r="K69" s="6">
        <f>IF(COUNTA(A69:D69,G69:I69)=0,"",IF(COUNTA(A69:D69,G69:I69)&lt;7,"LENGKAPI",IF(H69+I69&gt;N(F69)+G69,"ABNORMAL",IF(COUNTIFS($A$2:$A$2001,A69,$B$2:$B$2001,B69,$C$2:$C$2001,C69,$D$2:$D$2001,D69)&gt;1,"DUPLIKAT","OK"))))</f>
        <v/>
      </c>
    </row>
    <row r="70">
      <c r="A70" s="4" t="n"/>
      <c r="B70" s="5" t="n"/>
      <c r="C70" s="5" t="n"/>
      <c r="D70" s="5" t="n"/>
      <c r="E70" s="6">
        <f>IF(A70="","","B"&amp;TEXT(COUNT($A$2:A70),"00000"))</f>
        <v/>
      </c>
      <c r="F70" s="6">
        <f>IF(OR(C70="",D70=""),"",IFERROR(LOOKUP(2,1/(($C$1:C69=C70)*($D$1:D69=D70)*ISNUMBER($J$1:J69)),$J$1:J69),SUMIFS(Master!$G$2:$G$13,Master!$E$2:$E$13,C70,Master!$F$2:$F$13,D70)))</f>
        <v/>
      </c>
      <c r="G70" s="5" t="n"/>
      <c r="H70" s="5" t="n"/>
      <c r="I70" s="5" t="n"/>
      <c r="J70" s="6">
        <f>IF(OR(F70="",COUNT(G70:I70)&lt;3),"",F70+G70-H70-I70)</f>
        <v/>
      </c>
      <c r="K70" s="6">
        <f>IF(COUNTA(A70:D70,G70:I70)=0,"",IF(COUNTA(A70:D70,G70:I70)&lt;7,"LENGKAPI",IF(H70+I70&gt;N(F70)+G70,"ABNORMAL",IF(COUNTIFS($A$2:$A$2001,A70,$B$2:$B$2001,B70,$C$2:$C$2001,C70,$D$2:$D$2001,D70)&gt;1,"DUPLIKAT","OK"))))</f>
        <v/>
      </c>
    </row>
    <row r="71">
      <c r="A71" s="4" t="n"/>
      <c r="B71" s="5" t="n"/>
      <c r="C71" s="5" t="n"/>
      <c r="D71" s="5" t="n"/>
      <c r="E71" s="6">
        <f>IF(A71="","","B"&amp;TEXT(COUNT($A$2:A71),"00000"))</f>
        <v/>
      </c>
      <c r="F71" s="6">
        <f>IF(OR(C71="",D71=""),"",IFERROR(LOOKUP(2,1/(($C$1:C70=C71)*($D$1:D70=D71)*ISNUMBER($J$1:J70)),$J$1:J70),SUMIFS(Master!$G$2:$G$13,Master!$E$2:$E$13,C71,Master!$F$2:$F$13,D71)))</f>
        <v/>
      </c>
      <c r="G71" s="5" t="n"/>
      <c r="H71" s="5" t="n"/>
      <c r="I71" s="5" t="n"/>
      <c r="J71" s="6">
        <f>IF(OR(F71="",COUNT(G71:I71)&lt;3),"",F71+G71-H71-I71)</f>
        <v/>
      </c>
      <c r="K71" s="6">
        <f>IF(COUNTA(A71:D71,G71:I71)=0,"",IF(COUNTA(A71:D71,G71:I71)&lt;7,"LENGKAPI",IF(H71+I71&gt;N(F71)+G71,"ABNORMAL",IF(COUNTIFS($A$2:$A$2001,A71,$B$2:$B$2001,B71,$C$2:$C$2001,C71,$D$2:$D$2001,D71)&gt;1,"DUPLIKAT","OK"))))</f>
        <v/>
      </c>
    </row>
    <row r="72">
      <c r="A72" s="4" t="n"/>
      <c r="B72" s="5" t="n"/>
      <c r="C72" s="5" t="n"/>
      <c r="D72" s="5" t="n"/>
      <c r="E72" s="6">
        <f>IF(A72="","","B"&amp;TEXT(COUNT($A$2:A72),"00000"))</f>
        <v/>
      </c>
      <c r="F72" s="6">
        <f>IF(OR(C72="",D72=""),"",IFERROR(LOOKUP(2,1/(($C$1:C71=C72)*($D$1:D71=D72)*ISNUMBER($J$1:J71)),$J$1:J71),SUMIFS(Master!$G$2:$G$13,Master!$E$2:$E$13,C72,Master!$F$2:$F$13,D72)))</f>
        <v/>
      </c>
      <c r="G72" s="5" t="n"/>
      <c r="H72" s="5" t="n"/>
      <c r="I72" s="5" t="n"/>
      <c r="J72" s="6">
        <f>IF(OR(F72="",COUNT(G72:I72)&lt;3),"",F72+G72-H72-I72)</f>
        <v/>
      </c>
      <c r="K72" s="6">
        <f>IF(COUNTA(A72:D72,G72:I72)=0,"",IF(COUNTA(A72:D72,G72:I72)&lt;7,"LENGKAPI",IF(H72+I72&gt;N(F72)+G72,"ABNORMAL",IF(COUNTIFS($A$2:$A$2001,A72,$B$2:$B$2001,B72,$C$2:$C$2001,C72,$D$2:$D$2001,D72)&gt;1,"DUPLIKAT","OK"))))</f>
        <v/>
      </c>
    </row>
    <row r="73">
      <c r="A73" s="4" t="n"/>
      <c r="B73" s="5" t="n"/>
      <c r="C73" s="5" t="n"/>
      <c r="D73" s="5" t="n"/>
      <c r="E73" s="6">
        <f>IF(A73="","","B"&amp;TEXT(COUNT($A$2:A73),"00000"))</f>
        <v/>
      </c>
      <c r="F73" s="6">
        <f>IF(OR(C73="",D73=""),"",IFERROR(LOOKUP(2,1/(($C$1:C72=C73)*($D$1:D72=D73)*ISNUMBER($J$1:J72)),$J$1:J72),SUMIFS(Master!$G$2:$G$13,Master!$E$2:$E$13,C73,Master!$F$2:$F$13,D73)))</f>
        <v/>
      </c>
      <c r="G73" s="5" t="n"/>
      <c r="H73" s="5" t="n"/>
      <c r="I73" s="5" t="n"/>
      <c r="J73" s="6">
        <f>IF(OR(F73="",COUNT(G73:I73)&lt;3),"",F73+G73-H73-I73)</f>
        <v/>
      </c>
      <c r="K73" s="6">
        <f>IF(COUNTA(A73:D73,G73:I73)=0,"",IF(COUNTA(A73:D73,G73:I73)&lt;7,"LENGKAPI",IF(H73+I73&gt;N(F73)+G73,"ABNORMAL",IF(COUNTIFS($A$2:$A$2001,A73,$B$2:$B$2001,B73,$C$2:$C$2001,C73,$D$2:$D$2001,D73)&gt;1,"DUPLIKAT","OK"))))</f>
        <v/>
      </c>
    </row>
    <row r="74">
      <c r="A74" s="4" t="n"/>
      <c r="B74" s="5" t="n"/>
      <c r="C74" s="5" t="n"/>
      <c r="D74" s="5" t="n"/>
      <c r="E74" s="6">
        <f>IF(A74="","","B"&amp;TEXT(COUNT($A$2:A74),"00000"))</f>
        <v/>
      </c>
      <c r="F74" s="6">
        <f>IF(OR(C74="",D74=""),"",IFERROR(LOOKUP(2,1/(($C$1:C73=C74)*($D$1:D73=D74)*ISNUMBER($J$1:J73)),$J$1:J73),SUMIFS(Master!$G$2:$G$13,Master!$E$2:$E$13,C74,Master!$F$2:$F$13,D74)))</f>
        <v/>
      </c>
      <c r="G74" s="5" t="n"/>
      <c r="H74" s="5" t="n"/>
      <c r="I74" s="5" t="n"/>
      <c r="J74" s="6">
        <f>IF(OR(F74="",COUNT(G74:I74)&lt;3),"",F74+G74-H74-I74)</f>
        <v/>
      </c>
      <c r="K74" s="6">
        <f>IF(COUNTA(A74:D74,G74:I74)=0,"",IF(COUNTA(A74:D74,G74:I74)&lt;7,"LENGKAPI",IF(H74+I74&gt;N(F74)+G74,"ABNORMAL",IF(COUNTIFS($A$2:$A$2001,A74,$B$2:$B$2001,B74,$C$2:$C$2001,C74,$D$2:$D$2001,D74)&gt;1,"DUPLIKAT","OK"))))</f>
        <v/>
      </c>
    </row>
    <row r="75">
      <c r="A75" s="4" t="n"/>
      <c r="B75" s="5" t="n"/>
      <c r="C75" s="5" t="n"/>
      <c r="D75" s="5" t="n"/>
      <c r="E75" s="6">
        <f>IF(A75="","","B"&amp;TEXT(COUNT($A$2:A75),"00000"))</f>
        <v/>
      </c>
      <c r="F75" s="6">
        <f>IF(OR(C75="",D75=""),"",IFERROR(LOOKUP(2,1/(($C$1:C74=C75)*($D$1:D74=D75)*ISNUMBER($J$1:J74)),$J$1:J74),SUMIFS(Master!$G$2:$G$13,Master!$E$2:$E$13,C75,Master!$F$2:$F$13,D75)))</f>
        <v/>
      </c>
      <c r="G75" s="5" t="n"/>
      <c r="H75" s="5" t="n"/>
      <c r="I75" s="5" t="n"/>
      <c r="J75" s="6">
        <f>IF(OR(F75="",COUNT(G75:I75)&lt;3),"",F75+G75-H75-I75)</f>
        <v/>
      </c>
      <c r="K75" s="6">
        <f>IF(COUNTA(A75:D75,G75:I75)=0,"",IF(COUNTA(A75:D75,G75:I75)&lt;7,"LENGKAPI",IF(H75+I75&gt;N(F75)+G75,"ABNORMAL",IF(COUNTIFS($A$2:$A$2001,A75,$B$2:$B$2001,B75,$C$2:$C$2001,C75,$D$2:$D$2001,D75)&gt;1,"DUPLIKAT","OK"))))</f>
        <v/>
      </c>
    </row>
    <row r="76">
      <c r="A76" s="4" t="n"/>
      <c r="B76" s="5" t="n"/>
      <c r="C76" s="5" t="n"/>
      <c r="D76" s="5" t="n"/>
      <c r="E76" s="6">
        <f>IF(A76="","","B"&amp;TEXT(COUNT($A$2:A76),"00000"))</f>
        <v/>
      </c>
      <c r="F76" s="6">
        <f>IF(OR(C76="",D76=""),"",IFERROR(LOOKUP(2,1/(($C$1:C75=C76)*($D$1:D75=D76)*ISNUMBER($J$1:J75)),$J$1:J75),SUMIFS(Master!$G$2:$G$13,Master!$E$2:$E$13,C76,Master!$F$2:$F$13,D76)))</f>
        <v/>
      </c>
      <c r="G76" s="5" t="n"/>
      <c r="H76" s="5" t="n"/>
      <c r="I76" s="5" t="n"/>
      <c r="J76" s="6">
        <f>IF(OR(F76="",COUNT(G76:I76)&lt;3),"",F76+G76-H76-I76)</f>
        <v/>
      </c>
      <c r="K76" s="6">
        <f>IF(COUNTA(A76:D76,G76:I76)=0,"",IF(COUNTA(A76:D76,G76:I76)&lt;7,"LENGKAPI",IF(H76+I76&gt;N(F76)+G76,"ABNORMAL",IF(COUNTIFS($A$2:$A$2001,A76,$B$2:$B$2001,B76,$C$2:$C$2001,C76,$D$2:$D$2001,D76)&gt;1,"DUPLIKAT","OK"))))</f>
        <v/>
      </c>
    </row>
    <row r="77">
      <c r="A77" s="4" t="n"/>
      <c r="B77" s="5" t="n"/>
      <c r="C77" s="5" t="n"/>
      <c r="D77" s="5" t="n"/>
      <c r="E77" s="6">
        <f>IF(A77="","","B"&amp;TEXT(COUNT($A$2:A77),"00000"))</f>
        <v/>
      </c>
      <c r="F77" s="6">
        <f>IF(OR(C77="",D77=""),"",IFERROR(LOOKUP(2,1/(($C$1:C76=C77)*($D$1:D76=D77)*ISNUMBER($J$1:J76)),$J$1:J76),SUMIFS(Master!$G$2:$G$13,Master!$E$2:$E$13,C77,Master!$F$2:$F$13,D77)))</f>
        <v/>
      </c>
      <c r="G77" s="5" t="n"/>
      <c r="H77" s="5" t="n"/>
      <c r="I77" s="5" t="n"/>
      <c r="J77" s="6">
        <f>IF(OR(F77="",COUNT(G77:I77)&lt;3),"",F77+G77-H77-I77)</f>
        <v/>
      </c>
      <c r="K77" s="6">
        <f>IF(COUNTA(A77:D77,G77:I77)=0,"",IF(COUNTA(A77:D77,G77:I77)&lt;7,"LENGKAPI",IF(H77+I77&gt;N(F77)+G77,"ABNORMAL",IF(COUNTIFS($A$2:$A$2001,A77,$B$2:$B$2001,B77,$C$2:$C$2001,C77,$D$2:$D$2001,D77)&gt;1,"DUPLIKAT","OK"))))</f>
        <v/>
      </c>
    </row>
    <row r="78">
      <c r="A78" s="4" t="n"/>
      <c r="B78" s="5" t="n"/>
      <c r="C78" s="5" t="n"/>
      <c r="D78" s="5" t="n"/>
      <c r="E78" s="6">
        <f>IF(A78="","","B"&amp;TEXT(COUNT($A$2:A78),"00000"))</f>
        <v/>
      </c>
      <c r="F78" s="6">
        <f>IF(OR(C78="",D78=""),"",IFERROR(LOOKUP(2,1/(($C$1:C77=C78)*($D$1:D77=D78)*ISNUMBER($J$1:J77)),$J$1:J77),SUMIFS(Master!$G$2:$G$13,Master!$E$2:$E$13,C78,Master!$F$2:$F$13,D78)))</f>
        <v/>
      </c>
      <c r="G78" s="5" t="n"/>
      <c r="H78" s="5" t="n"/>
      <c r="I78" s="5" t="n"/>
      <c r="J78" s="6">
        <f>IF(OR(F78="",COUNT(G78:I78)&lt;3),"",F78+G78-H78-I78)</f>
        <v/>
      </c>
      <c r="K78" s="6">
        <f>IF(COUNTA(A78:D78,G78:I78)=0,"",IF(COUNTA(A78:D78,G78:I78)&lt;7,"LENGKAPI",IF(H78+I78&gt;N(F78)+G78,"ABNORMAL",IF(COUNTIFS($A$2:$A$2001,A78,$B$2:$B$2001,B78,$C$2:$C$2001,C78,$D$2:$D$2001,D78)&gt;1,"DUPLIKAT","OK"))))</f>
        <v/>
      </c>
    </row>
    <row r="79">
      <c r="A79" s="4" t="n"/>
      <c r="B79" s="5" t="n"/>
      <c r="C79" s="5" t="n"/>
      <c r="D79" s="5" t="n"/>
      <c r="E79" s="6">
        <f>IF(A79="","","B"&amp;TEXT(COUNT($A$2:A79),"00000"))</f>
        <v/>
      </c>
      <c r="F79" s="6">
        <f>IF(OR(C79="",D79=""),"",IFERROR(LOOKUP(2,1/(($C$1:C78=C79)*($D$1:D78=D79)*ISNUMBER($J$1:J78)),$J$1:J78),SUMIFS(Master!$G$2:$G$13,Master!$E$2:$E$13,C79,Master!$F$2:$F$13,D79)))</f>
        <v/>
      </c>
      <c r="G79" s="5" t="n"/>
      <c r="H79" s="5" t="n"/>
      <c r="I79" s="5" t="n"/>
      <c r="J79" s="6">
        <f>IF(OR(F79="",COUNT(G79:I79)&lt;3),"",F79+G79-H79-I79)</f>
        <v/>
      </c>
      <c r="K79" s="6">
        <f>IF(COUNTA(A79:D79,G79:I79)=0,"",IF(COUNTA(A79:D79,G79:I79)&lt;7,"LENGKAPI",IF(H79+I79&gt;N(F79)+G79,"ABNORMAL",IF(COUNTIFS($A$2:$A$2001,A79,$B$2:$B$2001,B79,$C$2:$C$2001,C79,$D$2:$D$2001,D79)&gt;1,"DUPLIKAT","OK"))))</f>
        <v/>
      </c>
    </row>
    <row r="80">
      <c r="A80" s="4" t="n"/>
      <c r="B80" s="5" t="n"/>
      <c r="C80" s="5" t="n"/>
      <c r="D80" s="5" t="n"/>
      <c r="E80" s="6">
        <f>IF(A80="","","B"&amp;TEXT(COUNT($A$2:A80),"00000"))</f>
        <v/>
      </c>
      <c r="F80" s="6">
        <f>IF(OR(C80="",D80=""),"",IFERROR(LOOKUP(2,1/(($C$1:C79=C80)*($D$1:D79=D80)*ISNUMBER($J$1:J79)),$J$1:J79),SUMIFS(Master!$G$2:$G$13,Master!$E$2:$E$13,C80,Master!$F$2:$F$13,D80)))</f>
        <v/>
      </c>
      <c r="G80" s="5" t="n"/>
      <c r="H80" s="5" t="n"/>
      <c r="I80" s="5" t="n"/>
      <c r="J80" s="6">
        <f>IF(OR(F80="",COUNT(G80:I80)&lt;3),"",F80+G80-H80-I80)</f>
        <v/>
      </c>
      <c r="K80" s="6">
        <f>IF(COUNTA(A80:D80,G80:I80)=0,"",IF(COUNTA(A80:D80,G80:I80)&lt;7,"LENGKAPI",IF(H80+I80&gt;N(F80)+G80,"ABNORMAL",IF(COUNTIFS($A$2:$A$2001,A80,$B$2:$B$2001,B80,$C$2:$C$2001,C80,$D$2:$D$2001,D80)&gt;1,"DUPLIKAT","OK"))))</f>
        <v/>
      </c>
    </row>
    <row r="81">
      <c r="A81" s="4" t="n"/>
      <c r="B81" s="5" t="n"/>
      <c r="C81" s="5" t="n"/>
      <c r="D81" s="5" t="n"/>
      <c r="E81" s="6">
        <f>IF(A81="","","B"&amp;TEXT(COUNT($A$2:A81),"00000"))</f>
        <v/>
      </c>
      <c r="F81" s="6">
        <f>IF(OR(C81="",D81=""),"",IFERROR(LOOKUP(2,1/(($C$1:C80=C81)*($D$1:D80=D81)*ISNUMBER($J$1:J80)),$J$1:J80),SUMIFS(Master!$G$2:$G$13,Master!$E$2:$E$13,C81,Master!$F$2:$F$13,D81)))</f>
        <v/>
      </c>
      <c r="G81" s="5" t="n"/>
      <c r="H81" s="5" t="n"/>
      <c r="I81" s="5" t="n"/>
      <c r="J81" s="6">
        <f>IF(OR(F81="",COUNT(G81:I81)&lt;3),"",F81+G81-H81-I81)</f>
        <v/>
      </c>
      <c r="K81" s="6">
        <f>IF(COUNTA(A81:D81,G81:I81)=0,"",IF(COUNTA(A81:D81,G81:I81)&lt;7,"LENGKAPI",IF(H81+I81&gt;N(F81)+G81,"ABNORMAL",IF(COUNTIFS($A$2:$A$2001,A81,$B$2:$B$2001,B81,$C$2:$C$2001,C81,$D$2:$D$2001,D81)&gt;1,"DUPLIKAT","OK"))))</f>
        <v/>
      </c>
    </row>
    <row r="82">
      <c r="A82" s="4" t="n"/>
      <c r="B82" s="5" t="n"/>
      <c r="C82" s="5" t="n"/>
      <c r="D82" s="5" t="n"/>
      <c r="E82" s="6">
        <f>IF(A82="","","B"&amp;TEXT(COUNT($A$2:A82),"00000"))</f>
        <v/>
      </c>
      <c r="F82" s="6">
        <f>IF(OR(C82="",D82=""),"",IFERROR(LOOKUP(2,1/(($C$1:C81=C82)*($D$1:D81=D82)*ISNUMBER($J$1:J81)),$J$1:J81),SUMIFS(Master!$G$2:$G$13,Master!$E$2:$E$13,C82,Master!$F$2:$F$13,D82)))</f>
        <v/>
      </c>
      <c r="G82" s="5" t="n"/>
      <c r="H82" s="5" t="n"/>
      <c r="I82" s="5" t="n"/>
      <c r="J82" s="6">
        <f>IF(OR(F82="",COUNT(G82:I82)&lt;3),"",F82+G82-H82-I82)</f>
        <v/>
      </c>
      <c r="K82" s="6">
        <f>IF(COUNTA(A82:D82,G82:I82)=0,"",IF(COUNTA(A82:D82,G82:I82)&lt;7,"LENGKAPI",IF(H82+I82&gt;N(F82)+G82,"ABNORMAL",IF(COUNTIFS($A$2:$A$2001,A82,$B$2:$B$2001,B82,$C$2:$C$2001,C82,$D$2:$D$2001,D82)&gt;1,"DUPLIKAT","OK"))))</f>
        <v/>
      </c>
    </row>
    <row r="83">
      <c r="A83" s="4" t="n"/>
      <c r="B83" s="5" t="n"/>
      <c r="C83" s="5" t="n"/>
      <c r="D83" s="5" t="n"/>
      <c r="E83" s="6">
        <f>IF(A83="","","B"&amp;TEXT(COUNT($A$2:A83),"00000"))</f>
        <v/>
      </c>
      <c r="F83" s="6">
        <f>IF(OR(C83="",D83=""),"",IFERROR(LOOKUP(2,1/(($C$1:C82=C83)*($D$1:D82=D83)*ISNUMBER($J$1:J82)),$J$1:J82),SUMIFS(Master!$G$2:$G$13,Master!$E$2:$E$13,C83,Master!$F$2:$F$13,D83)))</f>
        <v/>
      </c>
      <c r="G83" s="5" t="n"/>
      <c r="H83" s="5" t="n"/>
      <c r="I83" s="5" t="n"/>
      <c r="J83" s="6">
        <f>IF(OR(F83="",COUNT(G83:I83)&lt;3),"",F83+G83-H83-I83)</f>
        <v/>
      </c>
      <c r="K83" s="6">
        <f>IF(COUNTA(A83:D83,G83:I83)=0,"",IF(COUNTA(A83:D83,G83:I83)&lt;7,"LENGKAPI",IF(H83+I83&gt;N(F83)+G83,"ABNORMAL",IF(COUNTIFS($A$2:$A$2001,A83,$B$2:$B$2001,B83,$C$2:$C$2001,C83,$D$2:$D$2001,D83)&gt;1,"DUPLIKAT","OK"))))</f>
        <v/>
      </c>
    </row>
    <row r="84">
      <c r="A84" s="4" t="n"/>
      <c r="B84" s="5" t="n"/>
      <c r="C84" s="5" t="n"/>
      <c r="D84" s="5" t="n"/>
      <c r="E84" s="6">
        <f>IF(A84="","","B"&amp;TEXT(COUNT($A$2:A84),"00000"))</f>
        <v/>
      </c>
      <c r="F84" s="6">
        <f>IF(OR(C84="",D84=""),"",IFERROR(LOOKUP(2,1/(($C$1:C83=C84)*($D$1:D83=D84)*ISNUMBER($J$1:J83)),$J$1:J83),SUMIFS(Master!$G$2:$G$13,Master!$E$2:$E$13,C84,Master!$F$2:$F$13,D84)))</f>
        <v/>
      </c>
      <c r="G84" s="5" t="n"/>
      <c r="H84" s="5" t="n"/>
      <c r="I84" s="5" t="n"/>
      <c r="J84" s="6">
        <f>IF(OR(F84="",COUNT(G84:I84)&lt;3),"",F84+G84-H84-I84)</f>
        <v/>
      </c>
      <c r="K84" s="6">
        <f>IF(COUNTA(A84:D84,G84:I84)=0,"",IF(COUNTA(A84:D84,G84:I84)&lt;7,"LENGKAPI",IF(H84+I84&gt;N(F84)+G84,"ABNORMAL",IF(COUNTIFS($A$2:$A$2001,A84,$B$2:$B$2001,B84,$C$2:$C$2001,C84,$D$2:$D$2001,D84)&gt;1,"DUPLIKAT","OK"))))</f>
        <v/>
      </c>
    </row>
    <row r="85">
      <c r="A85" s="4" t="n"/>
      <c r="B85" s="5" t="n"/>
      <c r="C85" s="5" t="n"/>
      <c r="D85" s="5" t="n"/>
      <c r="E85" s="6">
        <f>IF(A85="","","B"&amp;TEXT(COUNT($A$2:A85),"00000"))</f>
        <v/>
      </c>
      <c r="F85" s="6">
        <f>IF(OR(C85="",D85=""),"",IFERROR(LOOKUP(2,1/(($C$1:C84=C85)*($D$1:D84=D85)*ISNUMBER($J$1:J84)),$J$1:J84),SUMIFS(Master!$G$2:$G$13,Master!$E$2:$E$13,C85,Master!$F$2:$F$13,D85)))</f>
        <v/>
      </c>
      <c r="G85" s="5" t="n"/>
      <c r="H85" s="5" t="n"/>
      <c r="I85" s="5" t="n"/>
      <c r="J85" s="6">
        <f>IF(OR(F85="",COUNT(G85:I85)&lt;3),"",F85+G85-H85-I85)</f>
        <v/>
      </c>
      <c r="K85" s="6">
        <f>IF(COUNTA(A85:D85,G85:I85)=0,"",IF(COUNTA(A85:D85,G85:I85)&lt;7,"LENGKAPI",IF(H85+I85&gt;N(F85)+G85,"ABNORMAL",IF(COUNTIFS($A$2:$A$2001,A85,$B$2:$B$2001,B85,$C$2:$C$2001,C85,$D$2:$D$2001,D85)&gt;1,"DUPLIKAT","OK"))))</f>
        <v/>
      </c>
    </row>
    <row r="86">
      <c r="A86" s="4" t="n"/>
      <c r="B86" s="5" t="n"/>
      <c r="C86" s="5" t="n"/>
      <c r="D86" s="5" t="n"/>
      <c r="E86" s="6">
        <f>IF(A86="","","B"&amp;TEXT(COUNT($A$2:A86),"00000"))</f>
        <v/>
      </c>
      <c r="F86" s="6">
        <f>IF(OR(C86="",D86=""),"",IFERROR(LOOKUP(2,1/(($C$1:C85=C86)*($D$1:D85=D86)*ISNUMBER($J$1:J85)),$J$1:J85),SUMIFS(Master!$G$2:$G$13,Master!$E$2:$E$13,C86,Master!$F$2:$F$13,D86)))</f>
        <v/>
      </c>
      <c r="G86" s="5" t="n"/>
      <c r="H86" s="5" t="n"/>
      <c r="I86" s="5" t="n"/>
      <c r="J86" s="6">
        <f>IF(OR(F86="",COUNT(G86:I86)&lt;3),"",F86+G86-H86-I86)</f>
        <v/>
      </c>
      <c r="K86" s="6">
        <f>IF(COUNTA(A86:D86,G86:I86)=0,"",IF(COUNTA(A86:D86,G86:I86)&lt;7,"LENGKAPI",IF(H86+I86&gt;N(F86)+G86,"ABNORMAL",IF(COUNTIFS($A$2:$A$2001,A86,$B$2:$B$2001,B86,$C$2:$C$2001,C86,$D$2:$D$2001,D86)&gt;1,"DUPLIKAT","OK"))))</f>
        <v/>
      </c>
    </row>
    <row r="87">
      <c r="A87" s="4" t="n"/>
      <c r="B87" s="5" t="n"/>
      <c r="C87" s="5" t="n"/>
      <c r="D87" s="5" t="n"/>
      <c r="E87" s="6">
        <f>IF(A87="","","B"&amp;TEXT(COUNT($A$2:A87),"00000"))</f>
        <v/>
      </c>
      <c r="F87" s="6">
        <f>IF(OR(C87="",D87=""),"",IFERROR(LOOKUP(2,1/(($C$1:C86=C87)*($D$1:D86=D87)*ISNUMBER($J$1:J86)),$J$1:J86),SUMIFS(Master!$G$2:$G$13,Master!$E$2:$E$13,C87,Master!$F$2:$F$13,D87)))</f>
        <v/>
      </c>
      <c r="G87" s="5" t="n"/>
      <c r="H87" s="5" t="n"/>
      <c r="I87" s="5" t="n"/>
      <c r="J87" s="6">
        <f>IF(OR(F87="",COUNT(G87:I87)&lt;3),"",F87+G87-H87-I87)</f>
        <v/>
      </c>
      <c r="K87" s="6">
        <f>IF(COUNTA(A87:D87,G87:I87)=0,"",IF(COUNTA(A87:D87,G87:I87)&lt;7,"LENGKAPI",IF(H87+I87&gt;N(F87)+G87,"ABNORMAL",IF(COUNTIFS($A$2:$A$2001,A87,$B$2:$B$2001,B87,$C$2:$C$2001,C87,$D$2:$D$2001,D87)&gt;1,"DUPLIKAT","OK"))))</f>
        <v/>
      </c>
    </row>
    <row r="88">
      <c r="A88" s="4" t="n"/>
      <c r="B88" s="5" t="n"/>
      <c r="C88" s="5" t="n"/>
      <c r="D88" s="5" t="n"/>
      <c r="E88" s="6">
        <f>IF(A88="","","B"&amp;TEXT(COUNT($A$2:A88),"00000"))</f>
        <v/>
      </c>
      <c r="F88" s="6">
        <f>IF(OR(C88="",D88=""),"",IFERROR(LOOKUP(2,1/(($C$1:C87=C88)*($D$1:D87=D88)*ISNUMBER($J$1:J87)),$J$1:J87),SUMIFS(Master!$G$2:$G$13,Master!$E$2:$E$13,C88,Master!$F$2:$F$13,D88)))</f>
        <v/>
      </c>
      <c r="G88" s="5" t="n"/>
      <c r="H88" s="5" t="n"/>
      <c r="I88" s="5" t="n"/>
      <c r="J88" s="6">
        <f>IF(OR(F88="",COUNT(G88:I88)&lt;3),"",F88+G88-H88-I88)</f>
        <v/>
      </c>
      <c r="K88" s="6">
        <f>IF(COUNTA(A88:D88,G88:I88)=0,"",IF(COUNTA(A88:D88,G88:I88)&lt;7,"LENGKAPI",IF(H88+I88&gt;N(F88)+G88,"ABNORMAL",IF(COUNTIFS($A$2:$A$2001,A88,$B$2:$B$2001,B88,$C$2:$C$2001,C88,$D$2:$D$2001,D88)&gt;1,"DUPLIKAT","OK"))))</f>
        <v/>
      </c>
    </row>
    <row r="89">
      <c r="A89" s="4" t="n"/>
      <c r="B89" s="5" t="n"/>
      <c r="C89" s="5" t="n"/>
      <c r="D89" s="5" t="n"/>
      <c r="E89" s="6">
        <f>IF(A89="","","B"&amp;TEXT(COUNT($A$2:A89),"00000"))</f>
        <v/>
      </c>
      <c r="F89" s="6">
        <f>IF(OR(C89="",D89=""),"",IFERROR(LOOKUP(2,1/(($C$1:C88=C89)*($D$1:D88=D89)*ISNUMBER($J$1:J88)),$J$1:J88),SUMIFS(Master!$G$2:$G$13,Master!$E$2:$E$13,C89,Master!$F$2:$F$13,D89)))</f>
        <v/>
      </c>
      <c r="G89" s="5" t="n"/>
      <c r="H89" s="5" t="n"/>
      <c r="I89" s="5" t="n"/>
      <c r="J89" s="6">
        <f>IF(OR(F89="",COUNT(G89:I89)&lt;3),"",F89+G89-H89-I89)</f>
        <v/>
      </c>
      <c r="K89" s="6">
        <f>IF(COUNTA(A89:D89,G89:I89)=0,"",IF(COUNTA(A89:D89,G89:I89)&lt;7,"LENGKAPI",IF(H89+I89&gt;N(F89)+G89,"ABNORMAL",IF(COUNTIFS($A$2:$A$2001,A89,$B$2:$B$2001,B89,$C$2:$C$2001,C89,$D$2:$D$2001,D89)&gt;1,"DUPLIKAT","OK"))))</f>
        <v/>
      </c>
    </row>
    <row r="90">
      <c r="A90" s="4" t="n"/>
      <c r="B90" s="5" t="n"/>
      <c r="C90" s="5" t="n"/>
      <c r="D90" s="5" t="n"/>
      <c r="E90" s="6">
        <f>IF(A90="","","B"&amp;TEXT(COUNT($A$2:A90),"00000"))</f>
        <v/>
      </c>
      <c r="F90" s="6">
        <f>IF(OR(C90="",D90=""),"",IFERROR(LOOKUP(2,1/(($C$1:C89=C90)*($D$1:D89=D90)*ISNUMBER($J$1:J89)),$J$1:J89),SUMIFS(Master!$G$2:$G$13,Master!$E$2:$E$13,C90,Master!$F$2:$F$13,D90)))</f>
        <v/>
      </c>
      <c r="G90" s="5" t="n"/>
      <c r="H90" s="5" t="n"/>
      <c r="I90" s="5" t="n"/>
      <c r="J90" s="6">
        <f>IF(OR(F90="",COUNT(G90:I90)&lt;3),"",F90+G90-H90-I90)</f>
        <v/>
      </c>
      <c r="K90" s="6">
        <f>IF(COUNTA(A90:D90,G90:I90)=0,"",IF(COUNTA(A90:D90,G90:I90)&lt;7,"LENGKAPI",IF(H90+I90&gt;N(F90)+G90,"ABNORMAL",IF(COUNTIFS($A$2:$A$2001,A90,$B$2:$B$2001,B90,$C$2:$C$2001,C90,$D$2:$D$2001,D90)&gt;1,"DUPLIKAT","OK"))))</f>
        <v/>
      </c>
    </row>
    <row r="91">
      <c r="A91" s="4" t="n"/>
      <c r="B91" s="5" t="n"/>
      <c r="C91" s="5" t="n"/>
      <c r="D91" s="5" t="n"/>
      <c r="E91" s="6">
        <f>IF(A91="","","B"&amp;TEXT(COUNT($A$2:A91),"00000"))</f>
        <v/>
      </c>
      <c r="F91" s="6">
        <f>IF(OR(C91="",D91=""),"",IFERROR(LOOKUP(2,1/(($C$1:C90=C91)*($D$1:D90=D91)*ISNUMBER($J$1:J90)),$J$1:J90),SUMIFS(Master!$G$2:$G$13,Master!$E$2:$E$13,C91,Master!$F$2:$F$13,D91)))</f>
        <v/>
      </c>
      <c r="G91" s="5" t="n"/>
      <c r="H91" s="5" t="n"/>
      <c r="I91" s="5" t="n"/>
      <c r="J91" s="6">
        <f>IF(OR(F91="",COUNT(G91:I91)&lt;3),"",F91+G91-H91-I91)</f>
        <v/>
      </c>
      <c r="K91" s="6">
        <f>IF(COUNTA(A91:D91,G91:I91)=0,"",IF(COUNTA(A91:D91,G91:I91)&lt;7,"LENGKAPI",IF(H91+I91&gt;N(F91)+G91,"ABNORMAL",IF(COUNTIFS($A$2:$A$2001,A91,$B$2:$B$2001,B91,$C$2:$C$2001,C91,$D$2:$D$2001,D91)&gt;1,"DUPLIKAT","OK"))))</f>
        <v/>
      </c>
    </row>
    <row r="92">
      <c r="A92" s="4" t="n"/>
      <c r="B92" s="5" t="n"/>
      <c r="C92" s="5" t="n"/>
      <c r="D92" s="5" t="n"/>
      <c r="E92" s="6">
        <f>IF(A92="","","B"&amp;TEXT(COUNT($A$2:A92),"00000"))</f>
        <v/>
      </c>
      <c r="F92" s="6">
        <f>IF(OR(C92="",D92=""),"",IFERROR(LOOKUP(2,1/(($C$1:C91=C92)*($D$1:D91=D92)*ISNUMBER($J$1:J91)),$J$1:J91),SUMIFS(Master!$G$2:$G$13,Master!$E$2:$E$13,C92,Master!$F$2:$F$13,D92)))</f>
        <v/>
      </c>
      <c r="G92" s="5" t="n"/>
      <c r="H92" s="5" t="n"/>
      <c r="I92" s="5" t="n"/>
      <c r="J92" s="6">
        <f>IF(OR(F92="",COUNT(G92:I92)&lt;3),"",F92+G92-H92-I92)</f>
        <v/>
      </c>
      <c r="K92" s="6">
        <f>IF(COUNTA(A92:D92,G92:I92)=0,"",IF(COUNTA(A92:D92,G92:I92)&lt;7,"LENGKAPI",IF(H92+I92&gt;N(F92)+G92,"ABNORMAL",IF(COUNTIFS($A$2:$A$2001,A92,$B$2:$B$2001,B92,$C$2:$C$2001,C92,$D$2:$D$2001,D92)&gt;1,"DUPLIKAT","OK"))))</f>
        <v/>
      </c>
    </row>
    <row r="93">
      <c r="A93" s="4" t="n"/>
      <c r="B93" s="5" t="n"/>
      <c r="C93" s="5" t="n"/>
      <c r="D93" s="5" t="n"/>
      <c r="E93" s="6">
        <f>IF(A93="","","B"&amp;TEXT(COUNT($A$2:A93),"00000"))</f>
        <v/>
      </c>
      <c r="F93" s="6">
        <f>IF(OR(C93="",D93=""),"",IFERROR(LOOKUP(2,1/(($C$1:C92=C93)*($D$1:D92=D93)*ISNUMBER($J$1:J92)),$J$1:J92),SUMIFS(Master!$G$2:$G$13,Master!$E$2:$E$13,C93,Master!$F$2:$F$13,D93)))</f>
        <v/>
      </c>
      <c r="G93" s="5" t="n"/>
      <c r="H93" s="5" t="n"/>
      <c r="I93" s="5" t="n"/>
      <c r="J93" s="6">
        <f>IF(OR(F93="",COUNT(G93:I93)&lt;3),"",F93+G93-H93-I93)</f>
        <v/>
      </c>
      <c r="K93" s="6">
        <f>IF(COUNTA(A93:D93,G93:I93)=0,"",IF(COUNTA(A93:D93,G93:I93)&lt;7,"LENGKAPI",IF(H93+I93&gt;N(F93)+G93,"ABNORMAL",IF(COUNTIFS($A$2:$A$2001,A93,$B$2:$B$2001,B93,$C$2:$C$2001,C93,$D$2:$D$2001,D93)&gt;1,"DUPLIKAT","OK"))))</f>
        <v/>
      </c>
    </row>
    <row r="94">
      <c r="A94" s="4" t="n"/>
      <c r="B94" s="5" t="n"/>
      <c r="C94" s="5" t="n"/>
      <c r="D94" s="5" t="n"/>
      <c r="E94" s="6">
        <f>IF(A94="","","B"&amp;TEXT(COUNT($A$2:A94),"00000"))</f>
        <v/>
      </c>
      <c r="F94" s="6">
        <f>IF(OR(C94="",D94=""),"",IFERROR(LOOKUP(2,1/(($C$1:C93=C94)*($D$1:D93=D94)*ISNUMBER($J$1:J93)),$J$1:J93),SUMIFS(Master!$G$2:$G$13,Master!$E$2:$E$13,C94,Master!$F$2:$F$13,D94)))</f>
        <v/>
      </c>
      <c r="G94" s="5" t="n"/>
      <c r="H94" s="5" t="n"/>
      <c r="I94" s="5" t="n"/>
      <c r="J94" s="6">
        <f>IF(OR(F94="",COUNT(G94:I94)&lt;3),"",F94+G94-H94-I94)</f>
        <v/>
      </c>
      <c r="K94" s="6">
        <f>IF(COUNTA(A94:D94,G94:I94)=0,"",IF(COUNTA(A94:D94,G94:I94)&lt;7,"LENGKAPI",IF(H94+I94&gt;N(F94)+G94,"ABNORMAL",IF(COUNTIFS($A$2:$A$2001,A94,$B$2:$B$2001,B94,$C$2:$C$2001,C94,$D$2:$D$2001,D94)&gt;1,"DUPLIKAT","OK"))))</f>
        <v/>
      </c>
    </row>
    <row r="95">
      <c r="A95" s="4" t="n"/>
      <c r="B95" s="5" t="n"/>
      <c r="C95" s="5" t="n"/>
      <c r="D95" s="5" t="n"/>
      <c r="E95" s="6">
        <f>IF(A95="","","B"&amp;TEXT(COUNT($A$2:A95),"00000"))</f>
        <v/>
      </c>
      <c r="F95" s="6">
        <f>IF(OR(C95="",D95=""),"",IFERROR(LOOKUP(2,1/(($C$1:C94=C95)*($D$1:D94=D95)*ISNUMBER($J$1:J94)),$J$1:J94),SUMIFS(Master!$G$2:$G$13,Master!$E$2:$E$13,C95,Master!$F$2:$F$13,D95)))</f>
        <v/>
      </c>
      <c r="G95" s="5" t="n"/>
      <c r="H95" s="5" t="n"/>
      <c r="I95" s="5" t="n"/>
      <c r="J95" s="6">
        <f>IF(OR(F95="",COUNT(G95:I95)&lt;3),"",F95+G95-H95-I95)</f>
        <v/>
      </c>
      <c r="K95" s="6">
        <f>IF(COUNTA(A95:D95,G95:I95)=0,"",IF(COUNTA(A95:D95,G95:I95)&lt;7,"LENGKAPI",IF(H95+I95&gt;N(F95)+G95,"ABNORMAL",IF(COUNTIFS($A$2:$A$2001,A95,$B$2:$B$2001,B95,$C$2:$C$2001,C95,$D$2:$D$2001,D95)&gt;1,"DUPLIKAT","OK"))))</f>
        <v/>
      </c>
    </row>
    <row r="96">
      <c r="A96" s="4" t="n"/>
      <c r="B96" s="5" t="n"/>
      <c r="C96" s="5" t="n"/>
      <c r="D96" s="5" t="n"/>
      <c r="E96" s="6">
        <f>IF(A96="","","B"&amp;TEXT(COUNT($A$2:A96),"00000"))</f>
        <v/>
      </c>
      <c r="F96" s="6">
        <f>IF(OR(C96="",D96=""),"",IFERROR(LOOKUP(2,1/(($C$1:C95=C96)*($D$1:D95=D96)*ISNUMBER($J$1:J95)),$J$1:J95),SUMIFS(Master!$G$2:$G$13,Master!$E$2:$E$13,C96,Master!$F$2:$F$13,D96)))</f>
        <v/>
      </c>
      <c r="G96" s="5" t="n"/>
      <c r="H96" s="5" t="n"/>
      <c r="I96" s="5" t="n"/>
      <c r="J96" s="6">
        <f>IF(OR(F96="",COUNT(G96:I96)&lt;3),"",F96+G96-H96-I96)</f>
        <v/>
      </c>
      <c r="K96" s="6">
        <f>IF(COUNTA(A96:D96,G96:I96)=0,"",IF(COUNTA(A96:D96,G96:I96)&lt;7,"LENGKAPI",IF(H96+I96&gt;N(F96)+G96,"ABNORMAL",IF(COUNTIFS($A$2:$A$2001,A96,$B$2:$B$2001,B96,$C$2:$C$2001,C96,$D$2:$D$2001,D96)&gt;1,"DUPLIKAT","OK"))))</f>
        <v/>
      </c>
    </row>
    <row r="97">
      <c r="A97" s="4" t="n"/>
      <c r="B97" s="5" t="n"/>
      <c r="C97" s="5" t="n"/>
      <c r="D97" s="5" t="n"/>
      <c r="E97" s="6">
        <f>IF(A97="","","B"&amp;TEXT(COUNT($A$2:A97),"00000"))</f>
        <v/>
      </c>
      <c r="F97" s="6">
        <f>IF(OR(C97="",D97=""),"",IFERROR(LOOKUP(2,1/(($C$1:C96=C97)*($D$1:D96=D97)*ISNUMBER($J$1:J96)),$J$1:J96),SUMIFS(Master!$G$2:$G$13,Master!$E$2:$E$13,C97,Master!$F$2:$F$13,D97)))</f>
        <v/>
      </c>
      <c r="G97" s="5" t="n"/>
      <c r="H97" s="5" t="n"/>
      <c r="I97" s="5" t="n"/>
      <c r="J97" s="6">
        <f>IF(OR(F97="",COUNT(G97:I97)&lt;3),"",F97+G97-H97-I97)</f>
        <v/>
      </c>
      <c r="K97" s="6">
        <f>IF(COUNTA(A97:D97,G97:I97)=0,"",IF(COUNTA(A97:D97,G97:I97)&lt;7,"LENGKAPI",IF(H97+I97&gt;N(F97)+G97,"ABNORMAL",IF(COUNTIFS($A$2:$A$2001,A97,$B$2:$B$2001,B97,$C$2:$C$2001,C97,$D$2:$D$2001,D97)&gt;1,"DUPLIKAT","OK"))))</f>
        <v/>
      </c>
    </row>
    <row r="98">
      <c r="A98" s="4" t="n"/>
      <c r="B98" s="5" t="n"/>
      <c r="C98" s="5" t="n"/>
      <c r="D98" s="5" t="n"/>
      <c r="E98" s="6">
        <f>IF(A98="","","B"&amp;TEXT(COUNT($A$2:A98),"00000"))</f>
        <v/>
      </c>
      <c r="F98" s="6">
        <f>IF(OR(C98="",D98=""),"",IFERROR(LOOKUP(2,1/(($C$1:C97=C98)*($D$1:D97=D98)*ISNUMBER($J$1:J97)),$J$1:J97),SUMIFS(Master!$G$2:$G$13,Master!$E$2:$E$13,C98,Master!$F$2:$F$13,D98)))</f>
        <v/>
      </c>
      <c r="G98" s="5" t="n"/>
      <c r="H98" s="5" t="n"/>
      <c r="I98" s="5" t="n"/>
      <c r="J98" s="6">
        <f>IF(OR(F98="",COUNT(G98:I98)&lt;3),"",F98+G98-H98-I98)</f>
        <v/>
      </c>
      <c r="K98" s="6">
        <f>IF(COUNTA(A98:D98,G98:I98)=0,"",IF(COUNTA(A98:D98,G98:I98)&lt;7,"LENGKAPI",IF(H98+I98&gt;N(F98)+G98,"ABNORMAL",IF(COUNTIFS($A$2:$A$2001,A98,$B$2:$B$2001,B98,$C$2:$C$2001,C98,$D$2:$D$2001,D98)&gt;1,"DUPLIKAT","OK"))))</f>
        <v/>
      </c>
    </row>
    <row r="99">
      <c r="A99" s="4" t="n"/>
      <c r="B99" s="5" t="n"/>
      <c r="C99" s="5" t="n"/>
      <c r="D99" s="5" t="n"/>
      <c r="E99" s="6">
        <f>IF(A99="","","B"&amp;TEXT(COUNT($A$2:A99),"00000"))</f>
        <v/>
      </c>
      <c r="F99" s="6">
        <f>IF(OR(C99="",D99=""),"",IFERROR(LOOKUP(2,1/(($C$1:C98=C99)*($D$1:D98=D99)*ISNUMBER($J$1:J98)),$J$1:J98),SUMIFS(Master!$G$2:$G$13,Master!$E$2:$E$13,C99,Master!$F$2:$F$13,D99)))</f>
        <v/>
      </c>
      <c r="G99" s="5" t="n"/>
      <c r="H99" s="5" t="n"/>
      <c r="I99" s="5" t="n"/>
      <c r="J99" s="6">
        <f>IF(OR(F99="",COUNT(G99:I99)&lt;3),"",F99+G99-H99-I99)</f>
        <v/>
      </c>
      <c r="K99" s="6">
        <f>IF(COUNTA(A99:D99,G99:I99)=0,"",IF(COUNTA(A99:D99,G99:I99)&lt;7,"LENGKAPI",IF(H99+I99&gt;N(F99)+G99,"ABNORMAL",IF(COUNTIFS($A$2:$A$2001,A99,$B$2:$B$2001,B99,$C$2:$C$2001,C99,$D$2:$D$2001,D99)&gt;1,"DUPLIKAT","OK"))))</f>
        <v/>
      </c>
    </row>
    <row r="100">
      <c r="A100" s="4" t="n"/>
      <c r="B100" s="5" t="n"/>
      <c r="C100" s="5" t="n"/>
      <c r="D100" s="5" t="n"/>
      <c r="E100" s="6">
        <f>IF(A100="","","B"&amp;TEXT(COUNT($A$2:A100),"00000"))</f>
        <v/>
      </c>
      <c r="F100" s="6">
        <f>IF(OR(C100="",D100=""),"",IFERROR(LOOKUP(2,1/(($C$1:C99=C100)*($D$1:D99=D100)*ISNUMBER($J$1:J99)),$J$1:J99),SUMIFS(Master!$G$2:$G$13,Master!$E$2:$E$13,C100,Master!$F$2:$F$13,D100)))</f>
        <v/>
      </c>
      <c r="G100" s="5" t="n"/>
      <c r="H100" s="5" t="n"/>
      <c r="I100" s="5" t="n"/>
      <c r="J100" s="6">
        <f>IF(OR(F100="",COUNT(G100:I100)&lt;3),"",F100+G100-H100-I100)</f>
        <v/>
      </c>
      <c r="K100" s="6">
        <f>IF(COUNTA(A100:D100,G100:I100)=0,"",IF(COUNTA(A100:D100,G100:I100)&lt;7,"LENGKAPI",IF(H100+I100&gt;N(F100)+G100,"ABNORMAL",IF(COUNTIFS($A$2:$A$2001,A100,$B$2:$B$2001,B100,$C$2:$C$2001,C100,$D$2:$D$2001,D100)&gt;1,"DUPLIKAT","OK"))))</f>
        <v/>
      </c>
    </row>
    <row r="101">
      <c r="A101" s="4" t="n"/>
      <c r="B101" s="5" t="n"/>
      <c r="C101" s="5" t="n"/>
      <c r="D101" s="5" t="n"/>
      <c r="E101" s="6">
        <f>IF(A101="","","B"&amp;TEXT(COUNT($A$2:A101),"00000"))</f>
        <v/>
      </c>
      <c r="F101" s="6">
        <f>IF(OR(C101="",D101=""),"",IFERROR(LOOKUP(2,1/(($C$1:C100=C101)*($D$1:D100=D101)*ISNUMBER($J$1:J100)),$J$1:J100),SUMIFS(Master!$G$2:$G$13,Master!$E$2:$E$13,C101,Master!$F$2:$F$13,D101)))</f>
        <v/>
      </c>
      <c r="G101" s="5" t="n"/>
      <c r="H101" s="5" t="n"/>
      <c r="I101" s="5" t="n"/>
      <c r="J101" s="6">
        <f>IF(OR(F101="",COUNT(G101:I101)&lt;3),"",F101+G101-H101-I101)</f>
        <v/>
      </c>
      <c r="K101" s="6">
        <f>IF(COUNTA(A101:D101,G101:I101)=0,"",IF(COUNTA(A101:D101,G101:I101)&lt;7,"LENGKAPI",IF(H101+I101&gt;N(F101)+G101,"ABNORMAL",IF(COUNTIFS($A$2:$A$2001,A101,$B$2:$B$2001,B101,$C$2:$C$2001,C101,$D$2:$D$2001,D101)&gt;1,"DUPLIKAT","OK"))))</f>
        <v/>
      </c>
    </row>
    <row r="102">
      <c r="A102" s="4" t="n"/>
      <c r="B102" s="5" t="n"/>
      <c r="C102" s="5" t="n"/>
      <c r="D102" s="5" t="n"/>
      <c r="E102" s="6">
        <f>IF(A102="","","B"&amp;TEXT(COUNT($A$2:A102),"00000"))</f>
        <v/>
      </c>
      <c r="F102" s="6">
        <f>IF(OR(C102="",D102=""),"",IFERROR(LOOKUP(2,1/(($C$1:C101=C102)*($D$1:D101=D102)*ISNUMBER($J$1:J101)),$J$1:J101),SUMIFS(Master!$G$2:$G$13,Master!$E$2:$E$13,C102,Master!$F$2:$F$13,D102)))</f>
        <v/>
      </c>
      <c r="G102" s="5" t="n"/>
      <c r="H102" s="5" t="n"/>
      <c r="I102" s="5" t="n"/>
      <c r="J102" s="6">
        <f>IF(OR(F102="",COUNT(G102:I102)&lt;3),"",F102+G102-H102-I102)</f>
        <v/>
      </c>
      <c r="K102" s="6">
        <f>IF(COUNTA(A102:D102,G102:I102)=0,"",IF(COUNTA(A102:D102,G102:I102)&lt;7,"LENGKAPI",IF(H102+I102&gt;N(F102)+G102,"ABNORMAL",IF(COUNTIFS($A$2:$A$2001,A102,$B$2:$B$2001,B102,$C$2:$C$2001,C102,$D$2:$D$2001,D102)&gt;1,"DUPLIKAT","OK"))))</f>
        <v/>
      </c>
    </row>
    <row r="103">
      <c r="A103" s="4" t="n"/>
      <c r="B103" s="5" t="n"/>
      <c r="C103" s="5" t="n"/>
      <c r="D103" s="5" t="n"/>
      <c r="E103" s="6">
        <f>IF(A103="","","B"&amp;TEXT(COUNT($A$2:A103),"00000"))</f>
        <v/>
      </c>
      <c r="F103" s="6">
        <f>IF(OR(C103="",D103=""),"",IFERROR(LOOKUP(2,1/(($C$1:C102=C103)*($D$1:D102=D103)*ISNUMBER($J$1:J102)),$J$1:J102),SUMIFS(Master!$G$2:$G$13,Master!$E$2:$E$13,C103,Master!$F$2:$F$13,D103)))</f>
        <v/>
      </c>
      <c r="G103" s="5" t="n"/>
      <c r="H103" s="5" t="n"/>
      <c r="I103" s="5" t="n"/>
      <c r="J103" s="6">
        <f>IF(OR(F103="",COUNT(G103:I103)&lt;3),"",F103+G103-H103-I103)</f>
        <v/>
      </c>
      <c r="K103" s="6">
        <f>IF(COUNTA(A103:D103,G103:I103)=0,"",IF(COUNTA(A103:D103,G103:I103)&lt;7,"LENGKAPI",IF(H103+I103&gt;N(F103)+G103,"ABNORMAL",IF(COUNTIFS($A$2:$A$2001,A103,$B$2:$B$2001,B103,$C$2:$C$2001,C103,$D$2:$D$2001,D103)&gt;1,"DUPLIKAT","OK"))))</f>
        <v/>
      </c>
    </row>
    <row r="104">
      <c r="A104" s="4" t="n"/>
      <c r="B104" s="5" t="n"/>
      <c r="C104" s="5" t="n"/>
      <c r="D104" s="5" t="n"/>
      <c r="E104" s="6">
        <f>IF(A104="","","B"&amp;TEXT(COUNT($A$2:A104),"00000"))</f>
        <v/>
      </c>
      <c r="F104" s="6">
        <f>IF(OR(C104="",D104=""),"",IFERROR(LOOKUP(2,1/(($C$1:C103=C104)*($D$1:D103=D104)*ISNUMBER($J$1:J103)),$J$1:J103),SUMIFS(Master!$G$2:$G$13,Master!$E$2:$E$13,C104,Master!$F$2:$F$13,D104)))</f>
        <v/>
      </c>
      <c r="G104" s="5" t="n"/>
      <c r="H104" s="5" t="n"/>
      <c r="I104" s="5" t="n"/>
      <c r="J104" s="6">
        <f>IF(OR(F104="",COUNT(G104:I104)&lt;3),"",F104+G104-H104-I104)</f>
        <v/>
      </c>
      <c r="K104" s="6">
        <f>IF(COUNTA(A104:D104,G104:I104)=0,"",IF(COUNTA(A104:D104,G104:I104)&lt;7,"LENGKAPI",IF(H104+I104&gt;N(F104)+G104,"ABNORMAL",IF(COUNTIFS($A$2:$A$2001,A104,$B$2:$B$2001,B104,$C$2:$C$2001,C104,$D$2:$D$2001,D104)&gt;1,"DUPLIKAT","OK"))))</f>
        <v/>
      </c>
    </row>
    <row r="105">
      <c r="A105" s="4" t="n"/>
      <c r="B105" s="5" t="n"/>
      <c r="C105" s="5" t="n"/>
      <c r="D105" s="5" t="n"/>
      <c r="E105" s="6">
        <f>IF(A105="","","B"&amp;TEXT(COUNT($A$2:A105),"00000"))</f>
        <v/>
      </c>
      <c r="F105" s="6">
        <f>IF(OR(C105="",D105=""),"",IFERROR(LOOKUP(2,1/(($C$1:C104=C105)*($D$1:D104=D105)*ISNUMBER($J$1:J104)),$J$1:J104),SUMIFS(Master!$G$2:$G$13,Master!$E$2:$E$13,C105,Master!$F$2:$F$13,D105)))</f>
        <v/>
      </c>
      <c r="G105" s="5" t="n"/>
      <c r="H105" s="5" t="n"/>
      <c r="I105" s="5" t="n"/>
      <c r="J105" s="6">
        <f>IF(OR(F105="",COUNT(G105:I105)&lt;3),"",F105+G105-H105-I105)</f>
        <v/>
      </c>
      <c r="K105" s="6">
        <f>IF(COUNTA(A105:D105,G105:I105)=0,"",IF(COUNTA(A105:D105,G105:I105)&lt;7,"LENGKAPI",IF(H105+I105&gt;N(F105)+G105,"ABNORMAL",IF(COUNTIFS($A$2:$A$2001,A105,$B$2:$B$2001,B105,$C$2:$C$2001,C105,$D$2:$D$2001,D105)&gt;1,"DUPLIKAT","OK"))))</f>
        <v/>
      </c>
    </row>
    <row r="106">
      <c r="A106" s="4" t="n"/>
      <c r="B106" s="5" t="n"/>
      <c r="C106" s="5" t="n"/>
      <c r="D106" s="5" t="n"/>
      <c r="E106" s="6">
        <f>IF(A106="","","B"&amp;TEXT(COUNT($A$2:A106),"00000"))</f>
        <v/>
      </c>
      <c r="F106" s="6">
        <f>IF(OR(C106="",D106=""),"",IFERROR(LOOKUP(2,1/(($C$1:C105=C106)*($D$1:D105=D106)*ISNUMBER($J$1:J105)),$J$1:J105),SUMIFS(Master!$G$2:$G$13,Master!$E$2:$E$13,C106,Master!$F$2:$F$13,D106)))</f>
        <v/>
      </c>
      <c r="G106" s="5" t="n"/>
      <c r="H106" s="5" t="n"/>
      <c r="I106" s="5" t="n"/>
      <c r="J106" s="6">
        <f>IF(OR(F106="",COUNT(G106:I106)&lt;3),"",F106+G106-H106-I106)</f>
        <v/>
      </c>
      <c r="K106" s="6">
        <f>IF(COUNTA(A106:D106,G106:I106)=0,"",IF(COUNTA(A106:D106,G106:I106)&lt;7,"LENGKAPI",IF(H106+I106&gt;N(F106)+G106,"ABNORMAL",IF(COUNTIFS($A$2:$A$2001,A106,$B$2:$B$2001,B106,$C$2:$C$2001,C106,$D$2:$D$2001,D106)&gt;1,"DUPLIKAT","OK"))))</f>
        <v/>
      </c>
    </row>
    <row r="107">
      <c r="A107" s="4" t="n"/>
      <c r="B107" s="5" t="n"/>
      <c r="C107" s="5" t="n"/>
      <c r="D107" s="5" t="n"/>
      <c r="E107" s="6">
        <f>IF(A107="","","B"&amp;TEXT(COUNT($A$2:A107),"00000"))</f>
        <v/>
      </c>
      <c r="F107" s="6">
        <f>IF(OR(C107="",D107=""),"",IFERROR(LOOKUP(2,1/(($C$1:C106=C107)*($D$1:D106=D107)*ISNUMBER($J$1:J106)),$J$1:J106),SUMIFS(Master!$G$2:$G$13,Master!$E$2:$E$13,C107,Master!$F$2:$F$13,D107)))</f>
        <v/>
      </c>
      <c r="G107" s="5" t="n"/>
      <c r="H107" s="5" t="n"/>
      <c r="I107" s="5" t="n"/>
      <c r="J107" s="6">
        <f>IF(OR(F107="",COUNT(G107:I107)&lt;3),"",F107+G107-H107-I107)</f>
        <v/>
      </c>
      <c r="K107" s="6">
        <f>IF(COUNTA(A107:D107,G107:I107)=0,"",IF(COUNTA(A107:D107,G107:I107)&lt;7,"LENGKAPI",IF(H107+I107&gt;N(F107)+G107,"ABNORMAL",IF(COUNTIFS($A$2:$A$2001,A107,$B$2:$B$2001,B107,$C$2:$C$2001,C107,$D$2:$D$2001,D107)&gt;1,"DUPLIKAT","OK"))))</f>
        <v/>
      </c>
    </row>
    <row r="108">
      <c r="A108" s="4" t="n"/>
      <c r="B108" s="5" t="n"/>
      <c r="C108" s="5" t="n"/>
      <c r="D108" s="5" t="n"/>
      <c r="E108" s="6">
        <f>IF(A108="","","B"&amp;TEXT(COUNT($A$2:A108),"00000"))</f>
        <v/>
      </c>
      <c r="F108" s="6">
        <f>IF(OR(C108="",D108=""),"",IFERROR(LOOKUP(2,1/(($C$1:C107=C108)*($D$1:D107=D108)*ISNUMBER($J$1:J107)),$J$1:J107),SUMIFS(Master!$G$2:$G$13,Master!$E$2:$E$13,C108,Master!$F$2:$F$13,D108)))</f>
        <v/>
      </c>
      <c r="G108" s="5" t="n"/>
      <c r="H108" s="5" t="n"/>
      <c r="I108" s="5" t="n"/>
      <c r="J108" s="6">
        <f>IF(OR(F108="",COUNT(G108:I108)&lt;3),"",F108+G108-H108-I108)</f>
        <v/>
      </c>
      <c r="K108" s="6">
        <f>IF(COUNTA(A108:D108,G108:I108)=0,"",IF(COUNTA(A108:D108,G108:I108)&lt;7,"LENGKAPI",IF(H108+I108&gt;N(F108)+G108,"ABNORMAL",IF(COUNTIFS($A$2:$A$2001,A108,$B$2:$B$2001,B108,$C$2:$C$2001,C108,$D$2:$D$2001,D108)&gt;1,"DUPLIKAT","OK"))))</f>
        <v/>
      </c>
    </row>
    <row r="109">
      <c r="A109" s="4" t="n"/>
      <c r="B109" s="5" t="n"/>
      <c r="C109" s="5" t="n"/>
      <c r="D109" s="5" t="n"/>
      <c r="E109" s="6">
        <f>IF(A109="","","B"&amp;TEXT(COUNT($A$2:A109),"00000"))</f>
        <v/>
      </c>
      <c r="F109" s="6">
        <f>IF(OR(C109="",D109=""),"",IFERROR(LOOKUP(2,1/(($C$1:C108=C109)*($D$1:D108=D109)*ISNUMBER($J$1:J108)),$J$1:J108),SUMIFS(Master!$G$2:$G$13,Master!$E$2:$E$13,C109,Master!$F$2:$F$13,D109)))</f>
        <v/>
      </c>
      <c r="G109" s="5" t="n"/>
      <c r="H109" s="5" t="n"/>
      <c r="I109" s="5" t="n"/>
      <c r="J109" s="6">
        <f>IF(OR(F109="",COUNT(G109:I109)&lt;3),"",F109+G109-H109-I109)</f>
        <v/>
      </c>
      <c r="K109" s="6">
        <f>IF(COUNTA(A109:D109,G109:I109)=0,"",IF(COUNTA(A109:D109,G109:I109)&lt;7,"LENGKAPI",IF(H109+I109&gt;N(F109)+G109,"ABNORMAL",IF(COUNTIFS($A$2:$A$2001,A109,$B$2:$B$2001,B109,$C$2:$C$2001,C109,$D$2:$D$2001,D109)&gt;1,"DUPLIKAT","OK"))))</f>
        <v/>
      </c>
    </row>
    <row r="110">
      <c r="A110" s="4" t="n"/>
      <c r="B110" s="5" t="n"/>
      <c r="C110" s="5" t="n"/>
      <c r="D110" s="5" t="n"/>
      <c r="E110" s="6">
        <f>IF(A110="","","B"&amp;TEXT(COUNT($A$2:A110),"00000"))</f>
        <v/>
      </c>
      <c r="F110" s="6">
        <f>IF(OR(C110="",D110=""),"",IFERROR(LOOKUP(2,1/(($C$1:C109=C110)*($D$1:D109=D110)*ISNUMBER($J$1:J109)),$J$1:J109),SUMIFS(Master!$G$2:$G$13,Master!$E$2:$E$13,C110,Master!$F$2:$F$13,D110)))</f>
        <v/>
      </c>
      <c r="G110" s="5" t="n"/>
      <c r="H110" s="5" t="n"/>
      <c r="I110" s="5" t="n"/>
      <c r="J110" s="6">
        <f>IF(OR(F110="",COUNT(G110:I110)&lt;3),"",F110+G110-H110-I110)</f>
        <v/>
      </c>
      <c r="K110" s="6">
        <f>IF(COUNTA(A110:D110,G110:I110)=0,"",IF(COUNTA(A110:D110,G110:I110)&lt;7,"LENGKAPI",IF(H110+I110&gt;N(F110)+G110,"ABNORMAL",IF(COUNTIFS($A$2:$A$2001,A110,$B$2:$B$2001,B110,$C$2:$C$2001,C110,$D$2:$D$2001,D110)&gt;1,"DUPLIKAT","OK"))))</f>
        <v/>
      </c>
    </row>
    <row r="111">
      <c r="A111" s="4" t="n"/>
      <c r="B111" s="5" t="n"/>
      <c r="C111" s="5" t="n"/>
      <c r="D111" s="5" t="n"/>
      <c r="E111" s="6">
        <f>IF(A111="","","B"&amp;TEXT(COUNT($A$2:A111),"00000"))</f>
        <v/>
      </c>
      <c r="F111" s="6">
        <f>IF(OR(C111="",D111=""),"",IFERROR(LOOKUP(2,1/(($C$1:C110=C111)*($D$1:D110=D111)*ISNUMBER($J$1:J110)),$J$1:J110),SUMIFS(Master!$G$2:$G$13,Master!$E$2:$E$13,C111,Master!$F$2:$F$13,D111)))</f>
        <v/>
      </c>
      <c r="G111" s="5" t="n"/>
      <c r="H111" s="5" t="n"/>
      <c r="I111" s="5" t="n"/>
      <c r="J111" s="6">
        <f>IF(OR(F111="",COUNT(G111:I111)&lt;3),"",F111+G111-H111-I111)</f>
        <v/>
      </c>
      <c r="K111" s="6">
        <f>IF(COUNTA(A111:D111,G111:I111)=0,"",IF(COUNTA(A111:D111,G111:I111)&lt;7,"LENGKAPI",IF(H111+I111&gt;N(F111)+G111,"ABNORMAL",IF(COUNTIFS($A$2:$A$2001,A111,$B$2:$B$2001,B111,$C$2:$C$2001,C111,$D$2:$D$2001,D111)&gt;1,"DUPLIKAT","OK"))))</f>
        <v/>
      </c>
    </row>
    <row r="112">
      <c r="A112" s="4" t="n"/>
      <c r="B112" s="5" t="n"/>
      <c r="C112" s="5" t="n"/>
      <c r="D112" s="5" t="n"/>
      <c r="E112" s="6">
        <f>IF(A112="","","B"&amp;TEXT(COUNT($A$2:A112),"00000"))</f>
        <v/>
      </c>
      <c r="F112" s="6">
        <f>IF(OR(C112="",D112=""),"",IFERROR(LOOKUP(2,1/(($C$1:C111=C112)*($D$1:D111=D112)*ISNUMBER($J$1:J111)),$J$1:J111),SUMIFS(Master!$G$2:$G$13,Master!$E$2:$E$13,C112,Master!$F$2:$F$13,D112)))</f>
        <v/>
      </c>
      <c r="G112" s="5" t="n"/>
      <c r="H112" s="5" t="n"/>
      <c r="I112" s="5" t="n"/>
      <c r="J112" s="6">
        <f>IF(OR(F112="",COUNT(G112:I112)&lt;3),"",F112+G112-H112-I112)</f>
        <v/>
      </c>
      <c r="K112" s="6">
        <f>IF(COUNTA(A112:D112,G112:I112)=0,"",IF(COUNTA(A112:D112,G112:I112)&lt;7,"LENGKAPI",IF(H112+I112&gt;N(F112)+G112,"ABNORMAL",IF(COUNTIFS($A$2:$A$2001,A112,$B$2:$B$2001,B112,$C$2:$C$2001,C112,$D$2:$D$2001,D112)&gt;1,"DUPLIKAT","OK"))))</f>
        <v/>
      </c>
    </row>
    <row r="113">
      <c r="A113" s="4" t="n"/>
      <c r="B113" s="5" t="n"/>
      <c r="C113" s="5" t="n"/>
      <c r="D113" s="5" t="n"/>
      <c r="E113" s="6">
        <f>IF(A113="","","B"&amp;TEXT(COUNT($A$2:A113),"00000"))</f>
        <v/>
      </c>
      <c r="F113" s="6">
        <f>IF(OR(C113="",D113=""),"",IFERROR(LOOKUP(2,1/(($C$1:C112=C113)*($D$1:D112=D113)*ISNUMBER($J$1:J112)),$J$1:J112),SUMIFS(Master!$G$2:$G$13,Master!$E$2:$E$13,C113,Master!$F$2:$F$13,D113)))</f>
        <v/>
      </c>
      <c r="G113" s="5" t="n"/>
      <c r="H113" s="5" t="n"/>
      <c r="I113" s="5" t="n"/>
      <c r="J113" s="6">
        <f>IF(OR(F113="",COUNT(G113:I113)&lt;3),"",F113+G113-H113-I113)</f>
        <v/>
      </c>
      <c r="K113" s="6">
        <f>IF(COUNTA(A113:D113,G113:I113)=0,"",IF(COUNTA(A113:D113,G113:I113)&lt;7,"LENGKAPI",IF(H113+I113&gt;N(F113)+G113,"ABNORMAL",IF(COUNTIFS($A$2:$A$2001,A113,$B$2:$B$2001,B113,$C$2:$C$2001,C113,$D$2:$D$2001,D113)&gt;1,"DUPLIKAT","OK"))))</f>
        <v/>
      </c>
    </row>
    <row r="114">
      <c r="A114" s="4" t="n"/>
      <c r="B114" s="5" t="n"/>
      <c r="C114" s="5" t="n"/>
      <c r="D114" s="5" t="n"/>
      <c r="E114" s="6">
        <f>IF(A114="","","B"&amp;TEXT(COUNT($A$2:A114),"00000"))</f>
        <v/>
      </c>
      <c r="F114" s="6">
        <f>IF(OR(C114="",D114=""),"",IFERROR(LOOKUP(2,1/(($C$1:C113=C114)*($D$1:D113=D114)*ISNUMBER($J$1:J113)),$J$1:J113),SUMIFS(Master!$G$2:$G$13,Master!$E$2:$E$13,C114,Master!$F$2:$F$13,D114)))</f>
        <v/>
      </c>
      <c r="G114" s="5" t="n"/>
      <c r="H114" s="5" t="n"/>
      <c r="I114" s="5" t="n"/>
      <c r="J114" s="6">
        <f>IF(OR(F114="",COUNT(G114:I114)&lt;3),"",F114+G114-H114-I114)</f>
        <v/>
      </c>
      <c r="K114" s="6">
        <f>IF(COUNTA(A114:D114,G114:I114)=0,"",IF(COUNTA(A114:D114,G114:I114)&lt;7,"LENGKAPI",IF(H114+I114&gt;N(F114)+G114,"ABNORMAL",IF(COUNTIFS($A$2:$A$2001,A114,$B$2:$B$2001,B114,$C$2:$C$2001,C114,$D$2:$D$2001,D114)&gt;1,"DUPLIKAT","OK"))))</f>
        <v/>
      </c>
    </row>
    <row r="115">
      <c r="A115" s="4" t="n"/>
      <c r="B115" s="5" t="n"/>
      <c r="C115" s="5" t="n"/>
      <c r="D115" s="5" t="n"/>
      <c r="E115" s="6">
        <f>IF(A115="","","B"&amp;TEXT(COUNT($A$2:A115),"00000"))</f>
        <v/>
      </c>
      <c r="F115" s="6">
        <f>IF(OR(C115="",D115=""),"",IFERROR(LOOKUP(2,1/(($C$1:C114=C115)*($D$1:D114=D115)*ISNUMBER($J$1:J114)),$J$1:J114),SUMIFS(Master!$G$2:$G$13,Master!$E$2:$E$13,C115,Master!$F$2:$F$13,D115)))</f>
        <v/>
      </c>
      <c r="G115" s="5" t="n"/>
      <c r="H115" s="5" t="n"/>
      <c r="I115" s="5" t="n"/>
      <c r="J115" s="6">
        <f>IF(OR(F115="",COUNT(G115:I115)&lt;3),"",F115+G115-H115-I115)</f>
        <v/>
      </c>
      <c r="K115" s="6">
        <f>IF(COUNTA(A115:D115,G115:I115)=0,"",IF(COUNTA(A115:D115,G115:I115)&lt;7,"LENGKAPI",IF(H115+I115&gt;N(F115)+G115,"ABNORMAL",IF(COUNTIFS($A$2:$A$2001,A115,$B$2:$B$2001,B115,$C$2:$C$2001,C115,$D$2:$D$2001,D115)&gt;1,"DUPLIKAT","OK"))))</f>
        <v/>
      </c>
    </row>
    <row r="116">
      <c r="A116" s="4" t="n"/>
      <c r="B116" s="5" t="n"/>
      <c r="C116" s="5" t="n"/>
      <c r="D116" s="5" t="n"/>
      <c r="E116" s="6">
        <f>IF(A116="","","B"&amp;TEXT(COUNT($A$2:A116),"00000"))</f>
        <v/>
      </c>
      <c r="F116" s="6">
        <f>IF(OR(C116="",D116=""),"",IFERROR(LOOKUP(2,1/(($C$1:C115=C116)*($D$1:D115=D116)*ISNUMBER($J$1:J115)),$J$1:J115),SUMIFS(Master!$G$2:$G$13,Master!$E$2:$E$13,C116,Master!$F$2:$F$13,D116)))</f>
        <v/>
      </c>
      <c r="G116" s="5" t="n"/>
      <c r="H116" s="5" t="n"/>
      <c r="I116" s="5" t="n"/>
      <c r="J116" s="6">
        <f>IF(OR(F116="",COUNT(G116:I116)&lt;3),"",F116+G116-H116-I116)</f>
        <v/>
      </c>
      <c r="K116" s="6">
        <f>IF(COUNTA(A116:D116,G116:I116)=0,"",IF(COUNTA(A116:D116,G116:I116)&lt;7,"LENGKAPI",IF(H116+I116&gt;N(F116)+G116,"ABNORMAL",IF(COUNTIFS($A$2:$A$2001,A116,$B$2:$B$2001,B116,$C$2:$C$2001,C116,$D$2:$D$2001,D116)&gt;1,"DUPLIKAT","OK"))))</f>
        <v/>
      </c>
    </row>
    <row r="117">
      <c r="A117" s="4" t="n"/>
      <c r="B117" s="5" t="n"/>
      <c r="C117" s="5" t="n"/>
      <c r="D117" s="5" t="n"/>
      <c r="E117" s="6">
        <f>IF(A117="","","B"&amp;TEXT(COUNT($A$2:A117),"00000"))</f>
        <v/>
      </c>
      <c r="F117" s="6">
        <f>IF(OR(C117="",D117=""),"",IFERROR(LOOKUP(2,1/(($C$1:C116=C117)*($D$1:D116=D117)*ISNUMBER($J$1:J116)),$J$1:J116),SUMIFS(Master!$G$2:$G$13,Master!$E$2:$E$13,C117,Master!$F$2:$F$13,D117)))</f>
        <v/>
      </c>
      <c r="G117" s="5" t="n"/>
      <c r="H117" s="5" t="n"/>
      <c r="I117" s="5" t="n"/>
      <c r="J117" s="6">
        <f>IF(OR(F117="",COUNT(G117:I117)&lt;3),"",F117+G117-H117-I117)</f>
        <v/>
      </c>
      <c r="K117" s="6">
        <f>IF(COUNTA(A117:D117,G117:I117)=0,"",IF(COUNTA(A117:D117,G117:I117)&lt;7,"LENGKAPI",IF(H117+I117&gt;N(F117)+G117,"ABNORMAL",IF(COUNTIFS($A$2:$A$2001,A117,$B$2:$B$2001,B117,$C$2:$C$2001,C117,$D$2:$D$2001,D117)&gt;1,"DUPLIKAT","OK"))))</f>
        <v/>
      </c>
    </row>
    <row r="118">
      <c r="A118" s="4" t="n"/>
      <c r="B118" s="5" t="n"/>
      <c r="C118" s="5" t="n"/>
      <c r="D118" s="5" t="n"/>
      <c r="E118" s="6">
        <f>IF(A118="","","B"&amp;TEXT(COUNT($A$2:A118),"00000"))</f>
        <v/>
      </c>
      <c r="F118" s="6">
        <f>IF(OR(C118="",D118=""),"",IFERROR(LOOKUP(2,1/(($C$1:C117=C118)*($D$1:D117=D118)*ISNUMBER($J$1:J117)),$J$1:J117),SUMIFS(Master!$G$2:$G$13,Master!$E$2:$E$13,C118,Master!$F$2:$F$13,D118)))</f>
        <v/>
      </c>
      <c r="G118" s="5" t="n"/>
      <c r="H118" s="5" t="n"/>
      <c r="I118" s="5" t="n"/>
      <c r="J118" s="6">
        <f>IF(OR(F118="",COUNT(G118:I118)&lt;3),"",F118+G118-H118-I118)</f>
        <v/>
      </c>
      <c r="K118" s="6">
        <f>IF(COUNTA(A118:D118,G118:I118)=0,"",IF(COUNTA(A118:D118,G118:I118)&lt;7,"LENGKAPI",IF(H118+I118&gt;N(F118)+G118,"ABNORMAL",IF(COUNTIFS($A$2:$A$2001,A118,$B$2:$B$2001,B118,$C$2:$C$2001,C118,$D$2:$D$2001,D118)&gt;1,"DUPLIKAT","OK"))))</f>
        <v/>
      </c>
    </row>
    <row r="119">
      <c r="A119" s="4" t="n"/>
      <c r="B119" s="5" t="n"/>
      <c r="C119" s="5" t="n"/>
      <c r="D119" s="5" t="n"/>
      <c r="E119" s="6">
        <f>IF(A119="","","B"&amp;TEXT(COUNT($A$2:A119),"00000"))</f>
        <v/>
      </c>
      <c r="F119" s="6">
        <f>IF(OR(C119="",D119=""),"",IFERROR(LOOKUP(2,1/(($C$1:C118=C119)*($D$1:D118=D119)*ISNUMBER($J$1:J118)),$J$1:J118),SUMIFS(Master!$G$2:$G$13,Master!$E$2:$E$13,C119,Master!$F$2:$F$13,D119)))</f>
        <v/>
      </c>
      <c r="G119" s="5" t="n"/>
      <c r="H119" s="5" t="n"/>
      <c r="I119" s="5" t="n"/>
      <c r="J119" s="6">
        <f>IF(OR(F119="",COUNT(G119:I119)&lt;3),"",F119+G119-H119-I119)</f>
        <v/>
      </c>
      <c r="K119" s="6">
        <f>IF(COUNTA(A119:D119,G119:I119)=0,"",IF(COUNTA(A119:D119,G119:I119)&lt;7,"LENGKAPI",IF(H119+I119&gt;N(F119)+G119,"ABNORMAL",IF(COUNTIFS($A$2:$A$2001,A119,$B$2:$B$2001,B119,$C$2:$C$2001,C119,$D$2:$D$2001,D119)&gt;1,"DUPLIKAT","OK"))))</f>
        <v/>
      </c>
    </row>
    <row r="120">
      <c r="A120" s="4" t="n"/>
      <c r="B120" s="5" t="n"/>
      <c r="C120" s="5" t="n"/>
      <c r="D120" s="5" t="n"/>
      <c r="E120" s="6">
        <f>IF(A120="","","B"&amp;TEXT(COUNT($A$2:A120),"00000"))</f>
        <v/>
      </c>
      <c r="F120" s="6">
        <f>IF(OR(C120="",D120=""),"",IFERROR(LOOKUP(2,1/(($C$1:C119=C120)*($D$1:D119=D120)*ISNUMBER($J$1:J119)),$J$1:J119),SUMIFS(Master!$G$2:$G$13,Master!$E$2:$E$13,C120,Master!$F$2:$F$13,D120)))</f>
        <v/>
      </c>
      <c r="G120" s="5" t="n"/>
      <c r="H120" s="5" t="n"/>
      <c r="I120" s="5" t="n"/>
      <c r="J120" s="6">
        <f>IF(OR(F120="",COUNT(G120:I120)&lt;3),"",F120+G120-H120-I120)</f>
        <v/>
      </c>
      <c r="K120" s="6">
        <f>IF(COUNTA(A120:D120,G120:I120)=0,"",IF(COUNTA(A120:D120,G120:I120)&lt;7,"LENGKAPI",IF(H120+I120&gt;N(F120)+G120,"ABNORMAL",IF(COUNTIFS($A$2:$A$2001,A120,$B$2:$B$2001,B120,$C$2:$C$2001,C120,$D$2:$D$2001,D120)&gt;1,"DUPLIKAT","OK"))))</f>
        <v/>
      </c>
    </row>
    <row r="121">
      <c r="A121" s="4" t="n"/>
      <c r="B121" s="5" t="n"/>
      <c r="C121" s="5" t="n"/>
      <c r="D121" s="5" t="n"/>
      <c r="E121" s="6">
        <f>IF(A121="","","B"&amp;TEXT(COUNT($A$2:A121),"00000"))</f>
        <v/>
      </c>
      <c r="F121" s="6">
        <f>IF(OR(C121="",D121=""),"",IFERROR(LOOKUP(2,1/(($C$1:C120=C121)*($D$1:D120=D121)*ISNUMBER($J$1:J120)),$J$1:J120),SUMIFS(Master!$G$2:$G$13,Master!$E$2:$E$13,C121,Master!$F$2:$F$13,D121)))</f>
        <v/>
      </c>
      <c r="G121" s="5" t="n"/>
      <c r="H121" s="5" t="n"/>
      <c r="I121" s="5" t="n"/>
      <c r="J121" s="6">
        <f>IF(OR(F121="",COUNT(G121:I121)&lt;3),"",F121+G121-H121-I121)</f>
        <v/>
      </c>
      <c r="K121" s="6">
        <f>IF(COUNTA(A121:D121,G121:I121)=0,"",IF(COUNTA(A121:D121,G121:I121)&lt;7,"LENGKAPI",IF(H121+I121&gt;N(F121)+G121,"ABNORMAL",IF(COUNTIFS($A$2:$A$2001,A121,$B$2:$B$2001,B121,$C$2:$C$2001,C121,$D$2:$D$2001,D121)&gt;1,"DUPLIKAT","OK"))))</f>
        <v/>
      </c>
    </row>
    <row r="122">
      <c r="A122" s="4" t="n"/>
      <c r="B122" s="5" t="n"/>
      <c r="C122" s="5" t="n"/>
      <c r="D122" s="5" t="n"/>
      <c r="E122" s="6">
        <f>IF(A122="","","B"&amp;TEXT(COUNT($A$2:A122),"00000"))</f>
        <v/>
      </c>
      <c r="F122" s="6">
        <f>IF(OR(C122="",D122=""),"",IFERROR(LOOKUP(2,1/(($C$1:C121=C122)*($D$1:D121=D122)*ISNUMBER($J$1:J121)),$J$1:J121),SUMIFS(Master!$G$2:$G$13,Master!$E$2:$E$13,C122,Master!$F$2:$F$13,D122)))</f>
        <v/>
      </c>
      <c r="G122" s="5" t="n"/>
      <c r="H122" s="5" t="n"/>
      <c r="I122" s="5" t="n"/>
      <c r="J122" s="6">
        <f>IF(OR(F122="",COUNT(G122:I122)&lt;3),"",F122+G122-H122-I122)</f>
        <v/>
      </c>
      <c r="K122" s="6">
        <f>IF(COUNTA(A122:D122,G122:I122)=0,"",IF(COUNTA(A122:D122,G122:I122)&lt;7,"LENGKAPI",IF(H122+I122&gt;N(F122)+G122,"ABNORMAL",IF(COUNTIFS($A$2:$A$2001,A122,$B$2:$B$2001,B122,$C$2:$C$2001,C122,$D$2:$D$2001,D122)&gt;1,"DUPLIKAT","OK"))))</f>
        <v/>
      </c>
    </row>
    <row r="123">
      <c r="A123" s="4" t="n"/>
      <c r="B123" s="5" t="n"/>
      <c r="C123" s="5" t="n"/>
      <c r="D123" s="5" t="n"/>
      <c r="E123" s="6">
        <f>IF(A123="","","B"&amp;TEXT(COUNT($A$2:A123),"00000"))</f>
        <v/>
      </c>
      <c r="F123" s="6">
        <f>IF(OR(C123="",D123=""),"",IFERROR(LOOKUP(2,1/(($C$1:C122=C123)*($D$1:D122=D123)*ISNUMBER($J$1:J122)),$J$1:J122),SUMIFS(Master!$G$2:$G$13,Master!$E$2:$E$13,C123,Master!$F$2:$F$13,D123)))</f>
        <v/>
      </c>
      <c r="G123" s="5" t="n"/>
      <c r="H123" s="5" t="n"/>
      <c r="I123" s="5" t="n"/>
      <c r="J123" s="6">
        <f>IF(OR(F123="",COUNT(G123:I123)&lt;3),"",F123+G123-H123-I123)</f>
        <v/>
      </c>
      <c r="K123" s="6">
        <f>IF(COUNTA(A123:D123,G123:I123)=0,"",IF(COUNTA(A123:D123,G123:I123)&lt;7,"LENGKAPI",IF(H123+I123&gt;N(F123)+G123,"ABNORMAL",IF(COUNTIFS($A$2:$A$2001,A123,$B$2:$B$2001,B123,$C$2:$C$2001,C123,$D$2:$D$2001,D123)&gt;1,"DUPLIKAT","OK"))))</f>
        <v/>
      </c>
    </row>
    <row r="124">
      <c r="A124" s="4" t="n"/>
      <c r="B124" s="5" t="n"/>
      <c r="C124" s="5" t="n"/>
      <c r="D124" s="5" t="n"/>
      <c r="E124" s="6">
        <f>IF(A124="","","B"&amp;TEXT(COUNT($A$2:A124),"00000"))</f>
        <v/>
      </c>
      <c r="F124" s="6">
        <f>IF(OR(C124="",D124=""),"",IFERROR(LOOKUP(2,1/(($C$1:C123=C124)*($D$1:D123=D124)*ISNUMBER($J$1:J123)),$J$1:J123),SUMIFS(Master!$G$2:$G$13,Master!$E$2:$E$13,C124,Master!$F$2:$F$13,D124)))</f>
        <v/>
      </c>
      <c r="G124" s="5" t="n"/>
      <c r="H124" s="5" t="n"/>
      <c r="I124" s="5" t="n"/>
      <c r="J124" s="6">
        <f>IF(OR(F124="",COUNT(G124:I124)&lt;3),"",F124+G124-H124-I124)</f>
        <v/>
      </c>
      <c r="K124" s="6">
        <f>IF(COUNTA(A124:D124,G124:I124)=0,"",IF(COUNTA(A124:D124,G124:I124)&lt;7,"LENGKAPI",IF(H124+I124&gt;N(F124)+G124,"ABNORMAL",IF(COUNTIFS($A$2:$A$2001,A124,$B$2:$B$2001,B124,$C$2:$C$2001,C124,$D$2:$D$2001,D124)&gt;1,"DUPLIKAT","OK"))))</f>
        <v/>
      </c>
    </row>
    <row r="125">
      <c r="A125" s="4" t="n"/>
      <c r="B125" s="5" t="n"/>
      <c r="C125" s="5" t="n"/>
      <c r="D125" s="5" t="n"/>
      <c r="E125" s="6">
        <f>IF(A125="","","B"&amp;TEXT(COUNT($A$2:A125),"00000"))</f>
        <v/>
      </c>
      <c r="F125" s="6">
        <f>IF(OR(C125="",D125=""),"",IFERROR(LOOKUP(2,1/(($C$1:C124=C125)*($D$1:D124=D125)*ISNUMBER($J$1:J124)),$J$1:J124),SUMIFS(Master!$G$2:$G$13,Master!$E$2:$E$13,C125,Master!$F$2:$F$13,D125)))</f>
        <v/>
      </c>
      <c r="G125" s="5" t="n"/>
      <c r="H125" s="5" t="n"/>
      <c r="I125" s="5" t="n"/>
      <c r="J125" s="6">
        <f>IF(OR(F125="",COUNT(G125:I125)&lt;3),"",F125+G125-H125-I125)</f>
        <v/>
      </c>
      <c r="K125" s="6">
        <f>IF(COUNTA(A125:D125,G125:I125)=0,"",IF(COUNTA(A125:D125,G125:I125)&lt;7,"LENGKAPI",IF(H125+I125&gt;N(F125)+G125,"ABNORMAL",IF(COUNTIFS($A$2:$A$2001,A125,$B$2:$B$2001,B125,$C$2:$C$2001,C125,$D$2:$D$2001,D125)&gt;1,"DUPLIKAT","OK"))))</f>
        <v/>
      </c>
    </row>
    <row r="126">
      <c r="A126" s="4" t="n"/>
      <c r="B126" s="5" t="n"/>
      <c r="C126" s="5" t="n"/>
      <c r="D126" s="5" t="n"/>
      <c r="E126" s="6">
        <f>IF(A126="","","B"&amp;TEXT(COUNT($A$2:A126),"00000"))</f>
        <v/>
      </c>
      <c r="F126" s="6">
        <f>IF(OR(C126="",D126=""),"",IFERROR(LOOKUP(2,1/(($C$1:C125=C126)*($D$1:D125=D126)*ISNUMBER($J$1:J125)),$J$1:J125),SUMIFS(Master!$G$2:$G$13,Master!$E$2:$E$13,C126,Master!$F$2:$F$13,D126)))</f>
        <v/>
      </c>
      <c r="G126" s="5" t="n"/>
      <c r="H126" s="5" t="n"/>
      <c r="I126" s="5" t="n"/>
      <c r="J126" s="6">
        <f>IF(OR(F126="",COUNT(G126:I126)&lt;3),"",F126+G126-H126-I126)</f>
        <v/>
      </c>
      <c r="K126" s="6">
        <f>IF(COUNTA(A126:D126,G126:I126)=0,"",IF(COUNTA(A126:D126,G126:I126)&lt;7,"LENGKAPI",IF(H126+I126&gt;N(F126)+G126,"ABNORMAL",IF(COUNTIFS($A$2:$A$2001,A126,$B$2:$B$2001,B126,$C$2:$C$2001,C126,$D$2:$D$2001,D126)&gt;1,"DUPLIKAT","OK"))))</f>
        <v/>
      </c>
    </row>
    <row r="127">
      <c r="A127" s="4" t="n"/>
      <c r="B127" s="5" t="n"/>
      <c r="C127" s="5" t="n"/>
      <c r="D127" s="5" t="n"/>
      <c r="E127" s="6">
        <f>IF(A127="","","B"&amp;TEXT(COUNT($A$2:A127),"00000"))</f>
        <v/>
      </c>
      <c r="F127" s="6">
        <f>IF(OR(C127="",D127=""),"",IFERROR(LOOKUP(2,1/(($C$1:C126=C127)*($D$1:D126=D127)*ISNUMBER($J$1:J126)),$J$1:J126),SUMIFS(Master!$G$2:$G$13,Master!$E$2:$E$13,C127,Master!$F$2:$F$13,D127)))</f>
        <v/>
      </c>
      <c r="G127" s="5" t="n"/>
      <c r="H127" s="5" t="n"/>
      <c r="I127" s="5" t="n"/>
      <c r="J127" s="6">
        <f>IF(OR(F127="",COUNT(G127:I127)&lt;3),"",F127+G127-H127-I127)</f>
        <v/>
      </c>
      <c r="K127" s="6">
        <f>IF(COUNTA(A127:D127,G127:I127)=0,"",IF(COUNTA(A127:D127,G127:I127)&lt;7,"LENGKAPI",IF(H127+I127&gt;N(F127)+G127,"ABNORMAL",IF(COUNTIFS($A$2:$A$2001,A127,$B$2:$B$2001,B127,$C$2:$C$2001,C127,$D$2:$D$2001,D127)&gt;1,"DUPLIKAT","OK"))))</f>
        <v/>
      </c>
    </row>
    <row r="128">
      <c r="A128" s="4" t="n"/>
      <c r="B128" s="5" t="n"/>
      <c r="C128" s="5" t="n"/>
      <c r="D128" s="5" t="n"/>
      <c r="E128" s="6">
        <f>IF(A128="","","B"&amp;TEXT(COUNT($A$2:A128),"00000"))</f>
        <v/>
      </c>
      <c r="F128" s="6">
        <f>IF(OR(C128="",D128=""),"",IFERROR(LOOKUP(2,1/(($C$1:C127=C128)*($D$1:D127=D128)*ISNUMBER($J$1:J127)),$J$1:J127),SUMIFS(Master!$G$2:$G$13,Master!$E$2:$E$13,C128,Master!$F$2:$F$13,D128)))</f>
        <v/>
      </c>
      <c r="G128" s="5" t="n"/>
      <c r="H128" s="5" t="n"/>
      <c r="I128" s="5" t="n"/>
      <c r="J128" s="6">
        <f>IF(OR(F128="",COUNT(G128:I128)&lt;3),"",F128+G128-H128-I128)</f>
        <v/>
      </c>
      <c r="K128" s="6">
        <f>IF(COUNTA(A128:D128,G128:I128)=0,"",IF(COUNTA(A128:D128,G128:I128)&lt;7,"LENGKAPI",IF(H128+I128&gt;N(F128)+G128,"ABNORMAL",IF(COUNTIFS($A$2:$A$2001,A128,$B$2:$B$2001,B128,$C$2:$C$2001,C128,$D$2:$D$2001,D128)&gt;1,"DUPLIKAT","OK"))))</f>
        <v/>
      </c>
    </row>
    <row r="129">
      <c r="A129" s="4" t="n"/>
      <c r="B129" s="5" t="n"/>
      <c r="C129" s="5" t="n"/>
      <c r="D129" s="5" t="n"/>
      <c r="E129" s="6">
        <f>IF(A129="","","B"&amp;TEXT(COUNT($A$2:A129),"00000"))</f>
        <v/>
      </c>
      <c r="F129" s="6">
        <f>IF(OR(C129="",D129=""),"",IFERROR(LOOKUP(2,1/(($C$1:C128=C129)*($D$1:D128=D129)*ISNUMBER($J$1:J128)),$J$1:J128),SUMIFS(Master!$G$2:$G$13,Master!$E$2:$E$13,C129,Master!$F$2:$F$13,D129)))</f>
        <v/>
      </c>
      <c r="G129" s="5" t="n"/>
      <c r="H129" s="5" t="n"/>
      <c r="I129" s="5" t="n"/>
      <c r="J129" s="6">
        <f>IF(OR(F129="",COUNT(G129:I129)&lt;3),"",F129+G129-H129-I129)</f>
        <v/>
      </c>
      <c r="K129" s="6">
        <f>IF(COUNTA(A129:D129,G129:I129)=0,"",IF(COUNTA(A129:D129,G129:I129)&lt;7,"LENGKAPI",IF(H129+I129&gt;N(F129)+G129,"ABNORMAL",IF(COUNTIFS($A$2:$A$2001,A129,$B$2:$B$2001,B129,$C$2:$C$2001,C129,$D$2:$D$2001,D129)&gt;1,"DUPLIKAT","OK"))))</f>
        <v/>
      </c>
    </row>
    <row r="130">
      <c r="A130" s="4" t="n"/>
      <c r="B130" s="5" t="n"/>
      <c r="C130" s="5" t="n"/>
      <c r="D130" s="5" t="n"/>
      <c r="E130" s="6">
        <f>IF(A130="","","B"&amp;TEXT(COUNT($A$2:A130),"00000"))</f>
        <v/>
      </c>
      <c r="F130" s="6">
        <f>IF(OR(C130="",D130=""),"",IFERROR(LOOKUP(2,1/(($C$1:C129=C130)*($D$1:D129=D130)*ISNUMBER($J$1:J129)),$J$1:J129),SUMIFS(Master!$G$2:$G$13,Master!$E$2:$E$13,C130,Master!$F$2:$F$13,D130)))</f>
        <v/>
      </c>
      <c r="G130" s="5" t="n"/>
      <c r="H130" s="5" t="n"/>
      <c r="I130" s="5" t="n"/>
      <c r="J130" s="6">
        <f>IF(OR(F130="",COUNT(G130:I130)&lt;3),"",F130+G130-H130-I130)</f>
        <v/>
      </c>
      <c r="K130" s="6">
        <f>IF(COUNTA(A130:D130,G130:I130)=0,"",IF(COUNTA(A130:D130,G130:I130)&lt;7,"LENGKAPI",IF(H130+I130&gt;N(F130)+G130,"ABNORMAL",IF(COUNTIFS($A$2:$A$2001,A130,$B$2:$B$2001,B130,$C$2:$C$2001,C130,$D$2:$D$2001,D130)&gt;1,"DUPLIKAT","OK"))))</f>
        <v/>
      </c>
    </row>
    <row r="131">
      <c r="A131" s="4" t="n"/>
      <c r="B131" s="5" t="n"/>
      <c r="C131" s="5" t="n"/>
      <c r="D131" s="5" t="n"/>
      <c r="E131" s="6">
        <f>IF(A131="","","B"&amp;TEXT(COUNT($A$2:A131),"00000"))</f>
        <v/>
      </c>
      <c r="F131" s="6">
        <f>IF(OR(C131="",D131=""),"",IFERROR(LOOKUP(2,1/(($C$1:C130=C131)*($D$1:D130=D131)*ISNUMBER($J$1:J130)),$J$1:J130),SUMIFS(Master!$G$2:$G$13,Master!$E$2:$E$13,C131,Master!$F$2:$F$13,D131)))</f>
        <v/>
      </c>
      <c r="G131" s="5" t="n"/>
      <c r="H131" s="5" t="n"/>
      <c r="I131" s="5" t="n"/>
      <c r="J131" s="6">
        <f>IF(OR(F131="",COUNT(G131:I131)&lt;3),"",F131+G131-H131-I131)</f>
        <v/>
      </c>
      <c r="K131" s="6">
        <f>IF(COUNTA(A131:D131,G131:I131)=0,"",IF(COUNTA(A131:D131,G131:I131)&lt;7,"LENGKAPI",IF(H131+I131&gt;N(F131)+G131,"ABNORMAL",IF(COUNTIFS($A$2:$A$2001,A131,$B$2:$B$2001,B131,$C$2:$C$2001,C131,$D$2:$D$2001,D131)&gt;1,"DUPLIKAT","OK"))))</f>
        <v/>
      </c>
    </row>
    <row r="132">
      <c r="A132" s="4" t="n"/>
      <c r="B132" s="5" t="n"/>
      <c r="C132" s="5" t="n"/>
      <c r="D132" s="5" t="n"/>
      <c r="E132" s="6">
        <f>IF(A132="","","B"&amp;TEXT(COUNT($A$2:A132),"00000"))</f>
        <v/>
      </c>
      <c r="F132" s="6">
        <f>IF(OR(C132="",D132=""),"",IFERROR(LOOKUP(2,1/(($C$1:C131=C132)*($D$1:D131=D132)*ISNUMBER($J$1:J131)),$J$1:J131),SUMIFS(Master!$G$2:$G$13,Master!$E$2:$E$13,C132,Master!$F$2:$F$13,D132)))</f>
        <v/>
      </c>
      <c r="G132" s="5" t="n"/>
      <c r="H132" s="5" t="n"/>
      <c r="I132" s="5" t="n"/>
      <c r="J132" s="6">
        <f>IF(OR(F132="",COUNT(G132:I132)&lt;3),"",F132+G132-H132-I132)</f>
        <v/>
      </c>
      <c r="K132" s="6">
        <f>IF(COUNTA(A132:D132,G132:I132)=0,"",IF(COUNTA(A132:D132,G132:I132)&lt;7,"LENGKAPI",IF(H132+I132&gt;N(F132)+G132,"ABNORMAL",IF(COUNTIFS($A$2:$A$2001,A132,$B$2:$B$2001,B132,$C$2:$C$2001,C132,$D$2:$D$2001,D132)&gt;1,"DUPLIKAT","OK"))))</f>
        <v/>
      </c>
    </row>
    <row r="133">
      <c r="A133" s="4" t="n"/>
      <c r="B133" s="5" t="n"/>
      <c r="C133" s="5" t="n"/>
      <c r="D133" s="5" t="n"/>
      <c r="E133" s="6">
        <f>IF(A133="","","B"&amp;TEXT(COUNT($A$2:A133),"00000"))</f>
        <v/>
      </c>
      <c r="F133" s="6">
        <f>IF(OR(C133="",D133=""),"",IFERROR(LOOKUP(2,1/(($C$1:C132=C133)*($D$1:D132=D133)*ISNUMBER($J$1:J132)),$J$1:J132),SUMIFS(Master!$G$2:$G$13,Master!$E$2:$E$13,C133,Master!$F$2:$F$13,D133)))</f>
        <v/>
      </c>
      <c r="G133" s="5" t="n"/>
      <c r="H133" s="5" t="n"/>
      <c r="I133" s="5" t="n"/>
      <c r="J133" s="6">
        <f>IF(OR(F133="",COUNT(G133:I133)&lt;3),"",F133+G133-H133-I133)</f>
        <v/>
      </c>
      <c r="K133" s="6">
        <f>IF(COUNTA(A133:D133,G133:I133)=0,"",IF(COUNTA(A133:D133,G133:I133)&lt;7,"LENGKAPI",IF(H133+I133&gt;N(F133)+G133,"ABNORMAL",IF(COUNTIFS($A$2:$A$2001,A133,$B$2:$B$2001,B133,$C$2:$C$2001,C133,$D$2:$D$2001,D133)&gt;1,"DUPLIKAT","OK"))))</f>
        <v/>
      </c>
    </row>
    <row r="134">
      <c r="A134" s="4" t="n"/>
      <c r="B134" s="5" t="n"/>
      <c r="C134" s="5" t="n"/>
      <c r="D134" s="5" t="n"/>
      <c r="E134" s="6">
        <f>IF(A134="","","B"&amp;TEXT(COUNT($A$2:A134),"00000"))</f>
        <v/>
      </c>
      <c r="F134" s="6">
        <f>IF(OR(C134="",D134=""),"",IFERROR(LOOKUP(2,1/(($C$1:C133=C134)*($D$1:D133=D134)*ISNUMBER($J$1:J133)),$J$1:J133),SUMIFS(Master!$G$2:$G$13,Master!$E$2:$E$13,C134,Master!$F$2:$F$13,D134)))</f>
        <v/>
      </c>
      <c r="G134" s="5" t="n"/>
      <c r="H134" s="5" t="n"/>
      <c r="I134" s="5" t="n"/>
      <c r="J134" s="6">
        <f>IF(OR(F134="",COUNT(G134:I134)&lt;3),"",F134+G134-H134-I134)</f>
        <v/>
      </c>
      <c r="K134" s="6">
        <f>IF(COUNTA(A134:D134,G134:I134)=0,"",IF(COUNTA(A134:D134,G134:I134)&lt;7,"LENGKAPI",IF(H134+I134&gt;N(F134)+G134,"ABNORMAL",IF(COUNTIFS($A$2:$A$2001,A134,$B$2:$B$2001,B134,$C$2:$C$2001,C134,$D$2:$D$2001,D134)&gt;1,"DUPLIKAT","OK"))))</f>
        <v/>
      </c>
    </row>
    <row r="135">
      <c r="A135" s="4" t="n"/>
      <c r="B135" s="5" t="n"/>
      <c r="C135" s="5" t="n"/>
      <c r="D135" s="5" t="n"/>
      <c r="E135" s="6">
        <f>IF(A135="","","B"&amp;TEXT(COUNT($A$2:A135),"00000"))</f>
        <v/>
      </c>
      <c r="F135" s="6">
        <f>IF(OR(C135="",D135=""),"",IFERROR(LOOKUP(2,1/(($C$1:C134=C135)*($D$1:D134=D135)*ISNUMBER($J$1:J134)),$J$1:J134),SUMIFS(Master!$G$2:$G$13,Master!$E$2:$E$13,C135,Master!$F$2:$F$13,D135)))</f>
        <v/>
      </c>
      <c r="G135" s="5" t="n"/>
      <c r="H135" s="5" t="n"/>
      <c r="I135" s="5" t="n"/>
      <c r="J135" s="6">
        <f>IF(OR(F135="",COUNT(G135:I135)&lt;3),"",F135+G135-H135-I135)</f>
        <v/>
      </c>
      <c r="K135" s="6">
        <f>IF(COUNTA(A135:D135,G135:I135)=0,"",IF(COUNTA(A135:D135,G135:I135)&lt;7,"LENGKAPI",IF(H135+I135&gt;N(F135)+G135,"ABNORMAL",IF(COUNTIFS($A$2:$A$2001,A135,$B$2:$B$2001,B135,$C$2:$C$2001,C135,$D$2:$D$2001,D135)&gt;1,"DUPLIKAT","OK"))))</f>
        <v/>
      </c>
    </row>
    <row r="136">
      <c r="A136" s="4" t="n"/>
      <c r="B136" s="5" t="n"/>
      <c r="C136" s="5" t="n"/>
      <c r="D136" s="5" t="n"/>
      <c r="E136" s="6">
        <f>IF(A136="","","B"&amp;TEXT(COUNT($A$2:A136),"00000"))</f>
        <v/>
      </c>
      <c r="F136" s="6">
        <f>IF(OR(C136="",D136=""),"",IFERROR(LOOKUP(2,1/(($C$1:C135=C136)*($D$1:D135=D136)*ISNUMBER($J$1:J135)),$J$1:J135),SUMIFS(Master!$G$2:$G$13,Master!$E$2:$E$13,C136,Master!$F$2:$F$13,D136)))</f>
        <v/>
      </c>
      <c r="G136" s="5" t="n"/>
      <c r="H136" s="5" t="n"/>
      <c r="I136" s="5" t="n"/>
      <c r="J136" s="6">
        <f>IF(OR(F136="",COUNT(G136:I136)&lt;3),"",F136+G136-H136-I136)</f>
        <v/>
      </c>
      <c r="K136" s="6">
        <f>IF(COUNTA(A136:D136,G136:I136)=0,"",IF(COUNTA(A136:D136,G136:I136)&lt;7,"LENGKAPI",IF(H136+I136&gt;N(F136)+G136,"ABNORMAL",IF(COUNTIFS($A$2:$A$2001,A136,$B$2:$B$2001,B136,$C$2:$C$2001,C136,$D$2:$D$2001,D136)&gt;1,"DUPLIKAT","OK"))))</f>
        <v/>
      </c>
    </row>
    <row r="137">
      <c r="A137" s="4" t="n"/>
      <c r="B137" s="5" t="n"/>
      <c r="C137" s="5" t="n"/>
      <c r="D137" s="5" t="n"/>
      <c r="E137" s="6">
        <f>IF(A137="","","B"&amp;TEXT(COUNT($A$2:A137),"00000"))</f>
        <v/>
      </c>
      <c r="F137" s="6">
        <f>IF(OR(C137="",D137=""),"",IFERROR(LOOKUP(2,1/(($C$1:C136=C137)*($D$1:D136=D137)*ISNUMBER($J$1:J136)),$J$1:J136),SUMIFS(Master!$G$2:$G$13,Master!$E$2:$E$13,C137,Master!$F$2:$F$13,D137)))</f>
        <v/>
      </c>
      <c r="G137" s="5" t="n"/>
      <c r="H137" s="5" t="n"/>
      <c r="I137" s="5" t="n"/>
      <c r="J137" s="6">
        <f>IF(OR(F137="",COUNT(G137:I137)&lt;3),"",F137+G137-H137-I137)</f>
        <v/>
      </c>
      <c r="K137" s="6">
        <f>IF(COUNTA(A137:D137,G137:I137)=0,"",IF(COUNTA(A137:D137,G137:I137)&lt;7,"LENGKAPI",IF(H137+I137&gt;N(F137)+G137,"ABNORMAL",IF(COUNTIFS($A$2:$A$2001,A137,$B$2:$B$2001,B137,$C$2:$C$2001,C137,$D$2:$D$2001,D137)&gt;1,"DUPLIKAT","OK"))))</f>
        <v/>
      </c>
    </row>
    <row r="138">
      <c r="A138" s="4" t="n"/>
      <c r="B138" s="5" t="n"/>
      <c r="C138" s="5" t="n"/>
      <c r="D138" s="5" t="n"/>
      <c r="E138" s="6">
        <f>IF(A138="","","B"&amp;TEXT(COUNT($A$2:A138),"00000"))</f>
        <v/>
      </c>
      <c r="F138" s="6">
        <f>IF(OR(C138="",D138=""),"",IFERROR(LOOKUP(2,1/(($C$1:C137=C138)*($D$1:D137=D138)*ISNUMBER($J$1:J137)),$J$1:J137),SUMIFS(Master!$G$2:$G$13,Master!$E$2:$E$13,C138,Master!$F$2:$F$13,D138)))</f>
        <v/>
      </c>
      <c r="G138" s="5" t="n"/>
      <c r="H138" s="5" t="n"/>
      <c r="I138" s="5" t="n"/>
      <c r="J138" s="6">
        <f>IF(OR(F138="",COUNT(G138:I138)&lt;3),"",F138+G138-H138-I138)</f>
        <v/>
      </c>
      <c r="K138" s="6">
        <f>IF(COUNTA(A138:D138,G138:I138)=0,"",IF(COUNTA(A138:D138,G138:I138)&lt;7,"LENGKAPI",IF(H138+I138&gt;N(F138)+G138,"ABNORMAL",IF(COUNTIFS($A$2:$A$2001,A138,$B$2:$B$2001,B138,$C$2:$C$2001,C138,$D$2:$D$2001,D138)&gt;1,"DUPLIKAT","OK"))))</f>
        <v/>
      </c>
    </row>
    <row r="139">
      <c r="A139" s="4" t="n"/>
      <c r="B139" s="5" t="n"/>
      <c r="C139" s="5" t="n"/>
      <c r="D139" s="5" t="n"/>
      <c r="E139" s="6">
        <f>IF(A139="","","B"&amp;TEXT(COUNT($A$2:A139),"00000"))</f>
        <v/>
      </c>
      <c r="F139" s="6">
        <f>IF(OR(C139="",D139=""),"",IFERROR(LOOKUP(2,1/(($C$1:C138=C139)*($D$1:D138=D139)*ISNUMBER($J$1:J138)),$J$1:J138),SUMIFS(Master!$G$2:$G$13,Master!$E$2:$E$13,C139,Master!$F$2:$F$13,D139)))</f>
        <v/>
      </c>
      <c r="G139" s="5" t="n"/>
      <c r="H139" s="5" t="n"/>
      <c r="I139" s="5" t="n"/>
      <c r="J139" s="6">
        <f>IF(OR(F139="",COUNT(G139:I139)&lt;3),"",F139+G139-H139-I139)</f>
        <v/>
      </c>
      <c r="K139" s="6">
        <f>IF(COUNTA(A139:D139,G139:I139)=0,"",IF(COUNTA(A139:D139,G139:I139)&lt;7,"LENGKAPI",IF(H139+I139&gt;N(F139)+G139,"ABNORMAL",IF(COUNTIFS($A$2:$A$2001,A139,$B$2:$B$2001,B139,$C$2:$C$2001,C139,$D$2:$D$2001,D139)&gt;1,"DUPLIKAT","OK"))))</f>
        <v/>
      </c>
    </row>
    <row r="140">
      <c r="A140" s="4" t="n"/>
      <c r="B140" s="5" t="n"/>
      <c r="C140" s="5" t="n"/>
      <c r="D140" s="5" t="n"/>
      <c r="E140" s="6">
        <f>IF(A140="","","B"&amp;TEXT(COUNT($A$2:A140),"00000"))</f>
        <v/>
      </c>
      <c r="F140" s="6">
        <f>IF(OR(C140="",D140=""),"",IFERROR(LOOKUP(2,1/(($C$1:C139=C140)*($D$1:D139=D140)*ISNUMBER($J$1:J139)),$J$1:J139),SUMIFS(Master!$G$2:$G$13,Master!$E$2:$E$13,C140,Master!$F$2:$F$13,D140)))</f>
        <v/>
      </c>
      <c r="G140" s="5" t="n"/>
      <c r="H140" s="5" t="n"/>
      <c r="I140" s="5" t="n"/>
      <c r="J140" s="6">
        <f>IF(OR(F140="",COUNT(G140:I140)&lt;3),"",F140+G140-H140-I140)</f>
        <v/>
      </c>
      <c r="K140" s="6">
        <f>IF(COUNTA(A140:D140,G140:I140)=0,"",IF(COUNTA(A140:D140,G140:I140)&lt;7,"LENGKAPI",IF(H140+I140&gt;N(F140)+G140,"ABNORMAL",IF(COUNTIFS($A$2:$A$2001,A140,$B$2:$B$2001,B140,$C$2:$C$2001,C140,$D$2:$D$2001,D140)&gt;1,"DUPLIKAT","OK"))))</f>
        <v/>
      </c>
    </row>
    <row r="141">
      <c r="A141" s="4" t="n"/>
      <c r="B141" s="5" t="n"/>
      <c r="C141" s="5" t="n"/>
      <c r="D141" s="5" t="n"/>
      <c r="E141" s="6">
        <f>IF(A141="","","B"&amp;TEXT(COUNT($A$2:A141),"00000"))</f>
        <v/>
      </c>
      <c r="F141" s="6">
        <f>IF(OR(C141="",D141=""),"",IFERROR(LOOKUP(2,1/(($C$1:C140=C141)*($D$1:D140=D141)*ISNUMBER($J$1:J140)),$J$1:J140),SUMIFS(Master!$G$2:$G$13,Master!$E$2:$E$13,C141,Master!$F$2:$F$13,D141)))</f>
        <v/>
      </c>
      <c r="G141" s="5" t="n"/>
      <c r="H141" s="5" t="n"/>
      <c r="I141" s="5" t="n"/>
      <c r="J141" s="6">
        <f>IF(OR(F141="",COUNT(G141:I141)&lt;3),"",F141+G141-H141-I141)</f>
        <v/>
      </c>
      <c r="K141" s="6">
        <f>IF(COUNTA(A141:D141,G141:I141)=0,"",IF(COUNTA(A141:D141,G141:I141)&lt;7,"LENGKAPI",IF(H141+I141&gt;N(F141)+G141,"ABNORMAL",IF(COUNTIFS($A$2:$A$2001,A141,$B$2:$B$2001,B141,$C$2:$C$2001,C141,$D$2:$D$2001,D141)&gt;1,"DUPLIKAT","OK"))))</f>
        <v/>
      </c>
    </row>
    <row r="142">
      <c r="A142" s="4" t="n"/>
      <c r="B142" s="5" t="n"/>
      <c r="C142" s="5" t="n"/>
      <c r="D142" s="5" t="n"/>
      <c r="E142" s="6">
        <f>IF(A142="","","B"&amp;TEXT(COUNT($A$2:A142),"00000"))</f>
        <v/>
      </c>
      <c r="F142" s="6">
        <f>IF(OR(C142="",D142=""),"",IFERROR(LOOKUP(2,1/(($C$1:C141=C142)*($D$1:D141=D142)*ISNUMBER($J$1:J141)),$J$1:J141),SUMIFS(Master!$G$2:$G$13,Master!$E$2:$E$13,C142,Master!$F$2:$F$13,D142)))</f>
        <v/>
      </c>
      <c r="G142" s="5" t="n"/>
      <c r="H142" s="5" t="n"/>
      <c r="I142" s="5" t="n"/>
      <c r="J142" s="6">
        <f>IF(OR(F142="",COUNT(G142:I142)&lt;3),"",F142+G142-H142-I142)</f>
        <v/>
      </c>
      <c r="K142" s="6">
        <f>IF(COUNTA(A142:D142,G142:I142)=0,"",IF(COUNTA(A142:D142,G142:I142)&lt;7,"LENGKAPI",IF(H142+I142&gt;N(F142)+G142,"ABNORMAL",IF(COUNTIFS($A$2:$A$2001,A142,$B$2:$B$2001,B142,$C$2:$C$2001,C142,$D$2:$D$2001,D142)&gt;1,"DUPLIKAT","OK"))))</f>
        <v/>
      </c>
    </row>
    <row r="143">
      <c r="A143" s="4" t="n"/>
      <c r="B143" s="5" t="n"/>
      <c r="C143" s="5" t="n"/>
      <c r="D143" s="5" t="n"/>
      <c r="E143" s="6">
        <f>IF(A143="","","B"&amp;TEXT(COUNT($A$2:A143),"00000"))</f>
        <v/>
      </c>
      <c r="F143" s="6">
        <f>IF(OR(C143="",D143=""),"",IFERROR(LOOKUP(2,1/(($C$1:C142=C143)*($D$1:D142=D143)*ISNUMBER($J$1:J142)),$J$1:J142),SUMIFS(Master!$G$2:$G$13,Master!$E$2:$E$13,C143,Master!$F$2:$F$13,D143)))</f>
        <v/>
      </c>
      <c r="G143" s="5" t="n"/>
      <c r="H143" s="5" t="n"/>
      <c r="I143" s="5" t="n"/>
      <c r="J143" s="6">
        <f>IF(OR(F143="",COUNT(G143:I143)&lt;3),"",F143+G143-H143-I143)</f>
        <v/>
      </c>
      <c r="K143" s="6">
        <f>IF(COUNTA(A143:D143,G143:I143)=0,"",IF(COUNTA(A143:D143,G143:I143)&lt;7,"LENGKAPI",IF(H143+I143&gt;N(F143)+G143,"ABNORMAL",IF(COUNTIFS($A$2:$A$2001,A143,$B$2:$B$2001,B143,$C$2:$C$2001,C143,$D$2:$D$2001,D143)&gt;1,"DUPLIKAT","OK"))))</f>
        <v/>
      </c>
    </row>
    <row r="144">
      <c r="A144" s="4" t="n"/>
      <c r="B144" s="5" t="n"/>
      <c r="C144" s="5" t="n"/>
      <c r="D144" s="5" t="n"/>
      <c r="E144" s="6">
        <f>IF(A144="","","B"&amp;TEXT(COUNT($A$2:A144),"00000"))</f>
        <v/>
      </c>
      <c r="F144" s="6">
        <f>IF(OR(C144="",D144=""),"",IFERROR(LOOKUP(2,1/(($C$1:C143=C144)*($D$1:D143=D144)*ISNUMBER($J$1:J143)),$J$1:J143),SUMIFS(Master!$G$2:$G$13,Master!$E$2:$E$13,C144,Master!$F$2:$F$13,D144)))</f>
        <v/>
      </c>
      <c r="G144" s="5" t="n"/>
      <c r="H144" s="5" t="n"/>
      <c r="I144" s="5" t="n"/>
      <c r="J144" s="6">
        <f>IF(OR(F144="",COUNT(G144:I144)&lt;3),"",F144+G144-H144-I144)</f>
        <v/>
      </c>
      <c r="K144" s="6">
        <f>IF(COUNTA(A144:D144,G144:I144)=0,"",IF(COUNTA(A144:D144,G144:I144)&lt;7,"LENGKAPI",IF(H144+I144&gt;N(F144)+G144,"ABNORMAL",IF(COUNTIFS($A$2:$A$2001,A144,$B$2:$B$2001,B144,$C$2:$C$2001,C144,$D$2:$D$2001,D144)&gt;1,"DUPLIKAT","OK"))))</f>
        <v/>
      </c>
    </row>
    <row r="145">
      <c r="A145" s="4" t="n"/>
      <c r="B145" s="5" t="n"/>
      <c r="C145" s="5" t="n"/>
      <c r="D145" s="5" t="n"/>
      <c r="E145" s="6">
        <f>IF(A145="","","B"&amp;TEXT(COUNT($A$2:A145),"00000"))</f>
        <v/>
      </c>
      <c r="F145" s="6">
        <f>IF(OR(C145="",D145=""),"",IFERROR(LOOKUP(2,1/(($C$1:C144=C145)*($D$1:D144=D145)*ISNUMBER($J$1:J144)),$J$1:J144),SUMIFS(Master!$G$2:$G$13,Master!$E$2:$E$13,C145,Master!$F$2:$F$13,D145)))</f>
        <v/>
      </c>
      <c r="G145" s="5" t="n"/>
      <c r="H145" s="5" t="n"/>
      <c r="I145" s="5" t="n"/>
      <c r="J145" s="6">
        <f>IF(OR(F145="",COUNT(G145:I145)&lt;3),"",F145+G145-H145-I145)</f>
        <v/>
      </c>
      <c r="K145" s="6">
        <f>IF(COUNTA(A145:D145,G145:I145)=0,"",IF(COUNTA(A145:D145,G145:I145)&lt;7,"LENGKAPI",IF(H145+I145&gt;N(F145)+G145,"ABNORMAL",IF(COUNTIFS($A$2:$A$2001,A145,$B$2:$B$2001,B145,$C$2:$C$2001,C145,$D$2:$D$2001,D145)&gt;1,"DUPLIKAT","OK"))))</f>
        <v/>
      </c>
    </row>
    <row r="146">
      <c r="A146" s="4" t="n"/>
      <c r="B146" s="5" t="n"/>
      <c r="C146" s="5" t="n"/>
      <c r="D146" s="5" t="n"/>
      <c r="E146" s="6">
        <f>IF(A146="","","B"&amp;TEXT(COUNT($A$2:A146),"00000"))</f>
        <v/>
      </c>
      <c r="F146" s="6">
        <f>IF(OR(C146="",D146=""),"",IFERROR(LOOKUP(2,1/(($C$1:C145=C146)*($D$1:D145=D146)*ISNUMBER($J$1:J145)),$J$1:J145),SUMIFS(Master!$G$2:$G$13,Master!$E$2:$E$13,C146,Master!$F$2:$F$13,D146)))</f>
        <v/>
      </c>
      <c r="G146" s="5" t="n"/>
      <c r="H146" s="5" t="n"/>
      <c r="I146" s="5" t="n"/>
      <c r="J146" s="6">
        <f>IF(OR(F146="",COUNT(G146:I146)&lt;3),"",F146+G146-H146-I146)</f>
        <v/>
      </c>
      <c r="K146" s="6">
        <f>IF(COUNTA(A146:D146,G146:I146)=0,"",IF(COUNTA(A146:D146,G146:I146)&lt;7,"LENGKAPI",IF(H146+I146&gt;N(F146)+G146,"ABNORMAL",IF(COUNTIFS($A$2:$A$2001,A146,$B$2:$B$2001,B146,$C$2:$C$2001,C146,$D$2:$D$2001,D146)&gt;1,"DUPLIKAT","OK"))))</f>
        <v/>
      </c>
    </row>
    <row r="147">
      <c r="A147" s="4" t="n"/>
      <c r="B147" s="5" t="n"/>
      <c r="C147" s="5" t="n"/>
      <c r="D147" s="5" t="n"/>
      <c r="E147" s="6">
        <f>IF(A147="","","B"&amp;TEXT(COUNT($A$2:A147),"00000"))</f>
        <v/>
      </c>
      <c r="F147" s="6">
        <f>IF(OR(C147="",D147=""),"",IFERROR(LOOKUP(2,1/(($C$1:C146=C147)*($D$1:D146=D147)*ISNUMBER($J$1:J146)),$J$1:J146),SUMIFS(Master!$G$2:$G$13,Master!$E$2:$E$13,C147,Master!$F$2:$F$13,D147)))</f>
        <v/>
      </c>
      <c r="G147" s="5" t="n"/>
      <c r="H147" s="5" t="n"/>
      <c r="I147" s="5" t="n"/>
      <c r="J147" s="6">
        <f>IF(OR(F147="",COUNT(G147:I147)&lt;3),"",F147+G147-H147-I147)</f>
        <v/>
      </c>
      <c r="K147" s="6">
        <f>IF(COUNTA(A147:D147,G147:I147)=0,"",IF(COUNTA(A147:D147,G147:I147)&lt;7,"LENGKAPI",IF(H147+I147&gt;N(F147)+G147,"ABNORMAL",IF(COUNTIFS($A$2:$A$2001,A147,$B$2:$B$2001,B147,$C$2:$C$2001,C147,$D$2:$D$2001,D147)&gt;1,"DUPLIKAT","OK"))))</f>
        <v/>
      </c>
    </row>
    <row r="148">
      <c r="A148" s="4" t="n"/>
      <c r="B148" s="5" t="n"/>
      <c r="C148" s="5" t="n"/>
      <c r="D148" s="5" t="n"/>
      <c r="E148" s="6">
        <f>IF(A148="","","B"&amp;TEXT(COUNT($A$2:A148),"00000"))</f>
        <v/>
      </c>
      <c r="F148" s="6">
        <f>IF(OR(C148="",D148=""),"",IFERROR(LOOKUP(2,1/(($C$1:C147=C148)*($D$1:D147=D148)*ISNUMBER($J$1:J147)),$J$1:J147),SUMIFS(Master!$G$2:$G$13,Master!$E$2:$E$13,C148,Master!$F$2:$F$13,D148)))</f>
        <v/>
      </c>
      <c r="G148" s="5" t="n"/>
      <c r="H148" s="5" t="n"/>
      <c r="I148" s="5" t="n"/>
      <c r="J148" s="6">
        <f>IF(OR(F148="",COUNT(G148:I148)&lt;3),"",F148+G148-H148-I148)</f>
        <v/>
      </c>
      <c r="K148" s="6">
        <f>IF(COUNTA(A148:D148,G148:I148)=0,"",IF(COUNTA(A148:D148,G148:I148)&lt;7,"LENGKAPI",IF(H148+I148&gt;N(F148)+G148,"ABNORMAL",IF(COUNTIFS($A$2:$A$2001,A148,$B$2:$B$2001,B148,$C$2:$C$2001,C148,$D$2:$D$2001,D148)&gt;1,"DUPLIKAT","OK"))))</f>
        <v/>
      </c>
    </row>
    <row r="149">
      <c r="A149" s="4" t="n"/>
      <c r="B149" s="5" t="n"/>
      <c r="C149" s="5" t="n"/>
      <c r="D149" s="5" t="n"/>
      <c r="E149" s="6">
        <f>IF(A149="","","B"&amp;TEXT(COUNT($A$2:A149),"00000"))</f>
        <v/>
      </c>
      <c r="F149" s="6">
        <f>IF(OR(C149="",D149=""),"",IFERROR(LOOKUP(2,1/(($C$1:C148=C149)*($D$1:D148=D149)*ISNUMBER($J$1:J148)),$J$1:J148),SUMIFS(Master!$G$2:$G$13,Master!$E$2:$E$13,C149,Master!$F$2:$F$13,D149)))</f>
        <v/>
      </c>
      <c r="G149" s="5" t="n"/>
      <c r="H149" s="5" t="n"/>
      <c r="I149" s="5" t="n"/>
      <c r="J149" s="6">
        <f>IF(OR(F149="",COUNT(G149:I149)&lt;3),"",F149+G149-H149-I149)</f>
        <v/>
      </c>
      <c r="K149" s="6">
        <f>IF(COUNTA(A149:D149,G149:I149)=0,"",IF(COUNTA(A149:D149,G149:I149)&lt;7,"LENGKAPI",IF(H149+I149&gt;N(F149)+G149,"ABNORMAL",IF(COUNTIFS($A$2:$A$2001,A149,$B$2:$B$2001,B149,$C$2:$C$2001,C149,$D$2:$D$2001,D149)&gt;1,"DUPLIKAT","OK"))))</f>
        <v/>
      </c>
    </row>
    <row r="150">
      <c r="A150" s="4" t="n"/>
      <c r="B150" s="5" t="n"/>
      <c r="C150" s="5" t="n"/>
      <c r="D150" s="5" t="n"/>
      <c r="E150" s="6">
        <f>IF(A150="","","B"&amp;TEXT(COUNT($A$2:A150),"00000"))</f>
        <v/>
      </c>
      <c r="F150" s="6">
        <f>IF(OR(C150="",D150=""),"",IFERROR(LOOKUP(2,1/(($C$1:C149=C150)*($D$1:D149=D150)*ISNUMBER($J$1:J149)),$J$1:J149),SUMIFS(Master!$G$2:$G$13,Master!$E$2:$E$13,C150,Master!$F$2:$F$13,D150)))</f>
        <v/>
      </c>
      <c r="G150" s="5" t="n"/>
      <c r="H150" s="5" t="n"/>
      <c r="I150" s="5" t="n"/>
      <c r="J150" s="6">
        <f>IF(OR(F150="",COUNT(G150:I150)&lt;3),"",F150+G150-H150-I150)</f>
        <v/>
      </c>
      <c r="K150" s="6">
        <f>IF(COUNTA(A150:D150,G150:I150)=0,"",IF(COUNTA(A150:D150,G150:I150)&lt;7,"LENGKAPI",IF(H150+I150&gt;N(F150)+G150,"ABNORMAL",IF(COUNTIFS($A$2:$A$2001,A150,$B$2:$B$2001,B150,$C$2:$C$2001,C150,$D$2:$D$2001,D150)&gt;1,"DUPLIKAT","OK"))))</f>
        <v/>
      </c>
    </row>
    <row r="151">
      <c r="A151" s="4" t="n"/>
      <c r="B151" s="5" t="n"/>
      <c r="C151" s="5" t="n"/>
      <c r="D151" s="5" t="n"/>
      <c r="E151" s="6">
        <f>IF(A151="","","B"&amp;TEXT(COUNT($A$2:A151),"00000"))</f>
        <v/>
      </c>
      <c r="F151" s="6">
        <f>IF(OR(C151="",D151=""),"",IFERROR(LOOKUP(2,1/(($C$1:C150=C151)*($D$1:D150=D151)*ISNUMBER($J$1:J150)),$J$1:J150),SUMIFS(Master!$G$2:$G$13,Master!$E$2:$E$13,C151,Master!$F$2:$F$13,D151)))</f>
        <v/>
      </c>
      <c r="G151" s="5" t="n"/>
      <c r="H151" s="5" t="n"/>
      <c r="I151" s="5" t="n"/>
      <c r="J151" s="6">
        <f>IF(OR(F151="",COUNT(G151:I151)&lt;3),"",F151+G151-H151-I151)</f>
        <v/>
      </c>
      <c r="K151" s="6">
        <f>IF(COUNTA(A151:D151,G151:I151)=0,"",IF(COUNTA(A151:D151,G151:I151)&lt;7,"LENGKAPI",IF(H151+I151&gt;N(F151)+G151,"ABNORMAL",IF(COUNTIFS($A$2:$A$2001,A151,$B$2:$B$2001,B151,$C$2:$C$2001,C151,$D$2:$D$2001,D151)&gt;1,"DUPLIKAT","OK"))))</f>
        <v/>
      </c>
    </row>
    <row r="152">
      <c r="A152" s="4" t="n"/>
      <c r="B152" s="5" t="n"/>
      <c r="C152" s="5" t="n"/>
      <c r="D152" s="5" t="n"/>
      <c r="E152" s="6">
        <f>IF(A152="","","B"&amp;TEXT(COUNT($A$2:A152),"00000"))</f>
        <v/>
      </c>
      <c r="F152" s="6">
        <f>IF(OR(C152="",D152=""),"",IFERROR(LOOKUP(2,1/(($C$1:C151=C152)*($D$1:D151=D152)*ISNUMBER($J$1:J151)),$J$1:J151),SUMIFS(Master!$G$2:$G$13,Master!$E$2:$E$13,C152,Master!$F$2:$F$13,D152)))</f>
        <v/>
      </c>
      <c r="G152" s="5" t="n"/>
      <c r="H152" s="5" t="n"/>
      <c r="I152" s="5" t="n"/>
      <c r="J152" s="6">
        <f>IF(OR(F152="",COUNT(G152:I152)&lt;3),"",F152+G152-H152-I152)</f>
        <v/>
      </c>
      <c r="K152" s="6">
        <f>IF(COUNTA(A152:D152,G152:I152)=0,"",IF(COUNTA(A152:D152,G152:I152)&lt;7,"LENGKAPI",IF(H152+I152&gt;N(F152)+G152,"ABNORMAL",IF(COUNTIFS($A$2:$A$2001,A152,$B$2:$B$2001,B152,$C$2:$C$2001,C152,$D$2:$D$2001,D152)&gt;1,"DUPLIKAT","OK"))))</f>
        <v/>
      </c>
    </row>
    <row r="153">
      <c r="A153" s="4" t="n"/>
      <c r="B153" s="5" t="n"/>
      <c r="C153" s="5" t="n"/>
      <c r="D153" s="5" t="n"/>
      <c r="E153" s="6">
        <f>IF(A153="","","B"&amp;TEXT(COUNT($A$2:A153),"00000"))</f>
        <v/>
      </c>
      <c r="F153" s="6">
        <f>IF(OR(C153="",D153=""),"",IFERROR(LOOKUP(2,1/(($C$1:C152=C153)*($D$1:D152=D153)*ISNUMBER($J$1:J152)),$J$1:J152),SUMIFS(Master!$G$2:$G$13,Master!$E$2:$E$13,C153,Master!$F$2:$F$13,D153)))</f>
        <v/>
      </c>
      <c r="G153" s="5" t="n"/>
      <c r="H153" s="5" t="n"/>
      <c r="I153" s="5" t="n"/>
      <c r="J153" s="6">
        <f>IF(OR(F153="",COUNT(G153:I153)&lt;3),"",F153+G153-H153-I153)</f>
        <v/>
      </c>
      <c r="K153" s="6">
        <f>IF(COUNTA(A153:D153,G153:I153)=0,"",IF(COUNTA(A153:D153,G153:I153)&lt;7,"LENGKAPI",IF(H153+I153&gt;N(F153)+G153,"ABNORMAL",IF(COUNTIFS($A$2:$A$2001,A153,$B$2:$B$2001,B153,$C$2:$C$2001,C153,$D$2:$D$2001,D153)&gt;1,"DUPLIKAT","OK"))))</f>
        <v/>
      </c>
    </row>
    <row r="154">
      <c r="A154" s="4" t="n"/>
      <c r="B154" s="5" t="n"/>
      <c r="C154" s="5" t="n"/>
      <c r="D154" s="5" t="n"/>
      <c r="E154" s="6">
        <f>IF(A154="","","B"&amp;TEXT(COUNT($A$2:A154),"00000"))</f>
        <v/>
      </c>
      <c r="F154" s="6">
        <f>IF(OR(C154="",D154=""),"",IFERROR(LOOKUP(2,1/(($C$1:C153=C154)*($D$1:D153=D154)*ISNUMBER($J$1:J153)),$J$1:J153),SUMIFS(Master!$G$2:$G$13,Master!$E$2:$E$13,C154,Master!$F$2:$F$13,D154)))</f>
        <v/>
      </c>
      <c r="G154" s="5" t="n"/>
      <c r="H154" s="5" t="n"/>
      <c r="I154" s="5" t="n"/>
      <c r="J154" s="6">
        <f>IF(OR(F154="",COUNT(G154:I154)&lt;3),"",F154+G154-H154-I154)</f>
        <v/>
      </c>
      <c r="K154" s="6">
        <f>IF(COUNTA(A154:D154,G154:I154)=0,"",IF(COUNTA(A154:D154,G154:I154)&lt;7,"LENGKAPI",IF(H154+I154&gt;N(F154)+G154,"ABNORMAL",IF(COUNTIFS($A$2:$A$2001,A154,$B$2:$B$2001,B154,$C$2:$C$2001,C154,$D$2:$D$2001,D154)&gt;1,"DUPLIKAT","OK"))))</f>
        <v/>
      </c>
    </row>
    <row r="155">
      <c r="A155" s="4" t="n"/>
      <c r="B155" s="5" t="n"/>
      <c r="C155" s="5" t="n"/>
      <c r="D155" s="5" t="n"/>
      <c r="E155" s="6">
        <f>IF(A155="","","B"&amp;TEXT(COUNT($A$2:A155),"00000"))</f>
        <v/>
      </c>
      <c r="F155" s="6">
        <f>IF(OR(C155="",D155=""),"",IFERROR(LOOKUP(2,1/(($C$1:C154=C155)*($D$1:D154=D155)*ISNUMBER($J$1:J154)),$J$1:J154),SUMIFS(Master!$G$2:$G$13,Master!$E$2:$E$13,C155,Master!$F$2:$F$13,D155)))</f>
        <v/>
      </c>
      <c r="G155" s="5" t="n"/>
      <c r="H155" s="5" t="n"/>
      <c r="I155" s="5" t="n"/>
      <c r="J155" s="6">
        <f>IF(OR(F155="",COUNT(G155:I155)&lt;3),"",F155+G155-H155-I155)</f>
        <v/>
      </c>
      <c r="K155" s="6">
        <f>IF(COUNTA(A155:D155,G155:I155)=0,"",IF(COUNTA(A155:D155,G155:I155)&lt;7,"LENGKAPI",IF(H155+I155&gt;N(F155)+G155,"ABNORMAL",IF(COUNTIFS($A$2:$A$2001,A155,$B$2:$B$2001,B155,$C$2:$C$2001,C155,$D$2:$D$2001,D155)&gt;1,"DUPLIKAT","OK"))))</f>
        <v/>
      </c>
    </row>
    <row r="156">
      <c r="A156" s="4" t="n"/>
      <c r="B156" s="5" t="n"/>
      <c r="C156" s="5" t="n"/>
      <c r="D156" s="5" t="n"/>
      <c r="E156" s="6">
        <f>IF(A156="","","B"&amp;TEXT(COUNT($A$2:A156),"00000"))</f>
        <v/>
      </c>
      <c r="F156" s="6">
        <f>IF(OR(C156="",D156=""),"",IFERROR(LOOKUP(2,1/(($C$1:C155=C156)*($D$1:D155=D156)*ISNUMBER($J$1:J155)),$J$1:J155),SUMIFS(Master!$G$2:$G$13,Master!$E$2:$E$13,C156,Master!$F$2:$F$13,D156)))</f>
        <v/>
      </c>
      <c r="G156" s="5" t="n"/>
      <c r="H156" s="5" t="n"/>
      <c r="I156" s="5" t="n"/>
      <c r="J156" s="6">
        <f>IF(OR(F156="",COUNT(G156:I156)&lt;3),"",F156+G156-H156-I156)</f>
        <v/>
      </c>
      <c r="K156" s="6">
        <f>IF(COUNTA(A156:D156,G156:I156)=0,"",IF(COUNTA(A156:D156,G156:I156)&lt;7,"LENGKAPI",IF(H156+I156&gt;N(F156)+G156,"ABNORMAL",IF(COUNTIFS($A$2:$A$2001,A156,$B$2:$B$2001,B156,$C$2:$C$2001,C156,$D$2:$D$2001,D156)&gt;1,"DUPLIKAT","OK"))))</f>
        <v/>
      </c>
    </row>
    <row r="157">
      <c r="A157" s="4" t="n"/>
      <c r="B157" s="5" t="n"/>
      <c r="C157" s="5" t="n"/>
      <c r="D157" s="5" t="n"/>
      <c r="E157" s="6">
        <f>IF(A157="","","B"&amp;TEXT(COUNT($A$2:A157),"00000"))</f>
        <v/>
      </c>
      <c r="F157" s="6">
        <f>IF(OR(C157="",D157=""),"",IFERROR(LOOKUP(2,1/(($C$1:C156=C157)*($D$1:D156=D157)*ISNUMBER($J$1:J156)),$J$1:J156),SUMIFS(Master!$G$2:$G$13,Master!$E$2:$E$13,C157,Master!$F$2:$F$13,D157)))</f>
        <v/>
      </c>
      <c r="G157" s="5" t="n"/>
      <c r="H157" s="5" t="n"/>
      <c r="I157" s="5" t="n"/>
      <c r="J157" s="6">
        <f>IF(OR(F157="",COUNT(G157:I157)&lt;3),"",F157+G157-H157-I157)</f>
        <v/>
      </c>
      <c r="K157" s="6">
        <f>IF(COUNTA(A157:D157,G157:I157)=0,"",IF(COUNTA(A157:D157,G157:I157)&lt;7,"LENGKAPI",IF(H157+I157&gt;N(F157)+G157,"ABNORMAL",IF(COUNTIFS($A$2:$A$2001,A157,$B$2:$B$2001,B157,$C$2:$C$2001,C157,$D$2:$D$2001,D157)&gt;1,"DUPLIKAT","OK"))))</f>
        <v/>
      </c>
    </row>
    <row r="158">
      <c r="A158" s="4" t="n"/>
      <c r="B158" s="5" t="n"/>
      <c r="C158" s="5" t="n"/>
      <c r="D158" s="5" t="n"/>
      <c r="E158" s="6">
        <f>IF(A158="","","B"&amp;TEXT(COUNT($A$2:A158),"00000"))</f>
        <v/>
      </c>
      <c r="F158" s="6">
        <f>IF(OR(C158="",D158=""),"",IFERROR(LOOKUP(2,1/(($C$1:C157=C158)*($D$1:D157=D158)*ISNUMBER($J$1:J157)),$J$1:J157),SUMIFS(Master!$G$2:$G$13,Master!$E$2:$E$13,C158,Master!$F$2:$F$13,D158)))</f>
        <v/>
      </c>
      <c r="G158" s="5" t="n"/>
      <c r="H158" s="5" t="n"/>
      <c r="I158" s="5" t="n"/>
      <c r="J158" s="6">
        <f>IF(OR(F158="",COUNT(G158:I158)&lt;3),"",F158+G158-H158-I158)</f>
        <v/>
      </c>
      <c r="K158" s="6">
        <f>IF(COUNTA(A158:D158,G158:I158)=0,"",IF(COUNTA(A158:D158,G158:I158)&lt;7,"LENGKAPI",IF(H158+I158&gt;N(F158)+G158,"ABNORMAL",IF(COUNTIFS($A$2:$A$2001,A158,$B$2:$B$2001,B158,$C$2:$C$2001,C158,$D$2:$D$2001,D158)&gt;1,"DUPLIKAT","OK"))))</f>
        <v/>
      </c>
    </row>
    <row r="159">
      <c r="A159" s="4" t="n"/>
      <c r="B159" s="5" t="n"/>
      <c r="C159" s="5" t="n"/>
      <c r="D159" s="5" t="n"/>
      <c r="E159" s="6">
        <f>IF(A159="","","B"&amp;TEXT(COUNT($A$2:A159),"00000"))</f>
        <v/>
      </c>
      <c r="F159" s="6">
        <f>IF(OR(C159="",D159=""),"",IFERROR(LOOKUP(2,1/(($C$1:C158=C159)*($D$1:D158=D159)*ISNUMBER($J$1:J158)),$J$1:J158),SUMIFS(Master!$G$2:$G$13,Master!$E$2:$E$13,C159,Master!$F$2:$F$13,D159)))</f>
        <v/>
      </c>
      <c r="G159" s="5" t="n"/>
      <c r="H159" s="5" t="n"/>
      <c r="I159" s="5" t="n"/>
      <c r="J159" s="6">
        <f>IF(OR(F159="",COUNT(G159:I159)&lt;3),"",F159+G159-H159-I159)</f>
        <v/>
      </c>
      <c r="K159" s="6">
        <f>IF(COUNTA(A159:D159,G159:I159)=0,"",IF(COUNTA(A159:D159,G159:I159)&lt;7,"LENGKAPI",IF(H159+I159&gt;N(F159)+G159,"ABNORMAL",IF(COUNTIFS($A$2:$A$2001,A159,$B$2:$B$2001,B159,$C$2:$C$2001,C159,$D$2:$D$2001,D159)&gt;1,"DUPLIKAT","OK"))))</f>
        <v/>
      </c>
    </row>
    <row r="160">
      <c r="A160" s="4" t="n"/>
      <c r="B160" s="5" t="n"/>
      <c r="C160" s="5" t="n"/>
      <c r="D160" s="5" t="n"/>
      <c r="E160" s="6">
        <f>IF(A160="","","B"&amp;TEXT(COUNT($A$2:A160),"00000"))</f>
        <v/>
      </c>
      <c r="F160" s="6">
        <f>IF(OR(C160="",D160=""),"",IFERROR(LOOKUP(2,1/(($C$1:C159=C160)*($D$1:D159=D160)*ISNUMBER($J$1:J159)),$J$1:J159),SUMIFS(Master!$G$2:$G$13,Master!$E$2:$E$13,C160,Master!$F$2:$F$13,D160)))</f>
        <v/>
      </c>
      <c r="G160" s="5" t="n"/>
      <c r="H160" s="5" t="n"/>
      <c r="I160" s="5" t="n"/>
      <c r="J160" s="6">
        <f>IF(OR(F160="",COUNT(G160:I160)&lt;3),"",F160+G160-H160-I160)</f>
        <v/>
      </c>
      <c r="K160" s="6">
        <f>IF(COUNTA(A160:D160,G160:I160)=0,"",IF(COUNTA(A160:D160,G160:I160)&lt;7,"LENGKAPI",IF(H160+I160&gt;N(F160)+G160,"ABNORMAL",IF(COUNTIFS($A$2:$A$2001,A160,$B$2:$B$2001,B160,$C$2:$C$2001,C160,$D$2:$D$2001,D160)&gt;1,"DUPLIKAT","OK"))))</f>
        <v/>
      </c>
    </row>
    <row r="161">
      <c r="A161" s="4" t="n"/>
      <c r="B161" s="5" t="n"/>
      <c r="C161" s="5" t="n"/>
      <c r="D161" s="5" t="n"/>
      <c r="E161" s="6">
        <f>IF(A161="","","B"&amp;TEXT(COUNT($A$2:A161),"00000"))</f>
        <v/>
      </c>
      <c r="F161" s="6">
        <f>IF(OR(C161="",D161=""),"",IFERROR(LOOKUP(2,1/(($C$1:C160=C161)*($D$1:D160=D161)*ISNUMBER($J$1:J160)),$J$1:J160),SUMIFS(Master!$G$2:$G$13,Master!$E$2:$E$13,C161,Master!$F$2:$F$13,D161)))</f>
        <v/>
      </c>
      <c r="G161" s="5" t="n"/>
      <c r="H161" s="5" t="n"/>
      <c r="I161" s="5" t="n"/>
      <c r="J161" s="6">
        <f>IF(OR(F161="",COUNT(G161:I161)&lt;3),"",F161+G161-H161-I161)</f>
        <v/>
      </c>
      <c r="K161" s="6">
        <f>IF(COUNTA(A161:D161,G161:I161)=0,"",IF(COUNTA(A161:D161,G161:I161)&lt;7,"LENGKAPI",IF(H161+I161&gt;N(F161)+G161,"ABNORMAL",IF(COUNTIFS($A$2:$A$2001,A161,$B$2:$B$2001,B161,$C$2:$C$2001,C161,$D$2:$D$2001,D161)&gt;1,"DUPLIKAT","OK"))))</f>
        <v/>
      </c>
    </row>
    <row r="162">
      <c r="A162" s="4" t="n"/>
      <c r="B162" s="5" t="n"/>
      <c r="C162" s="5" t="n"/>
      <c r="D162" s="5" t="n"/>
      <c r="E162" s="6">
        <f>IF(A162="","","B"&amp;TEXT(COUNT($A$2:A162),"00000"))</f>
        <v/>
      </c>
      <c r="F162" s="6">
        <f>IF(OR(C162="",D162=""),"",IFERROR(LOOKUP(2,1/(($C$1:C161=C162)*($D$1:D161=D162)*ISNUMBER($J$1:J161)),$J$1:J161),SUMIFS(Master!$G$2:$G$13,Master!$E$2:$E$13,C162,Master!$F$2:$F$13,D162)))</f>
        <v/>
      </c>
      <c r="G162" s="5" t="n"/>
      <c r="H162" s="5" t="n"/>
      <c r="I162" s="5" t="n"/>
      <c r="J162" s="6">
        <f>IF(OR(F162="",COUNT(G162:I162)&lt;3),"",F162+G162-H162-I162)</f>
        <v/>
      </c>
      <c r="K162" s="6">
        <f>IF(COUNTA(A162:D162,G162:I162)=0,"",IF(COUNTA(A162:D162,G162:I162)&lt;7,"LENGKAPI",IF(H162+I162&gt;N(F162)+G162,"ABNORMAL",IF(COUNTIFS($A$2:$A$2001,A162,$B$2:$B$2001,B162,$C$2:$C$2001,C162,$D$2:$D$2001,D162)&gt;1,"DUPLIKAT","OK"))))</f>
        <v/>
      </c>
    </row>
    <row r="163">
      <c r="A163" s="4" t="n"/>
      <c r="B163" s="5" t="n"/>
      <c r="C163" s="5" t="n"/>
      <c r="D163" s="5" t="n"/>
      <c r="E163" s="6">
        <f>IF(A163="","","B"&amp;TEXT(COUNT($A$2:A163),"00000"))</f>
        <v/>
      </c>
      <c r="F163" s="6">
        <f>IF(OR(C163="",D163=""),"",IFERROR(LOOKUP(2,1/(($C$1:C162=C163)*($D$1:D162=D163)*ISNUMBER($J$1:J162)),$J$1:J162),SUMIFS(Master!$G$2:$G$13,Master!$E$2:$E$13,C163,Master!$F$2:$F$13,D163)))</f>
        <v/>
      </c>
      <c r="G163" s="5" t="n"/>
      <c r="H163" s="5" t="n"/>
      <c r="I163" s="5" t="n"/>
      <c r="J163" s="6">
        <f>IF(OR(F163="",COUNT(G163:I163)&lt;3),"",F163+G163-H163-I163)</f>
        <v/>
      </c>
      <c r="K163" s="6">
        <f>IF(COUNTA(A163:D163,G163:I163)=0,"",IF(COUNTA(A163:D163,G163:I163)&lt;7,"LENGKAPI",IF(H163+I163&gt;N(F163)+G163,"ABNORMAL",IF(COUNTIFS($A$2:$A$2001,A163,$B$2:$B$2001,B163,$C$2:$C$2001,C163,$D$2:$D$2001,D163)&gt;1,"DUPLIKAT","OK"))))</f>
        <v/>
      </c>
    </row>
    <row r="164">
      <c r="A164" s="4" t="n"/>
      <c r="B164" s="5" t="n"/>
      <c r="C164" s="5" t="n"/>
      <c r="D164" s="5" t="n"/>
      <c r="E164" s="6">
        <f>IF(A164="","","B"&amp;TEXT(COUNT($A$2:A164),"00000"))</f>
        <v/>
      </c>
      <c r="F164" s="6">
        <f>IF(OR(C164="",D164=""),"",IFERROR(LOOKUP(2,1/(($C$1:C163=C164)*($D$1:D163=D164)*ISNUMBER($J$1:J163)),$J$1:J163),SUMIFS(Master!$G$2:$G$13,Master!$E$2:$E$13,C164,Master!$F$2:$F$13,D164)))</f>
        <v/>
      </c>
      <c r="G164" s="5" t="n"/>
      <c r="H164" s="5" t="n"/>
      <c r="I164" s="5" t="n"/>
      <c r="J164" s="6">
        <f>IF(OR(F164="",COUNT(G164:I164)&lt;3),"",F164+G164-H164-I164)</f>
        <v/>
      </c>
      <c r="K164" s="6">
        <f>IF(COUNTA(A164:D164,G164:I164)=0,"",IF(COUNTA(A164:D164,G164:I164)&lt;7,"LENGKAPI",IF(H164+I164&gt;N(F164)+G164,"ABNORMAL",IF(COUNTIFS($A$2:$A$2001,A164,$B$2:$B$2001,B164,$C$2:$C$2001,C164,$D$2:$D$2001,D164)&gt;1,"DUPLIKAT","OK"))))</f>
        <v/>
      </c>
    </row>
    <row r="165">
      <c r="A165" s="4" t="n"/>
      <c r="B165" s="5" t="n"/>
      <c r="C165" s="5" t="n"/>
      <c r="D165" s="5" t="n"/>
      <c r="E165" s="6">
        <f>IF(A165="","","B"&amp;TEXT(COUNT($A$2:A165),"00000"))</f>
        <v/>
      </c>
      <c r="F165" s="6">
        <f>IF(OR(C165="",D165=""),"",IFERROR(LOOKUP(2,1/(($C$1:C164=C165)*($D$1:D164=D165)*ISNUMBER($J$1:J164)),$J$1:J164),SUMIFS(Master!$G$2:$G$13,Master!$E$2:$E$13,C165,Master!$F$2:$F$13,D165)))</f>
        <v/>
      </c>
      <c r="G165" s="5" t="n"/>
      <c r="H165" s="5" t="n"/>
      <c r="I165" s="5" t="n"/>
      <c r="J165" s="6">
        <f>IF(OR(F165="",COUNT(G165:I165)&lt;3),"",F165+G165-H165-I165)</f>
        <v/>
      </c>
      <c r="K165" s="6">
        <f>IF(COUNTA(A165:D165,G165:I165)=0,"",IF(COUNTA(A165:D165,G165:I165)&lt;7,"LENGKAPI",IF(H165+I165&gt;N(F165)+G165,"ABNORMAL",IF(COUNTIFS($A$2:$A$2001,A165,$B$2:$B$2001,B165,$C$2:$C$2001,C165,$D$2:$D$2001,D165)&gt;1,"DUPLIKAT","OK"))))</f>
        <v/>
      </c>
    </row>
    <row r="166">
      <c r="A166" s="4" t="n"/>
      <c r="B166" s="5" t="n"/>
      <c r="C166" s="5" t="n"/>
      <c r="D166" s="5" t="n"/>
      <c r="E166" s="6">
        <f>IF(A166="","","B"&amp;TEXT(COUNT($A$2:A166),"00000"))</f>
        <v/>
      </c>
      <c r="F166" s="6">
        <f>IF(OR(C166="",D166=""),"",IFERROR(LOOKUP(2,1/(($C$1:C165=C166)*($D$1:D165=D166)*ISNUMBER($J$1:J165)),$J$1:J165),SUMIFS(Master!$G$2:$G$13,Master!$E$2:$E$13,C166,Master!$F$2:$F$13,D166)))</f>
        <v/>
      </c>
      <c r="G166" s="5" t="n"/>
      <c r="H166" s="5" t="n"/>
      <c r="I166" s="5" t="n"/>
      <c r="J166" s="6">
        <f>IF(OR(F166="",COUNT(G166:I166)&lt;3),"",F166+G166-H166-I166)</f>
        <v/>
      </c>
      <c r="K166" s="6">
        <f>IF(COUNTA(A166:D166,G166:I166)=0,"",IF(COUNTA(A166:D166,G166:I166)&lt;7,"LENGKAPI",IF(H166+I166&gt;N(F166)+G166,"ABNORMAL",IF(COUNTIFS($A$2:$A$2001,A166,$B$2:$B$2001,B166,$C$2:$C$2001,C166,$D$2:$D$2001,D166)&gt;1,"DUPLIKAT","OK"))))</f>
        <v/>
      </c>
    </row>
    <row r="167">
      <c r="A167" s="4" t="n"/>
      <c r="B167" s="5" t="n"/>
      <c r="C167" s="5" t="n"/>
      <c r="D167" s="5" t="n"/>
      <c r="E167" s="6">
        <f>IF(A167="","","B"&amp;TEXT(COUNT($A$2:A167),"00000"))</f>
        <v/>
      </c>
      <c r="F167" s="6">
        <f>IF(OR(C167="",D167=""),"",IFERROR(LOOKUP(2,1/(($C$1:C166=C167)*($D$1:D166=D167)*ISNUMBER($J$1:J166)),$J$1:J166),SUMIFS(Master!$G$2:$G$13,Master!$E$2:$E$13,C167,Master!$F$2:$F$13,D167)))</f>
        <v/>
      </c>
      <c r="G167" s="5" t="n"/>
      <c r="H167" s="5" t="n"/>
      <c r="I167" s="5" t="n"/>
      <c r="J167" s="6">
        <f>IF(OR(F167="",COUNT(G167:I167)&lt;3),"",F167+G167-H167-I167)</f>
        <v/>
      </c>
      <c r="K167" s="6">
        <f>IF(COUNTA(A167:D167,G167:I167)=0,"",IF(COUNTA(A167:D167,G167:I167)&lt;7,"LENGKAPI",IF(H167+I167&gt;N(F167)+G167,"ABNORMAL",IF(COUNTIFS($A$2:$A$2001,A167,$B$2:$B$2001,B167,$C$2:$C$2001,C167,$D$2:$D$2001,D167)&gt;1,"DUPLIKAT","OK"))))</f>
        <v/>
      </c>
    </row>
    <row r="168">
      <c r="A168" s="4" t="n"/>
      <c r="B168" s="5" t="n"/>
      <c r="C168" s="5" t="n"/>
      <c r="D168" s="5" t="n"/>
      <c r="E168" s="6">
        <f>IF(A168="","","B"&amp;TEXT(COUNT($A$2:A168),"00000"))</f>
        <v/>
      </c>
      <c r="F168" s="6">
        <f>IF(OR(C168="",D168=""),"",IFERROR(LOOKUP(2,1/(($C$1:C167=C168)*($D$1:D167=D168)*ISNUMBER($J$1:J167)),$J$1:J167),SUMIFS(Master!$G$2:$G$13,Master!$E$2:$E$13,C168,Master!$F$2:$F$13,D168)))</f>
        <v/>
      </c>
      <c r="G168" s="5" t="n"/>
      <c r="H168" s="5" t="n"/>
      <c r="I168" s="5" t="n"/>
      <c r="J168" s="6">
        <f>IF(OR(F168="",COUNT(G168:I168)&lt;3),"",F168+G168-H168-I168)</f>
        <v/>
      </c>
      <c r="K168" s="6">
        <f>IF(COUNTA(A168:D168,G168:I168)=0,"",IF(COUNTA(A168:D168,G168:I168)&lt;7,"LENGKAPI",IF(H168+I168&gt;N(F168)+G168,"ABNORMAL",IF(COUNTIFS($A$2:$A$2001,A168,$B$2:$B$2001,B168,$C$2:$C$2001,C168,$D$2:$D$2001,D168)&gt;1,"DUPLIKAT","OK"))))</f>
        <v/>
      </c>
    </row>
    <row r="169">
      <c r="A169" s="4" t="n"/>
      <c r="B169" s="5" t="n"/>
      <c r="C169" s="5" t="n"/>
      <c r="D169" s="5" t="n"/>
      <c r="E169" s="6">
        <f>IF(A169="","","B"&amp;TEXT(COUNT($A$2:A169),"00000"))</f>
        <v/>
      </c>
      <c r="F169" s="6">
        <f>IF(OR(C169="",D169=""),"",IFERROR(LOOKUP(2,1/(($C$1:C168=C169)*($D$1:D168=D169)*ISNUMBER($J$1:J168)),$J$1:J168),SUMIFS(Master!$G$2:$G$13,Master!$E$2:$E$13,C169,Master!$F$2:$F$13,D169)))</f>
        <v/>
      </c>
      <c r="G169" s="5" t="n"/>
      <c r="H169" s="5" t="n"/>
      <c r="I169" s="5" t="n"/>
      <c r="J169" s="6">
        <f>IF(OR(F169="",COUNT(G169:I169)&lt;3),"",F169+G169-H169-I169)</f>
        <v/>
      </c>
      <c r="K169" s="6">
        <f>IF(COUNTA(A169:D169,G169:I169)=0,"",IF(COUNTA(A169:D169,G169:I169)&lt;7,"LENGKAPI",IF(H169+I169&gt;N(F169)+G169,"ABNORMAL",IF(COUNTIFS($A$2:$A$2001,A169,$B$2:$B$2001,B169,$C$2:$C$2001,C169,$D$2:$D$2001,D169)&gt;1,"DUPLIKAT","OK"))))</f>
        <v/>
      </c>
    </row>
    <row r="170">
      <c r="A170" s="4" t="n"/>
      <c r="B170" s="5" t="n"/>
      <c r="C170" s="5" t="n"/>
      <c r="D170" s="5" t="n"/>
      <c r="E170" s="6">
        <f>IF(A170="","","B"&amp;TEXT(COUNT($A$2:A170),"00000"))</f>
        <v/>
      </c>
      <c r="F170" s="6">
        <f>IF(OR(C170="",D170=""),"",IFERROR(LOOKUP(2,1/(($C$1:C169=C170)*($D$1:D169=D170)*ISNUMBER($J$1:J169)),$J$1:J169),SUMIFS(Master!$G$2:$G$13,Master!$E$2:$E$13,C170,Master!$F$2:$F$13,D170)))</f>
        <v/>
      </c>
      <c r="G170" s="5" t="n"/>
      <c r="H170" s="5" t="n"/>
      <c r="I170" s="5" t="n"/>
      <c r="J170" s="6">
        <f>IF(OR(F170="",COUNT(G170:I170)&lt;3),"",F170+G170-H170-I170)</f>
        <v/>
      </c>
      <c r="K170" s="6">
        <f>IF(COUNTA(A170:D170,G170:I170)=0,"",IF(COUNTA(A170:D170,G170:I170)&lt;7,"LENGKAPI",IF(H170+I170&gt;N(F170)+G170,"ABNORMAL",IF(COUNTIFS($A$2:$A$2001,A170,$B$2:$B$2001,B170,$C$2:$C$2001,C170,$D$2:$D$2001,D170)&gt;1,"DUPLIKAT","OK"))))</f>
        <v/>
      </c>
    </row>
    <row r="171">
      <c r="A171" s="4" t="n"/>
      <c r="B171" s="5" t="n"/>
      <c r="C171" s="5" t="n"/>
      <c r="D171" s="5" t="n"/>
      <c r="E171" s="6">
        <f>IF(A171="","","B"&amp;TEXT(COUNT($A$2:A171),"00000"))</f>
        <v/>
      </c>
      <c r="F171" s="6">
        <f>IF(OR(C171="",D171=""),"",IFERROR(LOOKUP(2,1/(($C$1:C170=C171)*($D$1:D170=D171)*ISNUMBER($J$1:J170)),$J$1:J170),SUMIFS(Master!$G$2:$G$13,Master!$E$2:$E$13,C171,Master!$F$2:$F$13,D171)))</f>
        <v/>
      </c>
      <c r="G171" s="5" t="n"/>
      <c r="H171" s="5" t="n"/>
      <c r="I171" s="5" t="n"/>
      <c r="J171" s="6">
        <f>IF(OR(F171="",COUNT(G171:I171)&lt;3),"",F171+G171-H171-I171)</f>
        <v/>
      </c>
      <c r="K171" s="6">
        <f>IF(COUNTA(A171:D171,G171:I171)=0,"",IF(COUNTA(A171:D171,G171:I171)&lt;7,"LENGKAPI",IF(H171+I171&gt;N(F171)+G171,"ABNORMAL",IF(COUNTIFS($A$2:$A$2001,A171,$B$2:$B$2001,B171,$C$2:$C$2001,C171,$D$2:$D$2001,D171)&gt;1,"DUPLIKAT","OK"))))</f>
        <v/>
      </c>
    </row>
    <row r="172">
      <c r="A172" s="4" t="n"/>
      <c r="B172" s="5" t="n"/>
      <c r="C172" s="5" t="n"/>
      <c r="D172" s="5" t="n"/>
      <c r="E172" s="6">
        <f>IF(A172="","","B"&amp;TEXT(COUNT($A$2:A172),"00000"))</f>
        <v/>
      </c>
      <c r="F172" s="6">
        <f>IF(OR(C172="",D172=""),"",IFERROR(LOOKUP(2,1/(($C$1:C171=C172)*($D$1:D171=D172)*ISNUMBER($J$1:J171)),$J$1:J171),SUMIFS(Master!$G$2:$G$13,Master!$E$2:$E$13,C172,Master!$F$2:$F$13,D172)))</f>
        <v/>
      </c>
      <c r="G172" s="5" t="n"/>
      <c r="H172" s="5" t="n"/>
      <c r="I172" s="5" t="n"/>
      <c r="J172" s="6">
        <f>IF(OR(F172="",COUNT(G172:I172)&lt;3),"",F172+G172-H172-I172)</f>
        <v/>
      </c>
      <c r="K172" s="6">
        <f>IF(COUNTA(A172:D172,G172:I172)=0,"",IF(COUNTA(A172:D172,G172:I172)&lt;7,"LENGKAPI",IF(H172+I172&gt;N(F172)+G172,"ABNORMAL",IF(COUNTIFS($A$2:$A$2001,A172,$B$2:$B$2001,B172,$C$2:$C$2001,C172,$D$2:$D$2001,D172)&gt;1,"DUPLIKAT","OK"))))</f>
        <v/>
      </c>
    </row>
    <row r="173">
      <c r="A173" s="4" t="n"/>
      <c r="B173" s="5" t="n"/>
      <c r="C173" s="5" t="n"/>
      <c r="D173" s="5" t="n"/>
      <c r="E173" s="6">
        <f>IF(A173="","","B"&amp;TEXT(COUNT($A$2:A173),"00000"))</f>
        <v/>
      </c>
      <c r="F173" s="6">
        <f>IF(OR(C173="",D173=""),"",IFERROR(LOOKUP(2,1/(($C$1:C172=C173)*($D$1:D172=D173)*ISNUMBER($J$1:J172)),$J$1:J172),SUMIFS(Master!$G$2:$G$13,Master!$E$2:$E$13,C173,Master!$F$2:$F$13,D173)))</f>
        <v/>
      </c>
      <c r="G173" s="5" t="n"/>
      <c r="H173" s="5" t="n"/>
      <c r="I173" s="5" t="n"/>
      <c r="J173" s="6">
        <f>IF(OR(F173="",COUNT(G173:I173)&lt;3),"",F173+G173-H173-I173)</f>
        <v/>
      </c>
      <c r="K173" s="6">
        <f>IF(COUNTA(A173:D173,G173:I173)=0,"",IF(COUNTA(A173:D173,G173:I173)&lt;7,"LENGKAPI",IF(H173+I173&gt;N(F173)+G173,"ABNORMAL",IF(COUNTIFS($A$2:$A$2001,A173,$B$2:$B$2001,B173,$C$2:$C$2001,C173,$D$2:$D$2001,D173)&gt;1,"DUPLIKAT","OK"))))</f>
        <v/>
      </c>
    </row>
    <row r="174">
      <c r="A174" s="4" t="n"/>
      <c r="B174" s="5" t="n"/>
      <c r="C174" s="5" t="n"/>
      <c r="D174" s="5" t="n"/>
      <c r="E174" s="6">
        <f>IF(A174="","","B"&amp;TEXT(COUNT($A$2:A174),"00000"))</f>
        <v/>
      </c>
      <c r="F174" s="6">
        <f>IF(OR(C174="",D174=""),"",IFERROR(LOOKUP(2,1/(($C$1:C173=C174)*($D$1:D173=D174)*ISNUMBER($J$1:J173)),$J$1:J173),SUMIFS(Master!$G$2:$G$13,Master!$E$2:$E$13,C174,Master!$F$2:$F$13,D174)))</f>
        <v/>
      </c>
      <c r="G174" s="5" t="n"/>
      <c r="H174" s="5" t="n"/>
      <c r="I174" s="5" t="n"/>
      <c r="J174" s="6">
        <f>IF(OR(F174="",COUNT(G174:I174)&lt;3),"",F174+G174-H174-I174)</f>
        <v/>
      </c>
      <c r="K174" s="6">
        <f>IF(COUNTA(A174:D174,G174:I174)=0,"",IF(COUNTA(A174:D174,G174:I174)&lt;7,"LENGKAPI",IF(H174+I174&gt;N(F174)+G174,"ABNORMAL",IF(COUNTIFS($A$2:$A$2001,A174,$B$2:$B$2001,B174,$C$2:$C$2001,C174,$D$2:$D$2001,D174)&gt;1,"DUPLIKAT","OK"))))</f>
        <v/>
      </c>
    </row>
    <row r="175">
      <c r="A175" s="4" t="n"/>
      <c r="B175" s="5" t="n"/>
      <c r="C175" s="5" t="n"/>
      <c r="D175" s="5" t="n"/>
      <c r="E175" s="6">
        <f>IF(A175="","","B"&amp;TEXT(COUNT($A$2:A175),"00000"))</f>
        <v/>
      </c>
      <c r="F175" s="6">
        <f>IF(OR(C175="",D175=""),"",IFERROR(LOOKUP(2,1/(($C$1:C174=C175)*($D$1:D174=D175)*ISNUMBER($J$1:J174)),$J$1:J174),SUMIFS(Master!$G$2:$G$13,Master!$E$2:$E$13,C175,Master!$F$2:$F$13,D175)))</f>
        <v/>
      </c>
      <c r="G175" s="5" t="n"/>
      <c r="H175" s="5" t="n"/>
      <c r="I175" s="5" t="n"/>
      <c r="J175" s="6">
        <f>IF(OR(F175="",COUNT(G175:I175)&lt;3),"",F175+G175-H175-I175)</f>
        <v/>
      </c>
      <c r="K175" s="6">
        <f>IF(COUNTA(A175:D175,G175:I175)=0,"",IF(COUNTA(A175:D175,G175:I175)&lt;7,"LENGKAPI",IF(H175+I175&gt;N(F175)+G175,"ABNORMAL",IF(COUNTIFS($A$2:$A$2001,A175,$B$2:$B$2001,B175,$C$2:$C$2001,C175,$D$2:$D$2001,D175)&gt;1,"DUPLIKAT","OK"))))</f>
        <v/>
      </c>
    </row>
    <row r="176">
      <c r="A176" s="4" t="n"/>
      <c r="B176" s="5" t="n"/>
      <c r="C176" s="5" t="n"/>
      <c r="D176" s="5" t="n"/>
      <c r="E176" s="6">
        <f>IF(A176="","","B"&amp;TEXT(COUNT($A$2:A176),"00000"))</f>
        <v/>
      </c>
      <c r="F176" s="6">
        <f>IF(OR(C176="",D176=""),"",IFERROR(LOOKUP(2,1/(($C$1:C175=C176)*($D$1:D175=D176)*ISNUMBER($J$1:J175)),$J$1:J175),SUMIFS(Master!$G$2:$G$13,Master!$E$2:$E$13,C176,Master!$F$2:$F$13,D176)))</f>
        <v/>
      </c>
      <c r="G176" s="5" t="n"/>
      <c r="H176" s="5" t="n"/>
      <c r="I176" s="5" t="n"/>
      <c r="J176" s="6">
        <f>IF(OR(F176="",COUNT(G176:I176)&lt;3),"",F176+G176-H176-I176)</f>
        <v/>
      </c>
      <c r="K176" s="6">
        <f>IF(COUNTA(A176:D176,G176:I176)=0,"",IF(COUNTA(A176:D176,G176:I176)&lt;7,"LENGKAPI",IF(H176+I176&gt;N(F176)+G176,"ABNORMAL",IF(COUNTIFS($A$2:$A$2001,A176,$B$2:$B$2001,B176,$C$2:$C$2001,C176,$D$2:$D$2001,D176)&gt;1,"DUPLIKAT","OK"))))</f>
        <v/>
      </c>
    </row>
    <row r="177">
      <c r="A177" s="4" t="n"/>
      <c r="B177" s="5" t="n"/>
      <c r="C177" s="5" t="n"/>
      <c r="D177" s="5" t="n"/>
      <c r="E177" s="6">
        <f>IF(A177="","","B"&amp;TEXT(COUNT($A$2:A177),"00000"))</f>
        <v/>
      </c>
      <c r="F177" s="6">
        <f>IF(OR(C177="",D177=""),"",IFERROR(LOOKUP(2,1/(($C$1:C176=C177)*($D$1:D176=D177)*ISNUMBER($J$1:J176)),$J$1:J176),SUMIFS(Master!$G$2:$G$13,Master!$E$2:$E$13,C177,Master!$F$2:$F$13,D177)))</f>
        <v/>
      </c>
      <c r="G177" s="5" t="n"/>
      <c r="H177" s="5" t="n"/>
      <c r="I177" s="5" t="n"/>
      <c r="J177" s="6">
        <f>IF(OR(F177="",COUNT(G177:I177)&lt;3),"",F177+G177-H177-I177)</f>
        <v/>
      </c>
      <c r="K177" s="6">
        <f>IF(COUNTA(A177:D177,G177:I177)=0,"",IF(COUNTA(A177:D177,G177:I177)&lt;7,"LENGKAPI",IF(H177+I177&gt;N(F177)+G177,"ABNORMAL",IF(COUNTIFS($A$2:$A$2001,A177,$B$2:$B$2001,B177,$C$2:$C$2001,C177,$D$2:$D$2001,D177)&gt;1,"DUPLIKAT","OK"))))</f>
        <v/>
      </c>
    </row>
    <row r="178">
      <c r="A178" s="4" t="n"/>
      <c r="B178" s="5" t="n"/>
      <c r="C178" s="5" t="n"/>
      <c r="D178" s="5" t="n"/>
      <c r="E178" s="6">
        <f>IF(A178="","","B"&amp;TEXT(COUNT($A$2:A178),"00000"))</f>
        <v/>
      </c>
      <c r="F178" s="6">
        <f>IF(OR(C178="",D178=""),"",IFERROR(LOOKUP(2,1/(($C$1:C177=C178)*($D$1:D177=D178)*ISNUMBER($J$1:J177)),$J$1:J177),SUMIFS(Master!$G$2:$G$13,Master!$E$2:$E$13,C178,Master!$F$2:$F$13,D178)))</f>
        <v/>
      </c>
      <c r="G178" s="5" t="n"/>
      <c r="H178" s="5" t="n"/>
      <c r="I178" s="5" t="n"/>
      <c r="J178" s="6">
        <f>IF(OR(F178="",COUNT(G178:I178)&lt;3),"",F178+G178-H178-I178)</f>
        <v/>
      </c>
      <c r="K178" s="6">
        <f>IF(COUNTA(A178:D178,G178:I178)=0,"",IF(COUNTA(A178:D178,G178:I178)&lt;7,"LENGKAPI",IF(H178+I178&gt;N(F178)+G178,"ABNORMAL",IF(COUNTIFS($A$2:$A$2001,A178,$B$2:$B$2001,B178,$C$2:$C$2001,C178,$D$2:$D$2001,D178)&gt;1,"DUPLIKAT","OK"))))</f>
        <v/>
      </c>
    </row>
    <row r="179">
      <c r="A179" s="4" t="n"/>
      <c r="B179" s="5" t="n"/>
      <c r="C179" s="5" t="n"/>
      <c r="D179" s="5" t="n"/>
      <c r="E179" s="6">
        <f>IF(A179="","","B"&amp;TEXT(COUNT($A$2:A179),"00000"))</f>
        <v/>
      </c>
      <c r="F179" s="6">
        <f>IF(OR(C179="",D179=""),"",IFERROR(LOOKUP(2,1/(($C$1:C178=C179)*($D$1:D178=D179)*ISNUMBER($J$1:J178)),$J$1:J178),SUMIFS(Master!$G$2:$G$13,Master!$E$2:$E$13,C179,Master!$F$2:$F$13,D179)))</f>
        <v/>
      </c>
      <c r="G179" s="5" t="n"/>
      <c r="H179" s="5" t="n"/>
      <c r="I179" s="5" t="n"/>
      <c r="J179" s="6">
        <f>IF(OR(F179="",COUNT(G179:I179)&lt;3),"",F179+G179-H179-I179)</f>
        <v/>
      </c>
      <c r="K179" s="6">
        <f>IF(COUNTA(A179:D179,G179:I179)=0,"",IF(COUNTA(A179:D179,G179:I179)&lt;7,"LENGKAPI",IF(H179+I179&gt;N(F179)+G179,"ABNORMAL",IF(COUNTIFS($A$2:$A$2001,A179,$B$2:$B$2001,B179,$C$2:$C$2001,C179,$D$2:$D$2001,D179)&gt;1,"DUPLIKAT","OK"))))</f>
        <v/>
      </c>
    </row>
    <row r="180">
      <c r="A180" s="4" t="n"/>
      <c r="B180" s="5" t="n"/>
      <c r="C180" s="5" t="n"/>
      <c r="D180" s="5" t="n"/>
      <c r="E180" s="6">
        <f>IF(A180="","","B"&amp;TEXT(COUNT($A$2:A180),"00000"))</f>
        <v/>
      </c>
      <c r="F180" s="6">
        <f>IF(OR(C180="",D180=""),"",IFERROR(LOOKUP(2,1/(($C$1:C179=C180)*($D$1:D179=D180)*ISNUMBER($J$1:J179)),$J$1:J179),SUMIFS(Master!$G$2:$G$13,Master!$E$2:$E$13,C180,Master!$F$2:$F$13,D180)))</f>
        <v/>
      </c>
      <c r="G180" s="5" t="n"/>
      <c r="H180" s="5" t="n"/>
      <c r="I180" s="5" t="n"/>
      <c r="J180" s="6">
        <f>IF(OR(F180="",COUNT(G180:I180)&lt;3),"",F180+G180-H180-I180)</f>
        <v/>
      </c>
      <c r="K180" s="6">
        <f>IF(COUNTA(A180:D180,G180:I180)=0,"",IF(COUNTA(A180:D180,G180:I180)&lt;7,"LENGKAPI",IF(H180+I180&gt;N(F180)+G180,"ABNORMAL",IF(COUNTIFS($A$2:$A$2001,A180,$B$2:$B$2001,B180,$C$2:$C$2001,C180,$D$2:$D$2001,D180)&gt;1,"DUPLIKAT","OK"))))</f>
        <v/>
      </c>
    </row>
    <row r="181">
      <c r="A181" s="4" t="n"/>
      <c r="B181" s="5" t="n"/>
      <c r="C181" s="5" t="n"/>
      <c r="D181" s="5" t="n"/>
      <c r="E181" s="6">
        <f>IF(A181="","","B"&amp;TEXT(COUNT($A$2:A181),"00000"))</f>
        <v/>
      </c>
      <c r="F181" s="6">
        <f>IF(OR(C181="",D181=""),"",IFERROR(LOOKUP(2,1/(($C$1:C180=C181)*($D$1:D180=D181)*ISNUMBER($J$1:J180)),$J$1:J180),SUMIFS(Master!$G$2:$G$13,Master!$E$2:$E$13,C181,Master!$F$2:$F$13,D181)))</f>
        <v/>
      </c>
      <c r="G181" s="5" t="n"/>
      <c r="H181" s="5" t="n"/>
      <c r="I181" s="5" t="n"/>
      <c r="J181" s="6">
        <f>IF(OR(F181="",COUNT(G181:I181)&lt;3),"",F181+G181-H181-I181)</f>
        <v/>
      </c>
      <c r="K181" s="6">
        <f>IF(COUNTA(A181:D181,G181:I181)=0,"",IF(COUNTA(A181:D181,G181:I181)&lt;7,"LENGKAPI",IF(H181+I181&gt;N(F181)+G181,"ABNORMAL",IF(COUNTIFS($A$2:$A$2001,A181,$B$2:$B$2001,B181,$C$2:$C$2001,C181,$D$2:$D$2001,D181)&gt;1,"DUPLIKAT","OK"))))</f>
        <v/>
      </c>
    </row>
    <row r="182">
      <c r="A182" s="4" t="n"/>
      <c r="B182" s="5" t="n"/>
      <c r="C182" s="5" t="n"/>
      <c r="D182" s="5" t="n"/>
      <c r="E182" s="6">
        <f>IF(A182="","","B"&amp;TEXT(COUNT($A$2:A182),"00000"))</f>
        <v/>
      </c>
      <c r="F182" s="6">
        <f>IF(OR(C182="",D182=""),"",IFERROR(LOOKUP(2,1/(($C$1:C181=C182)*($D$1:D181=D182)*ISNUMBER($J$1:J181)),$J$1:J181),SUMIFS(Master!$G$2:$G$13,Master!$E$2:$E$13,C182,Master!$F$2:$F$13,D182)))</f>
        <v/>
      </c>
      <c r="G182" s="5" t="n"/>
      <c r="H182" s="5" t="n"/>
      <c r="I182" s="5" t="n"/>
      <c r="J182" s="6">
        <f>IF(OR(F182="",COUNT(G182:I182)&lt;3),"",F182+G182-H182-I182)</f>
        <v/>
      </c>
      <c r="K182" s="6">
        <f>IF(COUNTA(A182:D182,G182:I182)=0,"",IF(COUNTA(A182:D182,G182:I182)&lt;7,"LENGKAPI",IF(H182+I182&gt;N(F182)+G182,"ABNORMAL",IF(COUNTIFS($A$2:$A$2001,A182,$B$2:$B$2001,B182,$C$2:$C$2001,C182,$D$2:$D$2001,D182)&gt;1,"DUPLIKAT","OK"))))</f>
        <v/>
      </c>
    </row>
    <row r="183">
      <c r="A183" s="4" t="n"/>
      <c r="B183" s="5" t="n"/>
      <c r="C183" s="5" t="n"/>
      <c r="D183" s="5" t="n"/>
      <c r="E183" s="6">
        <f>IF(A183="","","B"&amp;TEXT(COUNT($A$2:A183),"00000"))</f>
        <v/>
      </c>
      <c r="F183" s="6">
        <f>IF(OR(C183="",D183=""),"",IFERROR(LOOKUP(2,1/(($C$1:C182=C183)*($D$1:D182=D183)*ISNUMBER($J$1:J182)),$J$1:J182),SUMIFS(Master!$G$2:$G$13,Master!$E$2:$E$13,C183,Master!$F$2:$F$13,D183)))</f>
        <v/>
      </c>
      <c r="G183" s="5" t="n"/>
      <c r="H183" s="5" t="n"/>
      <c r="I183" s="5" t="n"/>
      <c r="J183" s="6">
        <f>IF(OR(F183="",COUNT(G183:I183)&lt;3),"",F183+G183-H183-I183)</f>
        <v/>
      </c>
      <c r="K183" s="6">
        <f>IF(COUNTA(A183:D183,G183:I183)=0,"",IF(COUNTA(A183:D183,G183:I183)&lt;7,"LENGKAPI",IF(H183+I183&gt;N(F183)+G183,"ABNORMAL",IF(COUNTIFS($A$2:$A$2001,A183,$B$2:$B$2001,B183,$C$2:$C$2001,C183,$D$2:$D$2001,D183)&gt;1,"DUPLIKAT","OK"))))</f>
        <v/>
      </c>
    </row>
    <row r="184">
      <c r="A184" s="4" t="n"/>
      <c r="B184" s="5" t="n"/>
      <c r="C184" s="5" t="n"/>
      <c r="D184" s="5" t="n"/>
      <c r="E184" s="6">
        <f>IF(A184="","","B"&amp;TEXT(COUNT($A$2:A184),"00000"))</f>
        <v/>
      </c>
      <c r="F184" s="6">
        <f>IF(OR(C184="",D184=""),"",IFERROR(LOOKUP(2,1/(($C$1:C183=C184)*($D$1:D183=D184)*ISNUMBER($J$1:J183)),$J$1:J183),SUMIFS(Master!$G$2:$G$13,Master!$E$2:$E$13,C184,Master!$F$2:$F$13,D184)))</f>
        <v/>
      </c>
      <c r="G184" s="5" t="n"/>
      <c r="H184" s="5" t="n"/>
      <c r="I184" s="5" t="n"/>
      <c r="J184" s="6">
        <f>IF(OR(F184="",COUNT(G184:I184)&lt;3),"",F184+G184-H184-I184)</f>
        <v/>
      </c>
      <c r="K184" s="6">
        <f>IF(COUNTA(A184:D184,G184:I184)=0,"",IF(COUNTA(A184:D184,G184:I184)&lt;7,"LENGKAPI",IF(H184+I184&gt;N(F184)+G184,"ABNORMAL",IF(COUNTIFS($A$2:$A$2001,A184,$B$2:$B$2001,B184,$C$2:$C$2001,C184,$D$2:$D$2001,D184)&gt;1,"DUPLIKAT","OK"))))</f>
        <v/>
      </c>
    </row>
    <row r="185">
      <c r="A185" s="4" t="n"/>
      <c r="B185" s="5" t="n"/>
      <c r="C185" s="5" t="n"/>
      <c r="D185" s="5" t="n"/>
      <c r="E185" s="6">
        <f>IF(A185="","","B"&amp;TEXT(COUNT($A$2:A185),"00000"))</f>
        <v/>
      </c>
      <c r="F185" s="6">
        <f>IF(OR(C185="",D185=""),"",IFERROR(LOOKUP(2,1/(($C$1:C184=C185)*($D$1:D184=D185)*ISNUMBER($J$1:J184)),$J$1:J184),SUMIFS(Master!$G$2:$G$13,Master!$E$2:$E$13,C185,Master!$F$2:$F$13,D185)))</f>
        <v/>
      </c>
      <c r="G185" s="5" t="n"/>
      <c r="H185" s="5" t="n"/>
      <c r="I185" s="5" t="n"/>
      <c r="J185" s="6">
        <f>IF(OR(F185="",COUNT(G185:I185)&lt;3),"",F185+G185-H185-I185)</f>
        <v/>
      </c>
      <c r="K185" s="6">
        <f>IF(COUNTA(A185:D185,G185:I185)=0,"",IF(COUNTA(A185:D185,G185:I185)&lt;7,"LENGKAPI",IF(H185+I185&gt;N(F185)+G185,"ABNORMAL",IF(COUNTIFS($A$2:$A$2001,A185,$B$2:$B$2001,B185,$C$2:$C$2001,C185,$D$2:$D$2001,D185)&gt;1,"DUPLIKAT","OK"))))</f>
        <v/>
      </c>
    </row>
    <row r="186">
      <c r="A186" s="4" t="n"/>
      <c r="B186" s="5" t="n"/>
      <c r="C186" s="5" t="n"/>
      <c r="D186" s="5" t="n"/>
      <c r="E186" s="6">
        <f>IF(A186="","","B"&amp;TEXT(COUNT($A$2:A186),"00000"))</f>
        <v/>
      </c>
      <c r="F186" s="6">
        <f>IF(OR(C186="",D186=""),"",IFERROR(LOOKUP(2,1/(($C$1:C185=C186)*($D$1:D185=D186)*ISNUMBER($J$1:J185)),$J$1:J185),SUMIFS(Master!$G$2:$G$13,Master!$E$2:$E$13,C186,Master!$F$2:$F$13,D186)))</f>
        <v/>
      </c>
      <c r="G186" s="5" t="n"/>
      <c r="H186" s="5" t="n"/>
      <c r="I186" s="5" t="n"/>
      <c r="J186" s="6">
        <f>IF(OR(F186="",COUNT(G186:I186)&lt;3),"",F186+G186-H186-I186)</f>
        <v/>
      </c>
      <c r="K186" s="6">
        <f>IF(COUNTA(A186:D186,G186:I186)=0,"",IF(COUNTA(A186:D186,G186:I186)&lt;7,"LENGKAPI",IF(H186+I186&gt;N(F186)+G186,"ABNORMAL",IF(COUNTIFS($A$2:$A$2001,A186,$B$2:$B$2001,B186,$C$2:$C$2001,C186,$D$2:$D$2001,D186)&gt;1,"DUPLIKAT","OK"))))</f>
        <v/>
      </c>
    </row>
    <row r="187">
      <c r="A187" s="4" t="n"/>
      <c r="B187" s="5" t="n"/>
      <c r="C187" s="5" t="n"/>
      <c r="D187" s="5" t="n"/>
      <c r="E187" s="6">
        <f>IF(A187="","","B"&amp;TEXT(COUNT($A$2:A187),"00000"))</f>
        <v/>
      </c>
      <c r="F187" s="6">
        <f>IF(OR(C187="",D187=""),"",IFERROR(LOOKUP(2,1/(($C$1:C186=C187)*($D$1:D186=D187)*ISNUMBER($J$1:J186)),$J$1:J186),SUMIFS(Master!$G$2:$G$13,Master!$E$2:$E$13,C187,Master!$F$2:$F$13,D187)))</f>
        <v/>
      </c>
      <c r="G187" s="5" t="n"/>
      <c r="H187" s="5" t="n"/>
      <c r="I187" s="5" t="n"/>
      <c r="J187" s="6">
        <f>IF(OR(F187="",COUNT(G187:I187)&lt;3),"",F187+G187-H187-I187)</f>
        <v/>
      </c>
      <c r="K187" s="6">
        <f>IF(COUNTA(A187:D187,G187:I187)=0,"",IF(COUNTA(A187:D187,G187:I187)&lt;7,"LENGKAPI",IF(H187+I187&gt;N(F187)+G187,"ABNORMAL",IF(COUNTIFS($A$2:$A$2001,A187,$B$2:$B$2001,B187,$C$2:$C$2001,C187,$D$2:$D$2001,D187)&gt;1,"DUPLIKAT","OK"))))</f>
        <v/>
      </c>
    </row>
    <row r="188">
      <c r="A188" s="4" t="n"/>
      <c r="B188" s="5" t="n"/>
      <c r="C188" s="5" t="n"/>
      <c r="D188" s="5" t="n"/>
      <c r="E188" s="6">
        <f>IF(A188="","","B"&amp;TEXT(COUNT($A$2:A188),"00000"))</f>
        <v/>
      </c>
      <c r="F188" s="6">
        <f>IF(OR(C188="",D188=""),"",IFERROR(LOOKUP(2,1/(($C$1:C187=C188)*($D$1:D187=D188)*ISNUMBER($J$1:J187)),$J$1:J187),SUMIFS(Master!$G$2:$G$13,Master!$E$2:$E$13,C188,Master!$F$2:$F$13,D188)))</f>
        <v/>
      </c>
      <c r="G188" s="5" t="n"/>
      <c r="H188" s="5" t="n"/>
      <c r="I188" s="5" t="n"/>
      <c r="J188" s="6">
        <f>IF(OR(F188="",COUNT(G188:I188)&lt;3),"",F188+G188-H188-I188)</f>
        <v/>
      </c>
      <c r="K188" s="6">
        <f>IF(COUNTA(A188:D188,G188:I188)=0,"",IF(COUNTA(A188:D188,G188:I188)&lt;7,"LENGKAPI",IF(H188+I188&gt;N(F188)+G188,"ABNORMAL",IF(COUNTIFS($A$2:$A$2001,A188,$B$2:$B$2001,B188,$C$2:$C$2001,C188,$D$2:$D$2001,D188)&gt;1,"DUPLIKAT","OK"))))</f>
        <v/>
      </c>
    </row>
    <row r="189">
      <c r="A189" s="4" t="n"/>
      <c r="B189" s="5" t="n"/>
      <c r="C189" s="5" t="n"/>
      <c r="D189" s="5" t="n"/>
      <c r="E189" s="6">
        <f>IF(A189="","","B"&amp;TEXT(COUNT($A$2:A189),"00000"))</f>
        <v/>
      </c>
      <c r="F189" s="6">
        <f>IF(OR(C189="",D189=""),"",IFERROR(LOOKUP(2,1/(($C$1:C188=C189)*($D$1:D188=D189)*ISNUMBER($J$1:J188)),$J$1:J188),SUMIFS(Master!$G$2:$G$13,Master!$E$2:$E$13,C189,Master!$F$2:$F$13,D189)))</f>
        <v/>
      </c>
      <c r="G189" s="5" t="n"/>
      <c r="H189" s="5" t="n"/>
      <c r="I189" s="5" t="n"/>
      <c r="J189" s="6">
        <f>IF(OR(F189="",COUNT(G189:I189)&lt;3),"",F189+G189-H189-I189)</f>
        <v/>
      </c>
      <c r="K189" s="6">
        <f>IF(COUNTA(A189:D189,G189:I189)=0,"",IF(COUNTA(A189:D189,G189:I189)&lt;7,"LENGKAPI",IF(H189+I189&gt;N(F189)+G189,"ABNORMAL",IF(COUNTIFS($A$2:$A$2001,A189,$B$2:$B$2001,B189,$C$2:$C$2001,C189,$D$2:$D$2001,D189)&gt;1,"DUPLIKAT","OK"))))</f>
        <v/>
      </c>
    </row>
    <row r="190">
      <c r="A190" s="4" t="n"/>
      <c r="B190" s="5" t="n"/>
      <c r="C190" s="5" t="n"/>
      <c r="D190" s="5" t="n"/>
      <c r="E190" s="6">
        <f>IF(A190="","","B"&amp;TEXT(COUNT($A$2:A190),"00000"))</f>
        <v/>
      </c>
      <c r="F190" s="6">
        <f>IF(OR(C190="",D190=""),"",IFERROR(LOOKUP(2,1/(($C$1:C189=C190)*($D$1:D189=D190)*ISNUMBER($J$1:J189)),$J$1:J189),SUMIFS(Master!$G$2:$G$13,Master!$E$2:$E$13,C190,Master!$F$2:$F$13,D190)))</f>
        <v/>
      </c>
      <c r="G190" s="5" t="n"/>
      <c r="H190" s="5" t="n"/>
      <c r="I190" s="5" t="n"/>
      <c r="J190" s="6">
        <f>IF(OR(F190="",COUNT(G190:I190)&lt;3),"",F190+G190-H190-I190)</f>
        <v/>
      </c>
      <c r="K190" s="6">
        <f>IF(COUNTA(A190:D190,G190:I190)=0,"",IF(COUNTA(A190:D190,G190:I190)&lt;7,"LENGKAPI",IF(H190+I190&gt;N(F190)+G190,"ABNORMAL",IF(COUNTIFS($A$2:$A$2001,A190,$B$2:$B$2001,B190,$C$2:$C$2001,C190,$D$2:$D$2001,D190)&gt;1,"DUPLIKAT","OK"))))</f>
        <v/>
      </c>
    </row>
    <row r="191">
      <c r="A191" s="4" t="n"/>
      <c r="B191" s="5" t="n"/>
      <c r="C191" s="5" t="n"/>
      <c r="D191" s="5" t="n"/>
      <c r="E191" s="6">
        <f>IF(A191="","","B"&amp;TEXT(COUNT($A$2:A191),"00000"))</f>
        <v/>
      </c>
      <c r="F191" s="6">
        <f>IF(OR(C191="",D191=""),"",IFERROR(LOOKUP(2,1/(($C$1:C190=C191)*($D$1:D190=D191)*ISNUMBER($J$1:J190)),$J$1:J190),SUMIFS(Master!$G$2:$G$13,Master!$E$2:$E$13,C191,Master!$F$2:$F$13,D191)))</f>
        <v/>
      </c>
      <c r="G191" s="5" t="n"/>
      <c r="H191" s="5" t="n"/>
      <c r="I191" s="5" t="n"/>
      <c r="J191" s="6">
        <f>IF(OR(F191="",COUNT(G191:I191)&lt;3),"",F191+G191-H191-I191)</f>
        <v/>
      </c>
      <c r="K191" s="6">
        <f>IF(COUNTA(A191:D191,G191:I191)=0,"",IF(COUNTA(A191:D191,G191:I191)&lt;7,"LENGKAPI",IF(H191+I191&gt;N(F191)+G191,"ABNORMAL",IF(COUNTIFS($A$2:$A$2001,A191,$B$2:$B$2001,B191,$C$2:$C$2001,C191,$D$2:$D$2001,D191)&gt;1,"DUPLIKAT","OK"))))</f>
        <v/>
      </c>
    </row>
    <row r="192">
      <c r="A192" s="4" t="n"/>
      <c r="B192" s="5" t="n"/>
      <c r="C192" s="5" t="n"/>
      <c r="D192" s="5" t="n"/>
      <c r="E192" s="6">
        <f>IF(A192="","","B"&amp;TEXT(COUNT($A$2:A192),"00000"))</f>
        <v/>
      </c>
      <c r="F192" s="6">
        <f>IF(OR(C192="",D192=""),"",IFERROR(LOOKUP(2,1/(($C$1:C191=C192)*($D$1:D191=D192)*ISNUMBER($J$1:J191)),$J$1:J191),SUMIFS(Master!$G$2:$G$13,Master!$E$2:$E$13,C192,Master!$F$2:$F$13,D192)))</f>
        <v/>
      </c>
      <c r="G192" s="5" t="n"/>
      <c r="H192" s="5" t="n"/>
      <c r="I192" s="5" t="n"/>
      <c r="J192" s="6">
        <f>IF(OR(F192="",COUNT(G192:I192)&lt;3),"",F192+G192-H192-I192)</f>
        <v/>
      </c>
      <c r="K192" s="6">
        <f>IF(COUNTA(A192:D192,G192:I192)=0,"",IF(COUNTA(A192:D192,G192:I192)&lt;7,"LENGKAPI",IF(H192+I192&gt;N(F192)+G192,"ABNORMAL",IF(COUNTIFS($A$2:$A$2001,A192,$B$2:$B$2001,B192,$C$2:$C$2001,C192,$D$2:$D$2001,D192)&gt;1,"DUPLIKAT","OK"))))</f>
        <v/>
      </c>
    </row>
    <row r="193">
      <c r="A193" s="4" t="n"/>
      <c r="B193" s="5" t="n"/>
      <c r="C193" s="5" t="n"/>
      <c r="D193" s="5" t="n"/>
      <c r="E193" s="6">
        <f>IF(A193="","","B"&amp;TEXT(COUNT($A$2:A193),"00000"))</f>
        <v/>
      </c>
      <c r="F193" s="6">
        <f>IF(OR(C193="",D193=""),"",IFERROR(LOOKUP(2,1/(($C$1:C192=C193)*($D$1:D192=D193)*ISNUMBER($J$1:J192)),$J$1:J192),SUMIFS(Master!$G$2:$G$13,Master!$E$2:$E$13,C193,Master!$F$2:$F$13,D193)))</f>
        <v/>
      </c>
      <c r="G193" s="5" t="n"/>
      <c r="H193" s="5" t="n"/>
      <c r="I193" s="5" t="n"/>
      <c r="J193" s="6">
        <f>IF(OR(F193="",COUNT(G193:I193)&lt;3),"",F193+G193-H193-I193)</f>
        <v/>
      </c>
      <c r="K193" s="6">
        <f>IF(COUNTA(A193:D193,G193:I193)=0,"",IF(COUNTA(A193:D193,G193:I193)&lt;7,"LENGKAPI",IF(H193+I193&gt;N(F193)+G193,"ABNORMAL",IF(COUNTIFS($A$2:$A$2001,A193,$B$2:$B$2001,B193,$C$2:$C$2001,C193,$D$2:$D$2001,D193)&gt;1,"DUPLIKAT","OK"))))</f>
        <v/>
      </c>
    </row>
    <row r="194">
      <c r="A194" s="4" t="n"/>
      <c r="B194" s="5" t="n"/>
      <c r="C194" s="5" t="n"/>
      <c r="D194" s="5" t="n"/>
      <c r="E194" s="6">
        <f>IF(A194="","","B"&amp;TEXT(COUNT($A$2:A194),"00000"))</f>
        <v/>
      </c>
      <c r="F194" s="6">
        <f>IF(OR(C194="",D194=""),"",IFERROR(LOOKUP(2,1/(($C$1:C193=C194)*($D$1:D193=D194)*ISNUMBER($J$1:J193)),$J$1:J193),SUMIFS(Master!$G$2:$G$13,Master!$E$2:$E$13,C194,Master!$F$2:$F$13,D194)))</f>
        <v/>
      </c>
      <c r="G194" s="5" t="n"/>
      <c r="H194" s="5" t="n"/>
      <c r="I194" s="5" t="n"/>
      <c r="J194" s="6">
        <f>IF(OR(F194="",COUNT(G194:I194)&lt;3),"",F194+G194-H194-I194)</f>
        <v/>
      </c>
      <c r="K194" s="6">
        <f>IF(COUNTA(A194:D194,G194:I194)=0,"",IF(COUNTA(A194:D194,G194:I194)&lt;7,"LENGKAPI",IF(H194+I194&gt;N(F194)+G194,"ABNORMAL",IF(COUNTIFS($A$2:$A$2001,A194,$B$2:$B$2001,B194,$C$2:$C$2001,C194,$D$2:$D$2001,D194)&gt;1,"DUPLIKAT","OK"))))</f>
        <v/>
      </c>
    </row>
    <row r="195">
      <c r="A195" s="4" t="n"/>
      <c r="B195" s="5" t="n"/>
      <c r="C195" s="5" t="n"/>
      <c r="D195" s="5" t="n"/>
      <c r="E195" s="6">
        <f>IF(A195="","","B"&amp;TEXT(COUNT($A$2:A195),"00000"))</f>
        <v/>
      </c>
      <c r="F195" s="6">
        <f>IF(OR(C195="",D195=""),"",IFERROR(LOOKUP(2,1/(($C$1:C194=C195)*($D$1:D194=D195)*ISNUMBER($J$1:J194)),$J$1:J194),SUMIFS(Master!$G$2:$G$13,Master!$E$2:$E$13,C195,Master!$F$2:$F$13,D195)))</f>
        <v/>
      </c>
      <c r="G195" s="5" t="n"/>
      <c r="H195" s="5" t="n"/>
      <c r="I195" s="5" t="n"/>
      <c r="J195" s="6">
        <f>IF(OR(F195="",COUNT(G195:I195)&lt;3),"",F195+G195-H195-I195)</f>
        <v/>
      </c>
      <c r="K195" s="6">
        <f>IF(COUNTA(A195:D195,G195:I195)=0,"",IF(COUNTA(A195:D195,G195:I195)&lt;7,"LENGKAPI",IF(H195+I195&gt;N(F195)+G195,"ABNORMAL",IF(COUNTIFS($A$2:$A$2001,A195,$B$2:$B$2001,B195,$C$2:$C$2001,C195,$D$2:$D$2001,D195)&gt;1,"DUPLIKAT","OK"))))</f>
        <v/>
      </c>
    </row>
    <row r="196">
      <c r="A196" s="4" t="n"/>
      <c r="B196" s="5" t="n"/>
      <c r="C196" s="5" t="n"/>
      <c r="D196" s="5" t="n"/>
      <c r="E196" s="6">
        <f>IF(A196="","","B"&amp;TEXT(COUNT($A$2:A196),"00000"))</f>
        <v/>
      </c>
      <c r="F196" s="6">
        <f>IF(OR(C196="",D196=""),"",IFERROR(LOOKUP(2,1/(($C$1:C195=C196)*($D$1:D195=D196)*ISNUMBER($J$1:J195)),$J$1:J195),SUMIFS(Master!$G$2:$G$13,Master!$E$2:$E$13,C196,Master!$F$2:$F$13,D196)))</f>
        <v/>
      </c>
      <c r="G196" s="5" t="n"/>
      <c r="H196" s="5" t="n"/>
      <c r="I196" s="5" t="n"/>
      <c r="J196" s="6">
        <f>IF(OR(F196="",COUNT(G196:I196)&lt;3),"",F196+G196-H196-I196)</f>
        <v/>
      </c>
      <c r="K196" s="6">
        <f>IF(COUNTA(A196:D196,G196:I196)=0,"",IF(COUNTA(A196:D196,G196:I196)&lt;7,"LENGKAPI",IF(H196+I196&gt;N(F196)+G196,"ABNORMAL",IF(COUNTIFS($A$2:$A$2001,A196,$B$2:$B$2001,B196,$C$2:$C$2001,C196,$D$2:$D$2001,D196)&gt;1,"DUPLIKAT","OK"))))</f>
        <v/>
      </c>
    </row>
    <row r="197">
      <c r="A197" s="4" t="n"/>
      <c r="B197" s="5" t="n"/>
      <c r="C197" s="5" t="n"/>
      <c r="D197" s="5" t="n"/>
      <c r="E197" s="6">
        <f>IF(A197="","","B"&amp;TEXT(COUNT($A$2:A197),"00000"))</f>
        <v/>
      </c>
      <c r="F197" s="6">
        <f>IF(OR(C197="",D197=""),"",IFERROR(LOOKUP(2,1/(($C$1:C196=C197)*($D$1:D196=D197)*ISNUMBER($J$1:J196)),$J$1:J196),SUMIFS(Master!$G$2:$G$13,Master!$E$2:$E$13,C197,Master!$F$2:$F$13,D197)))</f>
        <v/>
      </c>
      <c r="G197" s="5" t="n"/>
      <c r="H197" s="5" t="n"/>
      <c r="I197" s="5" t="n"/>
      <c r="J197" s="6">
        <f>IF(OR(F197="",COUNT(G197:I197)&lt;3),"",F197+G197-H197-I197)</f>
        <v/>
      </c>
      <c r="K197" s="6">
        <f>IF(COUNTA(A197:D197,G197:I197)=0,"",IF(COUNTA(A197:D197,G197:I197)&lt;7,"LENGKAPI",IF(H197+I197&gt;N(F197)+G197,"ABNORMAL",IF(COUNTIFS($A$2:$A$2001,A197,$B$2:$B$2001,B197,$C$2:$C$2001,C197,$D$2:$D$2001,D197)&gt;1,"DUPLIKAT","OK"))))</f>
        <v/>
      </c>
    </row>
    <row r="198">
      <c r="A198" s="4" t="n"/>
      <c r="B198" s="5" t="n"/>
      <c r="C198" s="5" t="n"/>
      <c r="D198" s="5" t="n"/>
      <c r="E198" s="6">
        <f>IF(A198="","","B"&amp;TEXT(COUNT($A$2:A198),"00000"))</f>
        <v/>
      </c>
      <c r="F198" s="6">
        <f>IF(OR(C198="",D198=""),"",IFERROR(LOOKUP(2,1/(($C$1:C197=C198)*($D$1:D197=D198)*ISNUMBER($J$1:J197)),$J$1:J197),SUMIFS(Master!$G$2:$G$13,Master!$E$2:$E$13,C198,Master!$F$2:$F$13,D198)))</f>
        <v/>
      </c>
      <c r="G198" s="5" t="n"/>
      <c r="H198" s="5" t="n"/>
      <c r="I198" s="5" t="n"/>
      <c r="J198" s="6">
        <f>IF(OR(F198="",COUNT(G198:I198)&lt;3),"",F198+G198-H198-I198)</f>
        <v/>
      </c>
      <c r="K198" s="6">
        <f>IF(COUNTA(A198:D198,G198:I198)=0,"",IF(COUNTA(A198:D198,G198:I198)&lt;7,"LENGKAPI",IF(H198+I198&gt;N(F198)+G198,"ABNORMAL",IF(COUNTIFS($A$2:$A$2001,A198,$B$2:$B$2001,B198,$C$2:$C$2001,C198,$D$2:$D$2001,D198)&gt;1,"DUPLIKAT","OK"))))</f>
        <v/>
      </c>
    </row>
    <row r="199">
      <c r="A199" s="4" t="n"/>
      <c r="B199" s="5" t="n"/>
      <c r="C199" s="5" t="n"/>
      <c r="D199" s="5" t="n"/>
      <c r="E199" s="6">
        <f>IF(A199="","","B"&amp;TEXT(COUNT($A$2:A199),"00000"))</f>
        <v/>
      </c>
      <c r="F199" s="6">
        <f>IF(OR(C199="",D199=""),"",IFERROR(LOOKUP(2,1/(($C$1:C198=C199)*($D$1:D198=D199)*ISNUMBER($J$1:J198)),$J$1:J198),SUMIFS(Master!$G$2:$G$13,Master!$E$2:$E$13,C199,Master!$F$2:$F$13,D199)))</f>
        <v/>
      </c>
      <c r="G199" s="5" t="n"/>
      <c r="H199" s="5" t="n"/>
      <c r="I199" s="5" t="n"/>
      <c r="J199" s="6">
        <f>IF(OR(F199="",COUNT(G199:I199)&lt;3),"",F199+G199-H199-I199)</f>
        <v/>
      </c>
      <c r="K199" s="6">
        <f>IF(COUNTA(A199:D199,G199:I199)=0,"",IF(COUNTA(A199:D199,G199:I199)&lt;7,"LENGKAPI",IF(H199+I199&gt;N(F199)+G199,"ABNORMAL",IF(COUNTIFS($A$2:$A$2001,A199,$B$2:$B$2001,B199,$C$2:$C$2001,C199,$D$2:$D$2001,D199)&gt;1,"DUPLIKAT","OK"))))</f>
        <v/>
      </c>
    </row>
    <row r="200">
      <c r="A200" s="4" t="n"/>
      <c r="B200" s="5" t="n"/>
      <c r="C200" s="5" t="n"/>
      <c r="D200" s="5" t="n"/>
      <c r="E200" s="6">
        <f>IF(A200="","","B"&amp;TEXT(COUNT($A$2:A200),"00000"))</f>
        <v/>
      </c>
      <c r="F200" s="6">
        <f>IF(OR(C200="",D200=""),"",IFERROR(LOOKUP(2,1/(($C$1:C199=C200)*($D$1:D199=D200)*ISNUMBER($J$1:J199)),$J$1:J199),SUMIFS(Master!$G$2:$G$13,Master!$E$2:$E$13,C200,Master!$F$2:$F$13,D200)))</f>
        <v/>
      </c>
      <c r="G200" s="5" t="n"/>
      <c r="H200" s="5" t="n"/>
      <c r="I200" s="5" t="n"/>
      <c r="J200" s="6">
        <f>IF(OR(F200="",COUNT(G200:I200)&lt;3),"",F200+G200-H200-I200)</f>
        <v/>
      </c>
      <c r="K200" s="6">
        <f>IF(COUNTA(A200:D200,G200:I200)=0,"",IF(COUNTA(A200:D200,G200:I200)&lt;7,"LENGKAPI",IF(H200+I200&gt;N(F200)+G200,"ABNORMAL",IF(COUNTIFS($A$2:$A$2001,A200,$B$2:$B$2001,B200,$C$2:$C$2001,C200,$D$2:$D$2001,D200)&gt;1,"DUPLIKAT","OK"))))</f>
        <v/>
      </c>
    </row>
    <row r="201">
      <c r="A201" s="4" t="n"/>
      <c r="B201" s="5" t="n"/>
      <c r="C201" s="5" t="n"/>
      <c r="D201" s="5" t="n"/>
      <c r="E201" s="6">
        <f>IF(A201="","","B"&amp;TEXT(COUNT($A$2:A201),"00000"))</f>
        <v/>
      </c>
      <c r="F201" s="6">
        <f>IF(OR(C201="",D201=""),"",IFERROR(LOOKUP(2,1/(($C$1:C200=C201)*($D$1:D200=D201)*ISNUMBER($J$1:J200)),$J$1:J200),SUMIFS(Master!$G$2:$G$13,Master!$E$2:$E$13,C201,Master!$F$2:$F$13,D201)))</f>
        <v/>
      </c>
      <c r="G201" s="5" t="n"/>
      <c r="H201" s="5" t="n"/>
      <c r="I201" s="5" t="n"/>
      <c r="J201" s="6">
        <f>IF(OR(F201="",COUNT(G201:I201)&lt;3),"",F201+G201-H201-I201)</f>
        <v/>
      </c>
      <c r="K201" s="6">
        <f>IF(COUNTA(A201:D201,G201:I201)=0,"",IF(COUNTA(A201:D201,G201:I201)&lt;7,"LENGKAPI",IF(H201+I201&gt;N(F201)+G201,"ABNORMAL",IF(COUNTIFS($A$2:$A$2001,A201,$B$2:$B$2001,B201,$C$2:$C$2001,C201,$D$2:$D$2001,D201)&gt;1,"DUPLIKAT","OK"))))</f>
        <v/>
      </c>
    </row>
    <row r="202">
      <c r="A202" s="4" t="n"/>
      <c r="B202" s="5" t="n"/>
      <c r="C202" s="5" t="n"/>
      <c r="D202" s="5" t="n"/>
      <c r="E202" s="6">
        <f>IF(A202="","","B"&amp;TEXT(COUNT($A$2:A202),"00000"))</f>
        <v/>
      </c>
      <c r="F202" s="6">
        <f>IF(OR(C202="",D202=""),"",IFERROR(LOOKUP(2,1/(($C$1:C201=C202)*($D$1:D201=D202)*ISNUMBER($J$1:J201)),$J$1:J201),SUMIFS(Master!$G$2:$G$13,Master!$E$2:$E$13,C202,Master!$F$2:$F$13,D202)))</f>
        <v/>
      </c>
      <c r="G202" s="5" t="n"/>
      <c r="H202" s="5" t="n"/>
      <c r="I202" s="5" t="n"/>
      <c r="J202" s="6">
        <f>IF(OR(F202="",COUNT(G202:I202)&lt;3),"",F202+G202-H202-I202)</f>
        <v/>
      </c>
      <c r="K202" s="6">
        <f>IF(COUNTA(A202:D202,G202:I202)=0,"",IF(COUNTA(A202:D202,G202:I202)&lt;7,"LENGKAPI",IF(H202+I202&gt;N(F202)+G202,"ABNORMAL",IF(COUNTIFS($A$2:$A$2001,A202,$B$2:$B$2001,B202,$C$2:$C$2001,C202,$D$2:$D$2001,D202)&gt;1,"DUPLIKAT","OK"))))</f>
        <v/>
      </c>
    </row>
    <row r="203">
      <c r="A203" s="4" t="n"/>
      <c r="B203" s="5" t="n"/>
      <c r="C203" s="5" t="n"/>
      <c r="D203" s="5" t="n"/>
      <c r="E203" s="6">
        <f>IF(A203="","","B"&amp;TEXT(COUNT($A$2:A203),"00000"))</f>
        <v/>
      </c>
      <c r="F203" s="6">
        <f>IF(OR(C203="",D203=""),"",IFERROR(LOOKUP(2,1/(($C$1:C202=C203)*($D$1:D202=D203)*ISNUMBER($J$1:J202)),$J$1:J202),SUMIFS(Master!$G$2:$G$13,Master!$E$2:$E$13,C203,Master!$F$2:$F$13,D203)))</f>
        <v/>
      </c>
      <c r="G203" s="5" t="n"/>
      <c r="H203" s="5" t="n"/>
      <c r="I203" s="5" t="n"/>
      <c r="J203" s="6">
        <f>IF(OR(F203="",COUNT(G203:I203)&lt;3),"",F203+G203-H203-I203)</f>
        <v/>
      </c>
      <c r="K203" s="6">
        <f>IF(COUNTA(A203:D203,G203:I203)=0,"",IF(COUNTA(A203:D203,G203:I203)&lt;7,"LENGKAPI",IF(H203+I203&gt;N(F203)+G203,"ABNORMAL",IF(COUNTIFS($A$2:$A$2001,A203,$B$2:$B$2001,B203,$C$2:$C$2001,C203,$D$2:$D$2001,D203)&gt;1,"DUPLIKAT","OK"))))</f>
        <v/>
      </c>
    </row>
    <row r="204">
      <c r="A204" s="4" t="n"/>
      <c r="B204" s="5" t="n"/>
      <c r="C204" s="5" t="n"/>
      <c r="D204" s="5" t="n"/>
      <c r="E204" s="6">
        <f>IF(A204="","","B"&amp;TEXT(COUNT($A$2:A204),"00000"))</f>
        <v/>
      </c>
      <c r="F204" s="6">
        <f>IF(OR(C204="",D204=""),"",IFERROR(LOOKUP(2,1/(($C$1:C203=C204)*($D$1:D203=D204)*ISNUMBER($J$1:J203)),$J$1:J203),SUMIFS(Master!$G$2:$G$13,Master!$E$2:$E$13,C204,Master!$F$2:$F$13,D204)))</f>
        <v/>
      </c>
      <c r="G204" s="5" t="n"/>
      <c r="H204" s="5" t="n"/>
      <c r="I204" s="5" t="n"/>
      <c r="J204" s="6">
        <f>IF(OR(F204="",COUNT(G204:I204)&lt;3),"",F204+G204-H204-I204)</f>
        <v/>
      </c>
      <c r="K204" s="6">
        <f>IF(COUNTA(A204:D204,G204:I204)=0,"",IF(COUNTA(A204:D204,G204:I204)&lt;7,"LENGKAPI",IF(H204+I204&gt;N(F204)+G204,"ABNORMAL",IF(COUNTIFS($A$2:$A$2001,A204,$B$2:$B$2001,B204,$C$2:$C$2001,C204,$D$2:$D$2001,D204)&gt;1,"DUPLIKAT","OK"))))</f>
        <v/>
      </c>
    </row>
    <row r="205">
      <c r="A205" s="4" t="n"/>
      <c r="B205" s="5" t="n"/>
      <c r="C205" s="5" t="n"/>
      <c r="D205" s="5" t="n"/>
      <c r="E205" s="6">
        <f>IF(A205="","","B"&amp;TEXT(COUNT($A$2:A205),"00000"))</f>
        <v/>
      </c>
      <c r="F205" s="6">
        <f>IF(OR(C205="",D205=""),"",IFERROR(LOOKUP(2,1/(($C$1:C204=C205)*($D$1:D204=D205)*ISNUMBER($J$1:J204)),$J$1:J204),SUMIFS(Master!$G$2:$G$13,Master!$E$2:$E$13,C205,Master!$F$2:$F$13,D205)))</f>
        <v/>
      </c>
      <c r="G205" s="5" t="n"/>
      <c r="H205" s="5" t="n"/>
      <c r="I205" s="5" t="n"/>
      <c r="J205" s="6">
        <f>IF(OR(F205="",COUNT(G205:I205)&lt;3),"",F205+G205-H205-I205)</f>
        <v/>
      </c>
      <c r="K205" s="6">
        <f>IF(COUNTA(A205:D205,G205:I205)=0,"",IF(COUNTA(A205:D205,G205:I205)&lt;7,"LENGKAPI",IF(H205+I205&gt;N(F205)+G205,"ABNORMAL",IF(COUNTIFS($A$2:$A$2001,A205,$B$2:$B$2001,B205,$C$2:$C$2001,C205,$D$2:$D$2001,D205)&gt;1,"DUPLIKAT","OK"))))</f>
        <v/>
      </c>
    </row>
    <row r="206">
      <c r="A206" s="4" t="n"/>
      <c r="B206" s="5" t="n"/>
      <c r="C206" s="5" t="n"/>
      <c r="D206" s="5" t="n"/>
      <c r="E206" s="6">
        <f>IF(A206="","","B"&amp;TEXT(COUNT($A$2:A206),"00000"))</f>
        <v/>
      </c>
      <c r="F206" s="6">
        <f>IF(OR(C206="",D206=""),"",IFERROR(LOOKUP(2,1/(($C$1:C205=C206)*($D$1:D205=D206)*ISNUMBER($J$1:J205)),$J$1:J205),SUMIFS(Master!$G$2:$G$13,Master!$E$2:$E$13,C206,Master!$F$2:$F$13,D206)))</f>
        <v/>
      </c>
      <c r="G206" s="5" t="n"/>
      <c r="H206" s="5" t="n"/>
      <c r="I206" s="5" t="n"/>
      <c r="J206" s="6">
        <f>IF(OR(F206="",COUNT(G206:I206)&lt;3),"",F206+G206-H206-I206)</f>
        <v/>
      </c>
      <c r="K206" s="6">
        <f>IF(COUNTA(A206:D206,G206:I206)=0,"",IF(COUNTA(A206:D206,G206:I206)&lt;7,"LENGKAPI",IF(H206+I206&gt;N(F206)+G206,"ABNORMAL",IF(COUNTIFS($A$2:$A$2001,A206,$B$2:$B$2001,B206,$C$2:$C$2001,C206,$D$2:$D$2001,D206)&gt;1,"DUPLIKAT","OK"))))</f>
        <v/>
      </c>
    </row>
    <row r="207">
      <c r="A207" s="4" t="n"/>
      <c r="B207" s="5" t="n"/>
      <c r="C207" s="5" t="n"/>
      <c r="D207" s="5" t="n"/>
      <c r="E207" s="6">
        <f>IF(A207="","","B"&amp;TEXT(COUNT($A$2:A207),"00000"))</f>
        <v/>
      </c>
      <c r="F207" s="6">
        <f>IF(OR(C207="",D207=""),"",IFERROR(LOOKUP(2,1/(($C$1:C206=C207)*($D$1:D206=D207)*ISNUMBER($J$1:J206)),$J$1:J206),SUMIFS(Master!$G$2:$G$13,Master!$E$2:$E$13,C207,Master!$F$2:$F$13,D207)))</f>
        <v/>
      </c>
      <c r="G207" s="5" t="n"/>
      <c r="H207" s="5" t="n"/>
      <c r="I207" s="5" t="n"/>
      <c r="J207" s="6">
        <f>IF(OR(F207="",COUNT(G207:I207)&lt;3),"",F207+G207-H207-I207)</f>
        <v/>
      </c>
      <c r="K207" s="6">
        <f>IF(COUNTA(A207:D207,G207:I207)=0,"",IF(COUNTA(A207:D207,G207:I207)&lt;7,"LENGKAPI",IF(H207+I207&gt;N(F207)+G207,"ABNORMAL",IF(COUNTIFS($A$2:$A$2001,A207,$B$2:$B$2001,B207,$C$2:$C$2001,C207,$D$2:$D$2001,D207)&gt;1,"DUPLIKAT","OK"))))</f>
        <v/>
      </c>
    </row>
    <row r="208">
      <c r="A208" s="4" t="n"/>
      <c r="B208" s="5" t="n"/>
      <c r="C208" s="5" t="n"/>
      <c r="D208" s="5" t="n"/>
      <c r="E208" s="6">
        <f>IF(A208="","","B"&amp;TEXT(COUNT($A$2:A208),"00000"))</f>
        <v/>
      </c>
      <c r="F208" s="6">
        <f>IF(OR(C208="",D208=""),"",IFERROR(LOOKUP(2,1/(($C$1:C207=C208)*($D$1:D207=D208)*ISNUMBER($J$1:J207)),$J$1:J207),SUMIFS(Master!$G$2:$G$13,Master!$E$2:$E$13,C208,Master!$F$2:$F$13,D208)))</f>
        <v/>
      </c>
      <c r="G208" s="5" t="n"/>
      <c r="H208" s="5" t="n"/>
      <c r="I208" s="5" t="n"/>
      <c r="J208" s="6">
        <f>IF(OR(F208="",COUNT(G208:I208)&lt;3),"",F208+G208-H208-I208)</f>
        <v/>
      </c>
      <c r="K208" s="6">
        <f>IF(COUNTA(A208:D208,G208:I208)=0,"",IF(COUNTA(A208:D208,G208:I208)&lt;7,"LENGKAPI",IF(H208+I208&gt;N(F208)+G208,"ABNORMAL",IF(COUNTIFS($A$2:$A$2001,A208,$B$2:$B$2001,B208,$C$2:$C$2001,C208,$D$2:$D$2001,D208)&gt;1,"DUPLIKAT","OK"))))</f>
        <v/>
      </c>
    </row>
    <row r="209">
      <c r="A209" s="4" t="n"/>
      <c r="B209" s="5" t="n"/>
      <c r="C209" s="5" t="n"/>
      <c r="D209" s="5" t="n"/>
      <c r="E209" s="6">
        <f>IF(A209="","","B"&amp;TEXT(COUNT($A$2:A209),"00000"))</f>
        <v/>
      </c>
      <c r="F209" s="6">
        <f>IF(OR(C209="",D209=""),"",IFERROR(LOOKUP(2,1/(($C$1:C208=C209)*($D$1:D208=D209)*ISNUMBER($J$1:J208)),$J$1:J208),SUMIFS(Master!$G$2:$G$13,Master!$E$2:$E$13,C209,Master!$F$2:$F$13,D209)))</f>
        <v/>
      </c>
      <c r="G209" s="5" t="n"/>
      <c r="H209" s="5" t="n"/>
      <c r="I209" s="5" t="n"/>
      <c r="J209" s="6">
        <f>IF(OR(F209="",COUNT(G209:I209)&lt;3),"",F209+G209-H209-I209)</f>
        <v/>
      </c>
      <c r="K209" s="6">
        <f>IF(COUNTA(A209:D209,G209:I209)=0,"",IF(COUNTA(A209:D209,G209:I209)&lt;7,"LENGKAPI",IF(H209+I209&gt;N(F209)+G209,"ABNORMAL",IF(COUNTIFS($A$2:$A$2001,A209,$B$2:$B$2001,B209,$C$2:$C$2001,C209,$D$2:$D$2001,D209)&gt;1,"DUPLIKAT","OK"))))</f>
        <v/>
      </c>
    </row>
    <row r="210">
      <c r="A210" s="4" t="n"/>
      <c r="B210" s="5" t="n"/>
      <c r="C210" s="5" t="n"/>
      <c r="D210" s="5" t="n"/>
      <c r="E210" s="6">
        <f>IF(A210="","","B"&amp;TEXT(COUNT($A$2:A210),"00000"))</f>
        <v/>
      </c>
      <c r="F210" s="6">
        <f>IF(OR(C210="",D210=""),"",IFERROR(LOOKUP(2,1/(($C$1:C209=C210)*($D$1:D209=D210)*ISNUMBER($J$1:J209)),$J$1:J209),SUMIFS(Master!$G$2:$G$13,Master!$E$2:$E$13,C210,Master!$F$2:$F$13,D210)))</f>
        <v/>
      </c>
      <c r="G210" s="5" t="n"/>
      <c r="H210" s="5" t="n"/>
      <c r="I210" s="5" t="n"/>
      <c r="J210" s="6">
        <f>IF(OR(F210="",COUNT(G210:I210)&lt;3),"",F210+G210-H210-I210)</f>
        <v/>
      </c>
      <c r="K210" s="6">
        <f>IF(COUNTA(A210:D210,G210:I210)=0,"",IF(COUNTA(A210:D210,G210:I210)&lt;7,"LENGKAPI",IF(H210+I210&gt;N(F210)+G210,"ABNORMAL",IF(COUNTIFS($A$2:$A$2001,A210,$B$2:$B$2001,B210,$C$2:$C$2001,C210,$D$2:$D$2001,D210)&gt;1,"DUPLIKAT","OK"))))</f>
        <v/>
      </c>
    </row>
    <row r="211">
      <c r="A211" s="4" t="n"/>
      <c r="B211" s="5" t="n"/>
      <c r="C211" s="5" t="n"/>
      <c r="D211" s="5" t="n"/>
      <c r="E211" s="6">
        <f>IF(A211="","","B"&amp;TEXT(COUNT($A$2:A211),"00000"))</f>
        <v/>
      </c>
      <c r="F211" s="6">
        <f>IF(OR(C211="",D211=""),"",IFERROR(LOOKUP(2,1/(($C$1:C210=C211)*($D$1:D210=D211)*ISNUMBER($J$1:J210)),$J$1:J210),SUMIFS(Master!$G$2:$G$13,Master!$E$2:$E$13,C211,Master!$F$2:$F$13,D211)))</f>
        <v/>
      </c>
      <c r="G211" s="5" t="n"/>
      <c r="H211" s="5" t="n"/>
      <c r="I211" s="5" t="n"/>
      <c r="J211" s="6">
        <f>IF(OR(F211="",COUNT(G211:I211)&lt;3),"",F211+G211-H211-I211)</f>
        <v/>
      </c>
      <c r="K211" s="6">
        <f>IF(COUNTA(A211:D211,G211:I211)=0,"",IF(COUNTA(A211:D211,G211:I211)&lt;7,"LENGKAPI",IF(H211+I211&gt;N(F211)+G211,"ABNORMAL",IF(COUNTIFS($A$2:$A$2001,A211,$B$2:$B$2001,B211,$C$2:$C$2001,C211,$D$2:$D$2001,D211)&gt;1,"DUPLIKAT","OK"))))</f>
        <v/>
      </c>
    </row>
    <row r="212">
      <c r="A212" s="4" t="n"/>
      <c r="B212" s="5" t="n"/>
      <c r="C212" s="5" t="n"/>
      <c r="D212" s="5" t="n"/>
      <c r="E212" s="6">
        <f>IF(A212="","","B"&amp;TEXT(COUNT($A$2:A212),"00000"))</f>
        <v/>
      </c>
      <c r="F212" s="6">
        <f>IF(OR(C212="",D212=""),"",IFERROR(LOOKUP(2,1/(($C$1:C211=C212)*($D$1:D211=D212)*ISNUMBER($J$1:J211)),$J$1:J211),SUMIFS(Master!$G$2:$G$13,Master!$E$2:$E$13,C212,Master!$F$2:$F$13,D212)))</f>
        <v/>
      </c>
      <c r="G212" s="5" t="n"/>
      <c r="H212" s="5" t="n"/>
      <c r="I212" s="5" t="n"/>
      <c r="J212" s="6">
        <f>IF(OR(F212="",COUNT(G212:I212)&lt;3),"",F212+G212-H212-I212)</f>
        <v/>
      </c>
      <c r="K212" s="6">
        <f>IF(COUNTA(A212:D212,G212:I212)=0,"",IF(COUNTA(A212:D212,G212:I212)&lt;7,"LENGKAPI",IF(H212+I212&gt;N(F212)+G212,"ABNORMAL",IF(COUNTIFS($A$2:$A$2001,A212,$B$2:$B$2001,B212,$C$2:$C$2001,C212,$D$2:$D$2001,D212)&gt;1,"DUPLIKAT","OK"))))</f>
        <v/>
      </c>
    </row>
    <row r="213">
      <c r="A213" s="4" t="n"/>
      <c r="B213" s="5" t="n"/>
      <c r="C213" s="5" t="n"/>
      <c r="D213" s="5" t="n"/>
      <c r="E213" s="6">
        <f>IF(A213="","","B"&amp;TEXT(COUNT($A$2:A213),"00000"))</f>
        <v/>
      </c>
      <c r="F213" s="6">
        <f>IF(OR(C213="",D213=""),"",IFERROR(LOOKUP(2,1/(($C$1:C212=C213)*($D$1:D212=D213)*ISNUMBER($J$1:J212)),$J$1:J212),SUMIFS(Master!$G$2:$G$13,Master!$E$2:$E$13,C213,Master!$F$2:$F$13,D213)))</f>
        <v/>
      </c>
      <c r="G213" s="5" t="n"/>
      <c r="H213" s="5" t="n"/>
      <c r="I213" s="5" t="n"/>
      <c r="J213" s="6">
        <f>IF(OR(F213="",COUNT(G213:I213)&lt;3),"",F213+G213-H213-I213)</f>
        <v/>
      </c>
      <c r="K213" s="6">
        <f>IF(COUNTA(A213:D213,G213:I213)=0,"",IF(COUNTA(A213:D213,G213:I213)&lt;7,"LENGKAPI",IF(H213+I213&gt;N(F213)+G213,"ABNORMAL",IF(COUNTIFS($A$2:$A$2001,A213,$B$2:$B$2001,B213,$C$2:$C$2001,C213,$D$2:$D$2001,D213)&gt;1,"DUPLIKAT","OK"))))</f>
        <v/>
      </c>
    </row>
    <row r="214">
      <c r="A214" s="4" t="n"/>
      <c r="B214" s="5" t="n"/>
      <c r="C214" s="5" t="n"/>
      <c r="D214" s="5" t="n"/>
      <c r="E214" s="6">
        <f>IF(A214="","","B"&amp;TEXT(COUNT($A$2:A214),"00000"))</f>
        <v/>
      </c>
      <c r="F214" s="6">
        <f>IF(OR(C214="",D214=""),"",IFERROR(LOOKUP(2,1/(($C$1:C213=C214)*($D$1:D213=D214)*ISNUMBER($J$1:J213)),$J$1:J213),SUMIFS(Master!$G$2:$G$13,Master!$E$2:$E$13,C214,Master!$F$2:$F$13,D214)))</f>
        <v/>
      </c>
      <c r="G214" s="5" t="n"/>
      <c r="H214" s="5" t="n"/>
      <c r="I214" s="5" t="n"/>
      <c r="J214" s="6">
        <f>IF(OR(F214="",COUNT(G214:I214)&lt;3),"",F214+G214-H214-I214)</f>
        <v/>
      </c>
      <c r="K214" s="6">
        <f>IF(COUNTA(A214:D214,G214:I214)=0,"",IF(COUNTA(A214:D214,G214:I214)&lt;7,"LENGKAPI",IF(H214+I214&gt;N(F214)+G214,"ABNORMAL",IF(COUNTIFS($A$2:$A$2001,A214,$B$2:$B$2001,B214,$C$2:$C$2001,C214,$D$2:$D$2001,D214)&gt;1,"DUPLIKAT","OK"))))</f>
        <v/>
      </c>
    </row>
    <row r="215">
      <c r="A215" s="4" t="n"/>
      <c r="B215" s="5" t="n"/>
      <c r="C215" s="5" t="n"/>
      <c r="D215" s="5" t="n"/>
      <c r="E215" s="6">
        <f>IF(A215="","","B"&amp;TEXT(COUNT($A$2:A215),"00000"))</f>
        <v/>
      </c>
      <c r="F215" s="6">
        <f>IF(OR(C215="",D215=""),"",IFERROR(LOOKUP(2,1/(($C$1:C214=C215)*($D$1:D214=D215)*ISNUMBER($J$1:J214)),$J$1:J214),SUMIFS(Master!$G$2:$G$13,Master!$E$2:$E$13,C215,Master!$F$2:$F$13,D215)))</f>
        <v/>
      </c>
      <c r="G215" s="5" t="n"/>
      <c r="H215" s="5" t="n"/>
      <c r="I215" s="5" t="n"/>
      <c r="J215" s="6">
        <f>IF(OR(F215="",COUNT(G215:I215)&lt;3),"",F215+G215-H215-I215)</f>
        <v/>
      </c>
      <c r="K215" s="6">
        <f>IF(COUNTA(A215:D215,G215:I215)=0,"",IF(COUNTA(A215:D215,G215:I215)&lt;7,"LENGKAPI",IF(H215+I215&gt;N(F215)+G215,"ABNORMAL",IF(COUNTIFS($A$2:$A$2001,A215,$B$2:$B$2001,B215,$C$2:$C$2001,C215,$D$2:$D$2001,D215)&gt;1,"DUPLIKAT","OK"))))</f>
        <v/>
      </c>
    </row>
    <row r="216">
      <c r="A216" s="4" t="n"/>
      <c r="B216" s="5" t="n"/>
      <c r="C216" s="5" t="n"/>
      <c r="D216" s="5" t="n"/>
      <c r="E216" s="6">
        <f>IF(A216="","","B"&amp;TEXT(COUNT($A$2:A216),"00000"))</f>
        <v/>
      </c>
      <c r="F216" s="6">
        <f>IF(OR(C216="",D216=""),"",IFERROR(LOOKUP(2,1/(($C$1:C215=C216)*($D$1:D215=D216)*ISNUMBER($J$1:J215)),$J$1:J215),SUMIFS(Master!$G$2:$G$13,Master!$E$2:$E$13,C216,Master!$F$2:$F$13,D216)))</f>
        <v/>
      </c>
      <c r="G216" s="5" t="n"/>
      <c r="H216" s="5" t="n"/>
      <c r="I216" s="5" t="n"/>
      <c r="J216" s="6">
        <f>IF(OR(F216="",COUNT(G216:I216)&lt;3),"",F216+G216-H216-I216)</f>
        <v/>
      </c>
      <c r="K216" s="6">
        <f>IF(COUNTA(A216:D216,G216:I216)=0,"",IF(COUNTA(A216:D216,G216:I216)&lt;7,"LENGKAPI",IF(H216+I216&gt;N(F216)+G216,"ABNORMAL",IF(COUNTIFS($A$2:$A$2001,A216,$B$2:$B$2001,B216,$C$2:$C$2001,C216,$D$2:$D$2001,D216)&gt;1,"DUPLIKAT","OK"))))</f>
        <v/>
      </c>
    </row>
    <row r="217">
      <c r="A217" s="4" t="n"/>
      <c r="B217" s="5" t="n"/>
      <c r="C217" s="5" t="n"/>
      <c r="D217" s="5" t="n"/>
      <c r="E217" s="6">
        <f>IF(A217="","","B"&amp;TEXT(COUNT($A$2:A217),"00000"))</f>
        <v/>
      </c>
      <c r="F217" s="6">
        <f>IF(OR(C217="",D217=""),"",IFERROR(LOOKUP(2,1/(($C$1:C216=C217)*($D$1:D216=D217)*ISNUMBER($J$1:J216)),$J$1:J216),SUMIFS(Master!$G$2:$G$13,Master!$E$2:$E$13,C217,Master!$F$2:$F$13,D217)))</f>
        <v/>
      </c>
      <c r="G217" s="5" t="n"/>
      <c r="H217" s="5" t="n"/>
      <c r="I217" s="5" t="n"/>
      <c r="J217" s="6">
        <f>IF(OR(F217="",COUNT(G217:I217)&lt;3),"",F217+G217-H217-I217)</f>
        <v/>
      </c>
      <c r="K217" s="6">
        <f>IF(COUNTA(A217:D217,G217:I217)=0,"",IF(COUNTA(A217:D217,G217:I217)&lt;7,"LENGKAPI",IF(H217+I217&gt;N(F217)+G217,"ABNORMAL",IF(COUNTIFS($A$2:$A$2001,A217,$B$2:$B$2001,B217,$C$2:$C$2001,C217,$D$2:$D$2001,D217)&gt;1,"DUPLIKAT","OK"))))</f>
        <v/>
      </c>
    </row>
    <row r="218">
      <c r="A218" s="4" t="n"/>
      <c r="B218" s="5" t="n"/>
      <c r="C218" s="5" t="n"/>
      <c r="D218" s="5" t="n"/>
      <c r="E218" s="6">
        <f>IF(A218="","","B"&amp;TEXT(COUNT($A$2:A218),"00000"))</f>
        <v/>
      </c>
      <c r="F218" s="6">
        <f>IF(OR(C218="",D218=""),"",IFERROR(LOOKUP(2,1/(($C$1:C217=C218)*($D$1:D217=D218)*ISNUMBER($J$1:J217)),$J$1:J217),SUMIFS(Master!$G$2:$G$13,Master!$E$2:$E$13,C218,Master!$F$2:$F$13,D218)))</f>
        <v/>
      </c>
      <c r="G218" s="5" t="n"/>
      <c r="H218" s="5" t="n"/>
      <c r="I218" s="5" t="n"/>
      <c r="J218" s="6">
        <f>IF(OR(F218="",COUNT(G218:I218)&lt;3),"",F218+G218-H218-I218)</f>
        <v/>
      </c>
      <c r="K218" s="6">
        <f>IF(COUNTA(A218:D218,G218:I218)=0,"",IF(COUNTA(A218:D218,G218:I218)&lt;7,"LENGKAPI",IF(H218+I218&gt;N(F218)+G218,"ABNORMAL",IF(COUNTIFS($A$2:$A$2001,A218,$B$2:$B$2001,B218,$C$2:$C$2001,C218,$D$2:$D$2001,D218)&gt;1,"DUPLIKAT","OK"))))</f>
        <v/>
      </c>
    </row>
    <row r="219">
      <c r="A219" s="4" t="n"/>
      <c r="B219" s="5" t="n"/>
      <c r="C219" s="5" t="n"/>
      <c r="D219" s="5" t="n"/>
      <c r="E219" s="6">
        <f>IF(A219="","","B"&amp;TEXT(COUNT($A$2:A219),"00000"))</f>
        <v/>
      </c>
      <c r="F219" s="6">
        <f>IF(OR(C219="",D219=""),"",IFERROR(LOOKUP(2,1/(($C$1:C218=C219)*($D$1:D218=D219)*ISNUMBER($J$1:J218)),$J$1:J218),SUMIFS(Master!$G$2:$G$13,Master!$E$2:$E$13,C219,Master!$F$2:$F$13,D219)))</f>
        <v/>
      </c>
      <c r="G219" s="5" t="n"/>
      <c r="H219" s="5" t="n"/>
      <c r="I219" s="5" t="n"/>
      <c r="J219" s="6">
        <f>IF(OR(F219="",COUNT(G219:I219)&lt;3),"",F219+G219-H219-I219)</f>
        <v/>
      </c>
      <c r="K219" s="6">
        <f>IF(COUNTA(A219:D219,G219:I219)=0,"",IF(COUNTA(A219:D219,G219:I219)&lt;7,"LENGKAPI",IF(H219+I219&gt;N(F219)+G219,"ABNORMAL",IF(COUNTIFS($A$2:$A$2001,A219,$B$2:$B$2001,B219,$C$2:$C$2001,C219,$D$2:$D$2001,D219)&gt;1,"DUPLIKAT","OK"))))</f>
        <v/>
      </c>
    </row>
    <row r="220">
      <c r="A220" s="4" t="n"/>
      <c r="B220" s="5" t="n"/>
      <c r="C220" s="5" t="n"/>
      <c r="D220" s="5" t="n"/>
      <c r="E220" s="6">
        <f>IF(A220="","","B"&amp;TEXT(COUNT($A$2:A220),"00000"))</f>
        <v/>
      </c>
      <c r="F220" s="6">
        <f>IF(OR(C220="",D220=""),"",IFERROR(LOOKUP(2,1/(($C$1:C219=C220)*($D$1:D219=D220)*ISNUMBER($J$1:J219)),$J$1:J219),SUMIFS(Master!$G$2:$G$13,Master!$E$2:$E$13,C220,Master!$F$2:$F$13,D220)))</f>
        <v/>
      </c>
      <c r="G220" s="5" t="n"/>
      <c r="H220" s="5" t="n"/>
      <c r="I220" s="5" t="n"/>
      <c r="J220" s="6">
        <f>IF(OR(F220="",COUNT(G220:I220)&lt;3),"",F220+G220-H220-I220)</f>
        <v/>
      </c>
      <c r="K220" s="6">
        <f>IF(COUNTA(A220:D220,G220:I220)=0,"",IF(COUNTA(A220:D220,G220:I220)&lt;7,"LENGKAPI",IF(H220+I220&gt;N(F220)+G220,"ABNORMAL",IF(COUNTIFS($A$2:$A$2001,A220,$B$2:$B$2001,B220,$C$2:$C$2001,C220,$D$2:$D$2001,D220)&gt;1,"DUPLIKAT","OK"))))</f>
        <v/>
      </c>
    </row>
    <row r="221">
      <c r="A221" s="4" t="n"/>
      <c r="B221" s="5" t="n"/>
      <c r="C221" s="5" t="n"/>
      <c r="D221" s="5" t="n"/>
      <c r="E221" s="6">
        <f>IF(A221="","","B"&amp;TEXT(COUNT($A$2:A221),"00000"))</f>
        <v/>
      </c>
      <c r="F221" s="6">
        <f>IF(OR(C221="",D221=""),"",IFERROR(LOOKUP(2,1/(($C$1:C220=C221)*($D$1:D220=D221)*ISNUMBER($J$1:J220)),$J$1:J220),SUMIFS(Master!$G$2:$G$13,Master!$E$2:$E$13,C221,Master!$F$2:$F$13,D221)))</f>
        <v/>
      </c>
      <c r="G221" s="5" t="n"/>
      <c r="H221" s="5" t="n"/>
      <c r="I221" s="5" t="n"/>
      <c r="J221" s="6">
        <f>IF(OR(F221="",COUNT(G221:I221)&lt;3),"",F221+G221-H221-I221)</f>
        <v/>
      </c>
      <c r="K221" s="6">
        <f>IF(COUNTA(A221:D221,G221:I221)=0,"",IF(COUNTA(A221:D221,G221:I221)&lt;7,"LENGKAPI",IF(H221+I221&gt;N(F221)+G221,"ABNORMAL",IF(COUNTIFS($A$2:$A$2001,A221,$B$2:$B$2001,B221,$C$2:$C$2001,C221,$D$2:$D$2001,D221)&gt;1,"DUPLIKAT","OK"))))</f>
        <v/>
      </c>
    </row>
    <row r="222">
      <c r="A222" s="4" t="n"/>
      <c r="B222" s="5" t="n"/>
      <c r="C222" s="5" t="n"/>
      <c r="D222" s="5" t="n"/>
      <c r="E222" s="6">
        <f>IF(A222="","","B"&amp;TEXT(COUNT($A$2:A222),"00000"))</f>
        <v/>
      </c>
      <c r="F222" s="6">
        <f>IF(OR(C222="",D222=""),"",IFERROR(LOOKUP(2,1/(($C$1:C221=C222)*($D$1:D221=D222)*ISNUMBER($J$1:J221)),$J$1:J221),SUMIFS(Master!$G$2:$G$13,Master!$E$2:$E$13,C222,Master!$F$2:$F$13,D222)))</f>
        <v/>
      </c>
      <c r="G222" s="5" t="n"/>
      <c r="H222" s="5" t="n"/>
      <c r="I222" s="5" t="n"/>
      <c r="J222" s="6">
        <f>IF(OR(F222="",COUNT(G222:I222)&lt;3),"",F222+G222-H222-I222)</f>
        <v/>
      </c>
      <c r="K222" s="6">
        <f>IF(COUNTA(A222:D222,G222:I222)=0,"",IF(COUNTA(A222:D222,G222:I222)&lt;7,"LENGKAPI",IF(H222+I222&gt;N(F222)+G222,"ABNORMAL",IF(COUNTIFS($A$2:$A$2001,A222,$B$2:$B$2001,B222,$C$2:$C$2001,C222,$D$2:$D$2001,D222)&gt;1,"DUPLIKAT","OK"))))</f>
        <v/>
      </c>
    </row>
    <row r="223">
      <c r="A223" s="4" t="n"/>
      <c r="B223" s="5" t="n"/>
      <c r="C223" s="5" t="n"/>
      <c r="D223" s="5" t="n"/>
      <c r="E223" s="6">
        <f>IF(A223="","","B"&amp;TEXT(COUNT($A$2:A223),"00000"))</f>
        <v/>
      </c>
      <c r="F223" s="6">
        <f>IF(OR(C223="",D223=""),"",IFERROR(LOOKUP(2,1/(($C$1:C222=C223)*($D$1:D222=D223)*ISNUMBER($J$1:J222)),$J$1:J222),SUMIFS(Master!$G$2:$G$13,Master!$E$2:$E$13,C223,Master!$F$2:$F$13,D223)))</f>
        <v/>
      </c>
      <c r="G223" s="5" t="n"/>
      <c r="H223" s="5" t="n"/>
      <c r="I223" s="5" t="n"/>
      <c r="J223" s="6">
        <f>IF(OR(F223="",COUNT(G223:I223)&lt;3),"",F223+G223-H223-I223)</f>
        <v/>
      </c>
      <c r="K223" s="6">
        <f>IF(COUNTA(A223:D223,G223:I223)=0,"",IF(COUNTA(A223:D223,G223:I223)&lt;7,"LENGKAPI",IF(H223+I223&gt;N(F223)+G223,"ABNORMAL",IF(COUNTIFS($A$2:$A$2001,A223,$B$2:$B$2001,B223,$C$2:$C$2001,C223,$D$2:$D$2001,D223)&gt;1,"DUPLIKAT","OK"))))</f>
        <v/>
      </c>
    </row>
    <row r="224">
      <c r="A224" s="4" t="n"/>
      <c r="B224" s="5" t="n"/>
      <c r="C224" s="5" t="n"/>
      <c r="D224" s="5" t="n"/>
      <c r="E224" s="6">
        <f>IF(A224="","","B"&amp;TEXT(COUNT($A$2:A224),"00000"))</f>
        <v/>
      </c>
      <c r="F224" s="6">
        <f>IF(OR(C224="",D224=""),"",IFERROR(LOOKUP(2,1/(($C$1:C223=C224)*($D$1:D223=D224)*ISNUMBER($J$1:J223)),$J$1:J223),SUMIFS(Master!$G$2:$G$13,Master!$E$2:$E$13,C224,Master!$F$2:$F$13,D224)))</f>
        <v/>
      </c>
      <c r="G224" s="5" t="n"/>
      <c r="H224" s="5" t="n"/>
      <c r="I224" s="5" t="n"/>
      <c r="J224" s="6">
        <f>IF(OR(F224="",COUNT(G224:I224)&lt;3),"",F224+G224-H224-I224)</f>
        <v/>
      </c>
      <c r="K224" s="6">
        <f>IF(COUNTA(A224:D224,G224:I224)=0,"",IF(COUNTA(A224:D224,G224:I224)&lt;7,"LENGKAPI",IF(H224+I224&gt;N(F224)+G224,"ABNORMAL",IF(COUNTIFS($A$2:$A$2001,A224,$B$2:$B$2001,B224,$C$2:$C$2001,C224,$D$2:$D$2001,D224)&gt;1,"DUPLIKAT","OK"))))</f>
        <v/>
      </c>
    </row>
    <row r="225">
      <c r="A225" s="4" t="n"/>
      <c r="B225" s="5" t="n"/>
      <c r="C225" s="5" t="n"/>
      <c r="D225" s="5" t="n"/>
      <c r="E225" s="6">
        <f>IF(A225="","","B"&amp;TEXT(COUNT($A$2:A225),"00000"))</f>
        <v/>
      </c>
      <c r="F225" s="6">
        <f>IF(OR(C225="",D225=""),"",IFERROR(LOOKUP(2,1/(($C$1:C224=C225)*($D$1:D224=D225)*ISNUMBER($J$1:J224)),$J$1:J224),SUMIFS(Master!$G$2:$G$13,Master!$E$2:$E$13,C225,Master!$F$2:$F$13,D225)))</f>
        <v/>
      </c>
      <c r="G225" s="5" t="n"/>
      <c r="H225" s="5" t="n"/>
      <c r="I225" s="5" t="n"/>
      <c r="J225" s="6">
        <f>IF(OR(F225="",COUNT(G225:I225)&lt;3),"",F225+G225-H225-I225)</f>
        <v/>
      </c>
      <c r="K225" s="6">
        <f>IF(COUNTA(A225:D225,G225:I225)=0,"",IF(COUNTA(A225:D225,G225:I225)&lt;7,"LENGKAPI",IF(H225+I225&gt;N(F225)+G225,"ABNORMAL",IF(COUNTIFS($A$2:$A$2001,A225,$B$2:$B$2001,B225,$C$2:$C$2001,C225,$D$2:$D$2001,D225)&gt;1,"DUPLIKAT","OK"))))</f>
        <v/>
      </c>
    </row>
    <row r="226">
      <c r="A226" s="4" t="n"/>
      <c r="B226" s="5" t="n"/>
      <c r="C226" s="5" t="n"/>
      <c r="D226" s="5" t="n"/>
      <c r="E226" s="6">
        <f>IF(A226="","","B"&amp;TEXT(COUNT($A$2:A226),"00000"))</f>
        <v/>
      </c>
      <c r="F226" s="6">
        <f>IF(OR(C226="",D226=""),"",IFERROR(LOOKUP(2,1/(($C$1:C225=C226)*($D$1:D225=D226)*ISNUMBER($J$1:J225)),$J$1:J225),SUMIFS(Master!$G$2:$G$13,Master!$E$2:$E$13,C226,Master!$F$2:$F$13,D226)))</f>
        <v/>
      </c>
      <c r="G226" s="5" t="n"/>
      <c r="H226" s="5" t="n"/>
      <c r="I226" s="5" t="n"/>
      <c r="J226" s="6">
        <f>IF(OR(F226="",COUNT(G226:I226)&lt;3),"",F226+G226-H226-I226)</f>
        <v/>
      </c>
      <c r="K226" s="6">
        <f>IF(COUNTA(A226:D226,G226:I226)=0,"",IF(COUNTA(A226:D226,G226:I226)&lt;7,"LENGKAPI",IF(H226+I226&gt;N(F226)+G226,"ABNORMAL",IF(COUNTIFS($A$2:$A$2001,A226,$B$2:$B$2001,B226,$C$2:$C$2001,C226,$D$2:$D$2001,D226)&gt;1,"DUPLIKAT","OK"))))</f>
        <v/>
      </c>
    </row>
    <row r="227">
      <c r="A227" s="4" t="n"/>
      <c r="B227" s="5" t="n"/>
      <c r="C227" s="5" t="n"/>
      <c r="D227" s="5" t="n"/>
      <c r="E227" s="6">
        <f>IF(A227="","","B"&amp;TEXT(COUNT($A$2:A227),"00000"))</f>
        <v/>
      </c>
      <c r="F227" s="6">
        <f>IF(OR(C227="",D227=""),"",IFERROR(LOOKUP(2,1/(($C$1:C226=C227)*($D$1:D226=D227)*ISNUMBER($J$1:J226)),$J$1:J226),SUMIFS(Master!$G$2:$G$13,Master!$E$2:$E$13,C227,Master!$F$2:$F$13,D227)))</f>
        <v/>
      </c>
      <c r="G227" s="5" t="n"/>
      <c r="H227" s="5" t="n"/>
      <c r="I227" s="5" t="n"/>
      <c r="J227" s="6">
        <f>IF(OR(F227="",COUNT(G227:I227)&lt;3),"",F227+G227-H227-I227)</f>
        <v/>
      </c>
      <c r="K227" s="6">
        <f>IF(COUNTA(A227:D227,G227:I227)=0,"",IF(COUNTA(A227:D227,G227:I227)&lt;7,"LENGKAPI",IF(H227+I227&gt;N(F227)+G227,"ABNORMAL",IF(COUNTIFS($A$2:$A$2001,A227,$B$2:$B$2001,B227,$C$2:$C$2001,C227,$D$2:$D$2001,D227)&gt;1,"DUPLIKAT","OK"))))</f>
        <v/>
      </c>
    </row>
    <row r="228">
      <c r="A228" s="4" t="n"/>
      <c r="B228" s="5" t="n"/>
      <c r="C228" s="5" t="n"/>
      <c r="D228" s="5" t="n"/>
      <c r="E228" s="6">
        <f>IF(A228="","","B"&amp;TEXT(COUNT($A$2:A228),"00000"))</f>
        <v/>
      </c>
      <c r="F228" s="6">
        <f>IF(OR(C228="",D228=""),"",IFERROR(LOOKUP(2,1/(($C$1:C227=C228)*($D$1:D227=D228)*ISNUMBER($J$1:J227)),$J$1:J227),SUMIFS(Master!$G$2:$G$13,Master!$E$2:$E$13,C228,Master!$F$2:$F$13,D228)))</f>
        <v/>
      </c>
      <c r="G228" s="5" t="n"/>
      <c r="H228" s="5" t="n"/>
      <c r="I228" s="5" t="n"/>
      <c r="J228" s="6">
        <f>IF(OR(F228="",COUNT(G228:I228)&lt;3),"",F228+G228-H228-I228)</f>
        <v/>
      </c>
      <c r="K228" s="6">
        <f>IF(COUNTA(A228:D228,G228:I228)=0,"",IF(COUNTA(A228:D228,G228:I228)&lt;7,"LENGKAPI",IF(H228+I228&gt;N(F228)+G228,"ABNORMAL",IF(COUNTIFS($A$2:$A$2001,A228,$B$2:$B$2001,B228,$C$2:$C$2001,C228,$D$2:$D$2001,D228)&gt;1,"DUPLIKAT","OK"))))</f>
        <v/>
      </c>
    </row>
    <row r="229">
      <c r="A229" s="4" t="n"/>
      <c r="B229" s="5" t="n"/>
      <c r="C229" s="5" t="n"/>
      <c r="D229" s="5" t="n"/>
      <c r="E229" s="6">
        <f>IF(A229="","","B"&amp;TEXT(COUNT($A$2:A229),"00000"))</f>
        <v/>
      </c>
      <c r="F229" s="6">
        <f>IF(OR(C229="",D229=""),"",IFERROR(LOOKUP(2,1/(($C$1:C228=C229)*($D$1:D228=D229)*ISNUMBER($J$1:J228)),$J$1:J228),SUMIFS(Master!$G$2:$G$13,Master!$E$2:$E$13,C229,Master!$F$2:$F$13,D229)))</f>
        <v/>
      </c>
      <c r="G229" s="5" t="n"/>
      <c r="H229" s="5" t="n"/>
      <c r="I229" s="5" t="n"/>
      <c r="J229" s="6">
        <f>IF(OR(F229="",COUNT(G229:I229)&lt;3),"",F229+G229-H229-I229)</f>
        <v/>
      </c>
      <c r="K229" s="6">
        <f>IF(COUNTA(A229:D229,G229:I229)=0,"",IF(COUNTA(A229:D229,G229:I229)&lt;7,"LENGKAPI",IF(H229+I229&gt;N(F229)+G229,"ABNORMAL",IF(COUNTIFS($A$2:$A$2001,A229,$B$2:$B$2001,B229,$C$2:$C$2001,C229,$D$2:$D$2001,D229)&gt;1,"DUPLIKAT","OK"))))</f>
        <v/>
      </c>
    </row>
    <row r="230">
      <c r="A230" s="4" t="n"/>
      <c r="B230" s="5" t="n"/>
      <c r="C230" s="5" t="n"/>
      <c r="D230" s="5" t="n"/>
      <c r="E230" s="6">
        <f>IF(A230="","","B"&amp;TEXT(COUNT($A$2:A230),"00000"))</f>
        <v/>
      </c>
      <c r="F230" s="6">
        <f>IF(OR(C230="",D230=""),"",IFERROR(LOOKUP(2,1/(($C$1:C229=C230)*($D$1:D229=D230)*ISNUMBER($J$1:J229)),$J$1:J229),SUMIFS(Master!$G$2:$G$13,Master!$E$2:$E$13,C230,Master!$F$2:$F$13,D230)))</f>
        <v/>
      </c>
      <c r="G230" s="5" t="n"/>
      <c r="H230" s="5" t="n"/>
      <c r="I230" s="5" t="n"/>
      <c r="J230" s="6">
        <f>IF(OR(F230="",COUNT(G230:I230)&lt;3),"",F230+G230-H230-I230)</f>
        <v/>
      </c>
      <c r="K230" s="6">
        <f>IF(COUNTA(A230:D230,G230:I230)=0,"",IF(COUNTA(A230:D230,G230:I230)&lt;7,"LENGKAPI",IF(H230+I230&gt;N(F230)+G230,"ABNORMAL",IF(COUNTIFS($A$2:$A$2001,A230,$B$2:$B$2001,B230,$C$2:$C$2001,C230,$D$2:$D$2001,D230)&gt;1,"DUPLIKAT","OK"))))</f>
        <v/>
      </c>
    </row>
    <row r="231">
      <c r="A231" s="4" t="n"/>
      <c r="B231" s="5" t="n"/>
      <c r="C231" s="5" t="n"/>
      <c r="D231" s="5" t="n"/>
      <c r="E231" s="6">
        <f>IF(A231="","","B"&amp;TEXT(COUNT($A$2:A231),"00000"))</f>
        <v/>
      </c>
      <c r="F231" s="6">
        <f>IF(OR(C231="",D231=""),"",IFERROR(LOOKUP(2,1/(($C$1:C230=C231)*($D$1:D230=D231)*ISNUMBER($J$1:J230)),$J$1:J230),SUMIFS(Master!$G$2:$G$13,Master!$E$2:$E$13,C231,Master!$F$2:$F$13,D231)))</f>
        <v/>
      </c>
      <c r="G231" s="5" t="n"/>
      <c r="H231" s="5" t="n"/>
      <c r="I231" s="5" t="n"/>
      <c r="J231" s="6">
        <f>IF(OR(F231="",COUNT(G231:I231)&lt;3),"",F231+G231-H231-I231)</f>
        <v/>
      </c>
      <c r="K231" s="6">
        <f>IF(COUNTA(A231:D231,G231:I231)=0,"",IF(COUNTA(A231:D231,G231:I231)&lt;7,"LENGKAPI",IF(H231+I231&gt;N(F231)+G231,"ABNORMAL",IF(COUNTIFS($A$2:$A$2001,A231,$B$2:$B$2001,B231,$C$2:$C$2001,C231,$D$2:$D$2001,D231)&gt;1,"DUPLIKAT","OK"))))</f>
        <v/>
      </c>
    </row>
    <row r="232">
      <c r="A232" s="4" t="n"/>
      <c r="B232" s="5" t="n"/>
      <c r="C232" s="5" t="n"/>
      <c r="D232" s="5" t="n"/>
      <c r="E232" s="6">
        <f>IF(A232="","","B"&amp;TEXT(COUNT($A$2:A232),"00000"))</f>
        <v/>
      </c>
      <c r="F232" s="6">
        <f>IF(OR(C232="",D232=""),"",IFERROR(LOOKUP(2,1/(($C$1:C231=C232)*($D$1:D231=D232)*ISNUMBER($J$1:J231)),$J$1:J231),SUMIFS(Master!$G$2:$G$13,Master!$E$2:$E$13,C232,Master!$F$2:$F$13,D232)))</f>
        <v/>
      </c>
      <c r="G232" s="5" t="n"/>
      <c r="H232" s="5" t="n"/>
      <c r="I232" s="5" t="n"/>
      <c r="J232" s="6">
        <f>IF(OR(F232="",COUNT(G232:I232)&lt;3),"",F232+G232-H232-I232)</f>
        <v/>
      </c>
      <c r="K232" s="6">
        <f>IF(COUNTA(A232:D232,G232:I232)=0,"",IF(COUNTA(A232:D232,G232:I232)&lt;7,"LENGKAPI",IF(H232+I232&gt;N(F232)+G232,"ABNORMAL",IF(COUNTIFS($A$2:$A$2001,A232,$B$2:$B$2001,B232,$C$2:$C$2001,C232,$D$2:$D$2001,D232)&gt;1,"DUPLIKAT","OK"))))</f>
        <v/>
      </c>
    </row>
    <row r="233">
      <c r="A233" s="4" t="n"/>
      <c r="B233" s="5" t="n"/>
      <c r="C233" s="5" t="n"/>
      <c r="D233" s="5" t="n"/>
      <c r="E233" s="6">
        <f>IF(A233="","","B"&amp;TEXT(COUNT($A$2:A233),"00000"))</f>
        <v/>
      </c>
      <c r="F233" s="6">
        <f>IF(OR(C233="",D233=""),"",IFERROR(LOOKUP(2,1/(($C$1:C232=C233)*($D$1:D232=D233)*ISNUMBER($J$1:J232)),$J$1:J232),SUMIFS(Master!$G$2:$G$13,Master!$E$2:$E$13,C233,Master!$F$2:$F$13,D233)))</f>
        <v/>
      </c>
      <c r="G233" s="5" t="n"/>
      <c r="H233" s="5" t="n"/>
      <c r="I233" s="5" t="n"/>
      <c r="J233" s="6">
        <f>IF(OR(F233="",COUNT(G233:I233)&lt;3),"",F233+G233-H233-I233)</f>
        <v/>
      </c>
      <c r="K233" s="6">
        <f>IF(COUNTA(A233:D233,G233:I233)=0,"",IF(COUNTA(A233:D233,G233:I233)&lt;7,"LENGKAPI",IF(H233+I233&gt;N(F233)+G233,"ABNORMAL",IF(COUNTIFS($A$2:$A$2001,A233,$B$2:$B$2001,B233,$C$2:$C$2001,C233,$D$2:$D$2001,D233)&gt;1,"DUPLIKAT","OK"))))</f>
        <v/>
      </c>
    </row>
    <row r="234">
      <c r="A234" s="4" t="n"/>
      <c r="B234" s="5" t="n"/>
      <c r="C234" s="5" t="n"/>
      <c r="D234" s="5" t="n"/>
      <c r="E234" s="6">
        <f>IF(A234="","","B"&amp;TEXT(COUNT($A$2:A234),"00000"))</f>
        <v/>
      </c>
      <c r="F234" s="6">
        <f>IF(OR(C234="",D234=""),"",IFERROR(LOOKUP(2,1/(($C$1:C233=C234)*($D$1:D233=D234)*ISNUMBER($J$1:J233)),$J$1:J233),SUMIFS(Master!$G$2:$G$13,Master!$E$2:$E$13,C234,Master!$F$2:$F$13,D234)))</f>
        <v/>
      </c>
      <c r="G234" s="5" t="n"/>
      <c r="H234" s="5" t="n"/>
      <c r="I234" s="5" t="n"/>
      <c r="J234" s="6">
        <f>IF(OR(F234="",COUNT(G234:I234)&lt;3),"",F234+G234-H234-I234)</f>
        <v/>
      </c>
      <c r="K234" s="6">
        <f>IF(COUNTA(A234:D234,G234:I234)=0,"",IF(COUNTA(A234:D234,G234:I234)&lt;7,"LENGKAPI",IF(H234+I234&gt;N(F234)+G234,"ABNORMAL",IF(COUNTIFS($A$2:$A$2001,A234,$B$2:$B$2001,B234,$C$2:$C$2001,C234,$D$2:$D$2001,D234)&gt;1,"DUPLIKAT","OK"))))</f>
        <v/>
      </c>
    </row>
    <row r="235">
      <c r="A235" s="4" t="n"/>
      <c r="B235" s="5" t="n"/>
      <c r="C235" s="5" t="n"/>
      <c r="D235" s="5" t="n"/>
      <c r="E235" s="6">
        <f>IF(A235="","","B"&amp;TEXT(COUNT($A$2:A235),"00000"))</f>
        <v/>
      </c>
      <c r="F235" s="6">
        <f>IF(OR(C235="",D235=""),"",IFERROR(LOOKUP(2,1/(($C$1:C234=C235)*($D$1:D234=D235)*ISNUMBER($J$1:J234)),$J$1:J234),SUMIFS(Master!$G$2:$G$13,Master!$E$2:$E$13,C235,Master!$F$2:$F$13,D235)))</f>
        <v/>
      </c>
      <c r="G235" s="5" t="n"/>
      <c r="H235" s="5" t="n"/>
      <c r="I235" s="5" t="n"/>
      <c r="J235" s="6">
        <f>IF(OR(F235="",COUNT(G235:I235)&lt;3),"",F235+G235-H235-I235)</f>
        <v/>
      </c>
      <c r="K235" s="6">
        <f>IF(COUNTA(A235:D235,G235:I235)=0,"",IF(COUNTA(A235:D235,G235:I235)&lt;7,"LENGKAPI",IF(H235+I235&gt;N(F235)+G235,"ABNORMAL",IF(COUNTIFS($A$2:$A$2001,A235,$B$2:$B$2001,B235,$C$2:$C$2001,C235,$D$2:$D$2001,D235)&gt;1,"DUPLIKAT","OK"))))</f>
        <v/>
      </c>
    </row>
    <row r="236">
      <c r="A236" s="4" t="n"/>
      <c r="B236" s="5" t="n"/>
      <c r="C236" s="5" t="n"/>
      <c r="D236" s="5" t="n"/>
      <c r="E236" s="6">
        <f>IF(A236="","","B"&amp;TEXT(COUNT($A$2:A236),"00000"))</f>
        <v/>
      </c>
      <c r="F236" s="6">
        <f>IF(OR(C236="",D236=""),"",IFERROR(LOOKUP(2,1/(($C$1:C235=C236)*($D$1:D235=D236)*ISNUMBER($J$1:J235)),$J$1:J235),SUMIFS(Master!$G$2:$G$13,Master!$E$2:$E$13,C236,Master!$F$2:$F$13,D236)))</f>
        <v/>
      </c>
      <c r="G236" s="5" t="n"/>
      <c r="H236" s="5" t="n"/>
      <c r="I236" s="5" t="n"/>
      <c r="J236" s="6">
        <f>IF(OR(F236="",COUNT(G236:I236)&lt;3),"",F236+G236-H236-I236)</f>
        <v/>
      </c>
      <c r="K236" s="6">
        <f>IF(COUNTA(A236:D236,G236:I236)=0,"",IF(COUNTA(A236:D236,G236:I236)&lt;7,"LENGKAPI",IF(H236+I236&gt;N(F236)+G236,"ABNORMAL",IF(COUNTIFS($A$2:$A$2001,A236,$B$2:$B$2001,B236,$C$2:$C$2001,C236,$D$2:$D$2001,D236)&gt;1,"DUPLIKAT","OK"))))</f>
        <v/>
      </c>
    </row>
    <row r="237">
      <c r="A237" s="4" t="n"/>
      <c r="B237" s="5" t="n"/>
      <c r="C237" s="5" t="n"/>
      <c r="D237" s="5" t="n"/>
      <c r="E237" s="6">
        <f>IF(A237="","","B"&amp;TEXT(COUNT($A$2:A237),"00000"))</f>
        <v/>
      </c>
      <c r="F237" s="6">
        <f>IF(OR(C237="",D237=""),"",IFERROR(LOOKUP(2,1/(($C$1:C236=C237)*($D$1:D236=D237)*ISNUMBER($J$1:J236)),$J$1:J236),SUMIFS(Master!$G$2:$G$13,Master!$E$2:$E$13,C237,Master!$F$2:$F$13,D237)))</f>
        <v/>
      </c>
      <c r="G237" s="5" t="n"/>
      <c r="H237" s="5" t="n"/>
      <c r="I237" s="5" t="n"/>
      <c r="J237" s="6">
        <f>IF(OR(F237="",COUNT(G237:I237)&lt;3),"",F237+G237-H237-I237)</f>
        <v/>
      </c>
      <c r="K237" s="6">
        <f>IF(COUNTA(A237:D237,G237:I237)=0,"",IF(COUNTA(A237:D237,G237:I237)&lt;7,"LENGKAPI",IF(H237+I237&gt;N(F237)+G237,"ABNORMAL",IF(COUNTIFS($A$2:$A$2001,A237,$B$2:$B$2001,B237,$C$2:$C$2001,C237,$D$2:$D$2001,D237)&gt;1,"DUPLIKAT","OK"))))</f>
        <v/>
      </c>
    </row>
    <row r="238">
      <c r="A238" s="4" t="n"/>
      <c r="B238" s="5" t="n"/>
      <c r="C238" s="5" t="n"/>
      <c r="D238" s="5" t="n"/>
      <c r="E238" s="6">
        <f>IF(A238="","","B"&amp;TEXT(COUNT($A$2:A238),"00000"))</f>
        <v/>
      </c>
      <c r="F238" s="6">
        <f>IF(OR(C238="",D238=""),"",IFERROR(LOOKUP(2,1/(($C$1:C237=C238)*($D$1:D237=D238)*ISNUMBER($J$1:J237)),$J$1:J237),SUMIFS(Master!$G$2:$G$13,Master!$E$2:$E$13,C238,Master!$F$2:$F$13,D238)))</f>
        <v/>
      </c>
      <c r="G238" s="5" t="n"/>
      <c r="H238" s="5" t="n"/>
      <c r="I238" s="5" t="n"/>
      <c r="J238" s="6">
        <f>IF(OR(F238="",COUNT(G238:I238)&lt;3),"",F238+G238-H238-I238)</f>
        <v/>
      </c>
      <c r="K238" s="6">
        <f>IF(COUNTA(A238:D238,G238:I238)=0,"",IF(COUNTA(A238:D238,G238:I238)&lt;7,"LENGKAPI",IF(H238+I238&gt;N(F238)+G238,"ABNORMAL",IF(COUNTIFS($A$2:$A$2001,A238,$B$2:$B$2001,B238,$C$2:$C$2001,C238,$D$2:$D$2001,D238)&gt;1,"DUPLIKAT","OK"))))</f>
        <v/>
      </c>
    </row>
    <row r="239">
      <c r="A239" s="4" t="n"/>
      <c r="B239" s="5" t="n"/>
      <c r="C239" s="5" t="n"/>
      <c r="D239" s="5" t="n"/>
      <c r="E239" s="6">
        <f>IF(A239="","","B"&amp;TEXT(COUNT($A$2:A239),"00000"))</f>
        <v/>
      </c>
      <c r="F239" s="6">
        <f>IF(OR(C239="",D239=""),"",IFERROR(LOOKUP(2,1/(($C$1:C238=C239)*($D$1:D238=D239)*ISNUMBER($J$1:J238)),$J$1:J238),SUMIFS(Master!$G$2:$G$13,Master!$E$2:$E$13,C239,Master!$F$2:$F$13,D239)))</f>
        <v/>
      </c>
      <c r="G239" s="5" t="n"/>
      <c r="H239" s="5" t="n"/>
      <c r="I239" s="5" t="n"/>
      <c r="J239" s="6">
        <f>IF(OR(F239="",COUNT(G239:I239)&lt;3),"",F239+G239-H239-I239)</f>
        <v/>
      </c>
      <c r="K239" s="6">
        <f>IF(COUNTA(A239:D239,G239:I239)=0,"",IF(COUNTA(A239:D239,G239:I239)&lt;7,"LENGKAPI",IF(H239+I239&gt;N(F239)+G239,"ABNORMAL",IF(COUNTIFS($A$2:$A$2001,A239,$B$2:$B$2001,B239,$C$2:$C$2001,C239,$D$2:$D$2001,D239)&gt;1,"DUPLIKAT","OK"))))</f>
        <v/>
      </c>
    </row>
    <row r="240">
      <c r="A240" s="4" t="n"/>
      <c r="B240" s="5" t="n"/>
      <c r="C240" s="5" t="n"/>
      <c r="D240" s="5" t="n"/>
      <c r="E240" s="6">
        <f>IF(A240="","","B"&amp;TEXT(COUNT($A$2:A240),"00000"))</f>
        <v/>
      </c>
      <c r="F240" s="6">
        <f>IF(OR(C240="",D240=""),"",IFERROR(LOOKUP(2,1/(($C$1:C239=C240)*($D$1:D239=D240)*ISNUMBER($J$1:J239)),$J$1:J239),SUMIFS(Master!$G$2:$G$13,Master!$E$2:$E$13,C240,Master!$F$2:$F$13,D240)))</f>
        <v/>
      </c>
      <c r="G240" s="5" t="n"/>
      <c r="H240" s="5" t="n"/>
      <c r="I240" s="5" t="n"/>
      <c r="J240" s="6">
        <f>IF(OR(F240="",COUNT(G240:I240)&lt;3),"",F240+G240-H240-I240)</f>
        <v/>
      </c>
      <c r="K240" s="6">
        <f>IF(COUNTA(A240:D240,G240:I240)=0,"",IF(COUNTA(A240:D240,G240:I240)&lt;7,"LENGKAPI",IF(H240+I240&gt;N(F240)+G240,"ABNORMAL",IF(COUNTIFS($A$2:$A$2001,A240,$B$2:$B$2001,B240,$C$2:$C$2001,C240,$D$2:$D$2001,D240)&gt;1,"DUPLIKAT","OK"))))</f>
        <v/>
      </c>
    </row>
    <row r="241">
      <c r="A241" s="4" t="n"/>
      <c r="B241" s="5" t="n"/>
      <c r="C241" s="5" t="n"/>
      <c r="D241" s="5" t="n"/>
      <c r="E241" s="6">
        <f>IF(A241="","","B"&amp;TEXT(COUNT($A$2:A241),"00000"))</f>
        <v/>
      </c>
      <c r="F241" s="6">
        <f>IF(OR(C241="",D241=""),"",IFERROR(LOOKUP(2,1/(($C$1:C240=C241)*($D$1:D240=D241)*ISNUMBER($J$1:J240)),$J$1:J240),SUMIFS(Master!$G$2:$G$13,Master!$E$2:$E$13,C241,Master!$F$2:$F$13,D241)))</f>
        <v/>
      </c>
      <c r="G241" s="5" t="n"/>
      <c r="H241" s="5" t="n"/>
      <c r="I241" s="5" t="n"/>
      <c r="J241" s="6">
        <f>IF(OR(F241="",COUNT(G241:I241)&lt;3),"",F241+G241-H241-I241)</f>
        <v/>
      </c>
      <c r="K241" s="6">
        <f>IF(COUNTA(A241:D241,G241:I241)=0,"",IF(COUNTA(A241:D241,G241:I241)&lt;7,"LENGKAPI",IF(H241+I241&gt;N(F241)+G241,"ABNORMAL",IF(COUNTIFS($A$2:$A$2001,A241,$B$2:$B$2001,B241,$C$2:$C$2001,C241,$D$2:$D$2001,D241)&gt;1,"DUPLIKAT","OK"))))</f>
        <v/>
      </c>
    </row>
    <row r="242">
      <c r="A242" s="4" t="n"/>
      <c r="B242" s="5" t="n"/>
      <c r="C242" s="5" t="n"/>
      <c r="D242" s="5" t="n"/>
      <c r="E242" s="6">
        <f>IF(A242="","","B"&amp;TEXT(COUNT($A$2:A242),"00000"))</f>
        <v/>
      </c>
      <c r="F242" s="6">
        <f>IF(OR(C242="",D242=""),"",IFERROR(LOOKUP(2,1/(($C$1:C241=C242)*($D$1:D241=D242)*ISNUMBER($J$1:J241)),$J$1:J241),SUMIFS(Master!$G$2:$G$13,Master!$E$2:$E$13,C242,Master!$F$2:$F$13,D242)))</f>
        <v/>
      </c>
      <c r="G242" s="5" t="n"/>
      <c r="H242" s="5" t="n"/>
      <c r="I242" s="5" t="n"/>
      <c r="J242" s="6">
        <f>IF(OR(F242="",COUNT(G242:I242)&lt;3),"",F242+G242-H242-I242)</f>
        <v/>
      </c>
      <c r="K242" s="6">
        <f>IF(COUNTA(A242:D242,G242:I242)=0,"",IF(COUNTA(A242:D242,G242:I242)&lt;7,"LENGKAPI",IF(H242+I242&gt;N(F242)+G242,"ABNORMAL",IF(COUNTIFS($A$2:$A$2001,A242,$B$2:$B$2001,B242,$C$2:$C$2001,C242,$D$2:$D$2001,D242)&gt;1,"DUPLIKAT","OK"))))</f>
        <v/>
      </c>
    </row>
    <row r="243">
      <c r="A243" s="4" t="n"/>
      <c r="B243" s="5" t="n"/>
      <c r="C243" s="5" t="n"/>
      <c r="D243" s="5" t="n"/>
      <c r="E243" s="6">
        <f>IF(A243="","","B"&amp;TEXT(COUNT($A$2:A243),"00000"))</f>
        <v/>
      </c>
      <c r="F243" s="6">
        <f>IF(OR(C243="",D243=""),"",IFERROR(LOOKUP(2,1/(($C$1:C242=C243)*($D$1:D242=D243)*ISNUMBER($J$1:J242)),$J$1:J242),SUMIFS(Master!$G$2:$G$13,Master!$E$2:$E$13,C243,Master!$F$2:$F$13,D243)))</f>
        <v/>
      </c>
      <c r="G243" s="5" t="n"/>
      <c r="H243" s="5" t="n"/>
      <c r="I243" s="5" t="n"/>
      <c r="J243" s="6">
        <f>IF(OR(F243="",COUNT(G243:I243)&lt;3),"",F243+G243-H243-I243)</f>
        <v/>
      </c>
      <c r="K243" s="6">
        <f>IF(COUNTA(A243:D243,G243:I243)=0,"",IF(COUNTA(A243:D243,G243:I243)&lt;7,"LENGKAPI",IF(H243+I243&gt;N(F243)+G243,"ABNORMAL",IF(COUNTIFS($A$2:$A$2001,A243,$B$2:$B$2001,B243,$C$2:$C$2001,C243,$D$2:$D$2001,D243)&gt;1,"DUPLIKAT","OK"))))</f>
        <v/>
      </c>
    </row>
    <row r="244">
      <c r="A244" s="4" t="n"/>
      <c r="B244" s="5" t="n"/>
      <c r="C244" s="5" t="n"/>
      <c r="D244" s="5" t="n"/>
      <c r="E244" s="6">
        <f>IF(A244="","","B"&amp;TEXT(COUNT($A$2:A244),"00000"))</f>
        <v/>
      </c>
      <c r="F244" s="6">
        <f>IF(OR(C244="",D244=""),"",IFERROR(LOOKUP(2,1/(($C$1:C243=C244)*($D$1:D243=D244)*ISNUMBER($J$1:J243)),$J$1:J243),SUMIFS(Master!$G$2:$G$13,Master!$E$2:$E$13,C244,Master!$F$2:$F$13,D244)))</f>
        <v/>
      </c>
      <c r="G244" s="5" t="n"/>
      <c r="H244" s="5" t="n"/>
      <c r="I244" s="5" t="n"/>
      <c r="J244" s="6">
        <f>IF(OR(F244="",COUNT(G244:I244)&lt;3),"",F244+G244-H244-I244)</f>
        <v/>
      </c>
      <c r="K244" s="6">
        <f>IF(COUNTA(A244:D244,G244:I244)=0,"",IF(COUNTA(A244:D244,G244:I244)&lt;7,"LENGKAPI",IF(H244+I244&gt;N(F244)+G244,"ABNORMAL",IF(COUNTIFS($A$2:$A$2001,A244,$B$2:$B$2001,B244,$C$2:$C$2001,C244,$D$2:$D$2001,D244)&gt;1,"DUPLIKAT","OK"))))</f>
        <v/>
      </c>
    </row>
    <row r="245">
      <c r="A245" s="4" t="n"/>
      <c r="B245" s="5" t="n"/>
      <c r="C245" s="5" t="n"/>
      <c r="D245" s="5" t="n"/>
      <c r="E245" s="6">
        <f>IF(A245="","","B"&amp;TEXT(COUNT($A$2:A245),"00000"))</f>
        <v/>
      </c>
      <c r="F245" s="6">
        <f>IF(OR(C245="",D245=""),"",IFERROR(LOOKUP(2,1/(($C$1:C244=C245)*($D$1:D244=D245)*ISNUMBER($J$1:J244)),$J$1:J244),SUMIFS(Master!$G$2:$G$13,Master!$E$2:$E$13,C245,Master!$F$2:$F$13,D245)))</f>
        <v/>
      </c>
      <c r="G245" s="5" t="n"/>
      <c r="H245" s="5" t="n"/>
      <c r="I245" s="5" t="n"/>
      <c r="J245" s="6">
        <f>IF(OR(F245="",COUNT(G245:I245)&lt;3),"",F245+G245-H245-I245)</f>
        <v/>
      </c>
      <c r="K245" s="6">
        <f>IF(COUNTA(A245:D245,G245:I245)=0,"",IF(COUNTA(A245:D245,G245:I245)&lt;7,"LENGKAPI",IF(H245+I245&gt;N(F245)+G245,"ABNORMAL",IF(COUNTIFS($A$2:$A$2001,A245,$B$2:$B$2001,B245,$C$2:$C$2001,C245,$D$2:$D$2001,D245)&gt;1,"DUPLIKAT","OK"))))</f>
        <v/>
      </c>
    </row>
    <row r="246">
      <c r="A246" s="4" t="n"/>
      <c r="B246" s="5" t="n"/>
      <c r="C246" s="5" t="n"/>
      <c r="D246" s="5" t="n"/>
      <c r="E246" s="6">
        <f>IF(A246="","","B"&amp;TEXT(COUNT($A$2:A246),"00000"))</f>
        <v/>
      </c>
      <c r="F246" s="6">
        <f>IF(OR(C246="",D246=""),"",IFERROR(LOOKUP(2,1/(($C$1:C245=C246)*($D$1:D245=D246)*ISNUMBER($J$1:J245)),$J$1:J245),SUMIFS(Master!$G$2:$G$13,Master!$E$2:$E$13,C246,Master!$F$2:$F$13,D246)))</f>
        <v/>
      </c>
      <c r="G246" s="5" t="n"/>
      <c r="H246" s="5" t="n"/>
      <c r="I246" s="5" t="n"/>
      <c r="J246" s="6">
        <f>IF(OR(F246="",COUNT(G246:I246)&lt;3),"",F246+G246-H246-I246)</f>
        <v/>
      </c>
      <c r="K246" s="6">
        <f>IF(COUNTA(A246:D246,G246:I246)=0,"",IF(COUNTA(A246:D246,G246:I246)&lt;7,"LENGKAPI",IF(H246+I246&gt;N(F246)+G246,"ABNORMAL",IF(COUNTIFS($A$2:$A$2001,A246,$B$2:$B$2001,B246,$C$2:$C$2001,C246,$D$2:$D$2001,D246)&gt;1,"DUPLIKAT","OK"))))</f>
        <v/>
      </c>
    </row>
    <row r="247">
      <c r="A247" s="4" t="n"/>
      <c r="B247" s="5" t="n"/>
      <c r="C247" s="5" t="n"/>
      <c r="D247" s="5" t="n"/>
      <c r="E247" s="6">
        <f>IF(A247="","","B"&amp;TEXT(COUNT($A$2:A247),"00000"))</f>
        <v/>
      </c>
      <c r="F247" s="6">
        <f>IF(OR(C247="",D247=""),"",IFERROR(LOOKUP(2,1/(($C$1:C246=C247)*($D$1:D246=D247)*ISNUMBER($J$1:J246)),$J$1:J246),SUMIFS(Master!$G$2:$G$13,Master!$E$2:$E$13,C247,Master!$F$2:$F$13,D247)))</f>
        <v/>
      </c>
      <c r="G247" s="5" t="n"/>
      <c r="H247" s="5" t="n"/>
      <c r="I247" s="5" t="n"/>
      <c r="J247" s="6">
        <f>IF(OR(F247="",COUNT(G247:I247)&lt;3),"",F247+G247-H247-I247)</f>
        <v/>
      </c>
      <c r="K247" s="6">
        <f>IF(COUNTA(A247:D247,G247:I247)=0,"",IF(COUNTA(A247:D247,G247:I247)&lt;7,"LENGKAPI",IF(H247+I247&gt;N(F247)+G247,"ABNORMAL",IF(COUNTIFS($A$2:$A$2001,A247,$B$2:$B$2001,B247,$C$2:$C$2001,C247,$D$2:$D$2001,D247)&gt;1,"DUPLIKAT","OK"))))</f>
        <v/>
      </c>
    </row>
    <row r="248">
      <c r="A248" s="4" t="n"/>
      <c r="B248" s="5" t="n"/>
      <c r="C248" s="5" t="n"/>
      <c r="D248" s="5" t="n"/>
      <c r="E248" s="6">
        <f>IF(A248="","","B"&amp;TEXT(COUNT($A$2:A248),"00000"))</f>
        <v/>
      </c>
      <c r="F248" s="6">
        <f>IF(OR(C248="",D248=""),"",IFERROR(LOOKUP(2,1/(($C$1:C247=C248)*($D$1:D247=D248)*ISNUMBER($J$1:J247)),$J$1:J247),SUMIFS(Master!$G$2:$G$13,Master!$E$2:$E$13,C248,Master!$F$2:$F$13,D248)))</f>
        <v/>
      </c>
      <c r="G248" s="5" t="n"/>
      <c r="H248" s="5" t="n"/>
      <c r="I248" s="5" t="n"/>
      <c r="J248" s="6">
        <f>IF(OR(F248="",COUNT(G248:I248)&lt;3),"",F248+G248-H248-I248)</f>
        <v/>
      </c>
      <c r="K248" s="6">
        <f>IF(COUNTA(A248:D248,G248:I248)=0,"",IF(COUNTA(A248:D248,G248:I248)&lt;7,"LENGKAPI",IF(H248+I248&gt;N(F248)+G248,"ABNORMAL",IF(COUNTIFS($A$2:$A$2001,A248,$B$2:$B$2001,B248,$C$2:$C$2001,C248,$D$2:$D$2001,D248)&gt;1,"DUPLIKAT","OK"))))</f>
        <v/>
      </c>
    </row>
    <row r="249">
      <c r="A249" s="4" t="n"/>
      <c r="B249" s="5" t="n"/>
      <c r="C249" s="5" t="n"/>
      <c r="D249" s="5" t="n"/>
      <c r="E249" s="6">
        <f>IF(A249="","","B"&amp;TEXT(COUNT($A$2:A249),"00000"))</f>
        <v/>
      </c>
      <c r="F249" s="6">
        <f>IF(OR(C249="",D249=""),"",IFERROR(LOOKUP(2,1/(($C$1:C248=C249)*($D$1:D248=D249)*ISNUMBER($J$1:J248)),$J$1:J248),SUMIFS(Master!$G$2:$G$13,Master!$E$2:$E$13,C249,Master!$F$2:$F$13,D249)))</f>
        <v/>
      </c>
      <c r="G249" s="5" t="n"/>
      <c r="H249" s="5" t="n"/>
      <c r="I249" s="5" t="n"/>
      <c r="J249" s="6">
        <f>IF(OR(F249="",COUNT(G249:I249)&lt;3),"",F249+G249-H249-I249)</f>
        <v/>
      </c>
      <c r="K249" s="6">
        <f>IF(COUNTA(A249:D249,G249:I249)=0,"",IF(COUNTA(A249:D249,G249:I249)&lt;7,"LENGKAPI",IF(H249+I249&gt;N(F249)+G249,"ABNORMAL",IF(COUNTIFS($A$2:$A$2001,A249,$B$2:$B$2001,B249,$C$2:$C$2001,C249,$D$2:$D$2001,D249)&gt;1,"DUPLIKAT","OK"))))</f>
        <v/>
      </c>
    </row>
    <row r="250">
      <c r="A250" s="4" t="n"/>
      <c r="B250" s="5" t="n"/>
      <c r="C250" s="5" t="n"/>
      <c r="D250" s="5" t="n"/>
      <c r="E250" s="6">
        <f>IF(A250="","","B"&amp;TEXT(COUNT($A$2:A250),"00000"))</f>
        <v/>
      </c>
      <c r="F250" s="6">
        <f>IF(OR(C250="",D250=""),"",IFERROR(LOOKUP(2,1/(($C$1:C249=C250)*($D$1:D249=D250)*ISNUMBER($J$1:J249)),$J$1:J249),SUMIFS(Master!$G$2:$G$13,Master!$E$2:$E$13,C250,Master!$F$2:$F$13,D250)))</f>
        <v/>
      </c>
      <c r="G250" s="5" t="n"/>
      <c r="H250" s="5" t="n"/>
      <c r="I250" s="5" t="n"/>
      <c r="J250" s="6">
        <f>IF(OR(F250="",COUNT(G250:I250)&lt;3),"",F250+G250-H250-I250)</f>
        <v/>
      </c>
      <c r="K250" s="6">
        <f>IF(COUNTA(A250:D250,G250:I250)=0,"",IF(COUNTA(A250:D250,G250:I250)&lt;7,"LENGKAPI",IF(H250+I250&gt;N(F250)+G250,"ABNORMAL",IF(COUNTIFS($A$2:$A$2001,A250,$B$2:$B$2001,B250,$C$2:$C$2001,C250,$D$2:$D$2001,D250)&gt;1,"DUPLIKAT","OK"))))</f>
        <v/>
      </c>
    </row>
    <row r="251">
      <c r="A251" s="4" t="n"/>
      <c r="B251" s="5" t="n"/>
      <c r="C251" s="5" t="n"/>
      <c r="D251" s="5" t="n"/>
      <c r="E251" s="6">
        <f>IF(A251="","","B"&amp;TEXT(COUNT($A$2:A251),"00000"))</f>
        <v/>
      </c>
      <c r="F251" s="6">
        <f>IF(OR(C251="",D251=""),"",IFERROR(LOOKUP(2,1/(($C$1:C250=C251)*($D$1:D250=D251)*ISNUMBER($J$1:J250)),$J$1:J250),SUMIFS(Master!$G$2:$G$13,Master!$E$2:$E$13,C251,Master!$F$2:$F$13,D251)))</f>
        <v/>
      </c>
      <c r="G251" s="5" t="n"/>
      <c r="H251" s="5" t="n"/>
      <c r="I251" s="5" t="n"/>
      <c r="J251" s="6">
        <f>IF(OR(F251="",COUNT(G251:I251)&lt;3),"",F251+G251-H251-I251)</f>
        <v/>
      </c>
      <c r="K251" s="6">
        <f>IF(COUNTA(A251:D251,G251:I251)=0,"",IF(COUNTA(A251:D251,G251:I251)&lt;7,"LENGKAPI",IF(H251+I251&gt;N(F251)+G251,"ABNORMAL",IF(COUNTIFS($A$2:$A$2001,A251,$B$2:$B$2001,B251,$C$2:$C$2001,C251,$D$2:$D$2001,D251)&gt;1,"DUPLIKAT","OK"))))</f>
        <v/>
      </c>
    </row>
    <row r="252">
      <c r="A252" s="4" t="n"/>
      <c r="B252" s="5" t="n"/>
      <c r="C252" s="5" t="n"/>
      <c r="D252" s="5" t="n"/>
      <c r="E252" s="6">
        <f>IF(A252="","","B"&amp;TEXT(COUNT($A$2:A252),"00000"))</f>
        <v/>
      </c>
      <c r="F252" s="6">
        <f>IF(OR(C252="",D252=""),"",IFERROR(LOOKUP(2,1/(($C$1:C251=C252)*($D$1:D251=D252)*ISNUMBER($J$1:J251)),$J$1:J251),SUMIFS(Master!$G$2:$G$13,Master!$E$2:$E$13,C252,Master!$F$2:$F$13,D252)))</f>
        <v/>
      </c>
      <c r="G252" s="5" t="n"/>
      <c r="H252" s="5" t="n"/>
      <c r="I252" s="5" t="n"/>
      <c r="J252" s="6">
        <f>IF(OR(F252="",COUNT(G252:I252)&lt;3),"",F252+G252-H252-I252)</f>
        <v/>
      </c>
      <c r="K252" s="6">
        <f>IF(COUNTA(A252:D252,G252:I252)=0,"",IF(COUNTA(A252:D252,G252:I252)&lt;7,"LENGKAPI",IF(H252+I252&gt;N(F252)+G252,"ABNORMAL",IF(COUNTIFS($A$2:$A$2001,A252,$B$2:$B$2001,B252,$C$2:$C$2001,C252,$D$2:$D$2001,D252)&gt;1,"DUPLIKAT","OK"))))</f>
        <v/>
      </c>
    </row>
    <row r="253">
      <c r="A253" s="4" t="n"/>
      <c r="B253" s="5" t="n"/>
      <c r="C253" s="5" t="n"/>
      <c r="D253" s="5" t="n"/>
      <c r="E253" s="6">
        <f>IF(A253="","","B"&amp;TEXT(COUNT($A$2:A253),"00000"))</f>
        <v/>
      </c>
      <c r="F253" s="6">
        <f>IF(OR(C253="",D253=""),"",IFERROR(LOOKUP(2,1/(($C$1:C252=C253)*($D$1:D252=D253)*ISNUMBER($J$1:J252)),$J$1:J252),SUMIFS(Master!$G$2:$G$13,Master!$E$2:$E$13,C253,Master!$F$2:$F$13,D253)))</f>
        <v/>
      </c>
      <c r="G253" s="5" t="n"/>
      <c r="H253" s="5" t="n"/>
      <c r="I253" s="5" t="n"/>
      <c r="J253" s="6">
        <f>IF(OR(F253="",COUNT(G253:I253)&lt;3),"",F253+G253-H253-I253)</f>
        <v/>
      </c>
      <c r="K253" s="6">
        <f>IF(COUNTA(A253:D253,G253:I253)=0,"",IF(COUNTA(A253:D253,G253:I253)&lt;7,"LENGKAPI",IF(H253+I253&gt;N(F253)+G253,"ABNORMAL",IF(COUNTIFS($A$2:$A$2001,A253,$B$2:$B$2001,B253,$C$2:$C$2001,C253,$D$2:$D$2001,D253)&gt;1,"DUPLIKAT","OK"))))</f>
        <v/>
      </c>
    </row>
    <row r="254">
      <c r="A254" s="4" t="n"/>
      <c r="B254" s="5" t="n"/>
      <c r="C254" s="5" t="n"/>
      <c r="D254" s="5" t="n"/>
      <c r="E254" s="6">
        <f>IF(A254="","","B"&amp;TEXT(COUNT($A$2:A254),"00000"))</f>
        <v/>
      </c>
      <c r="F254" s="6">
        <f>IF(OR(C254="",D254=""),"",IFERROR(LOOKUP(2,1/(($C$1:C253=C254)*($D$1:D253=D254)*ISNUMBER($J$1:J253)),$J$1:J253),SUMIFS(Master!$G$2:$G$13,Master!$E$2:$E$13,C254,Master!$F$2:$F$13,D254)))</f>
        <v/>
      </c>
      <c r="G254" s="5" t="n"/>
      <c r="H254" s="5" t="n"/>
      <c r="I254" s="5" t="n"/>
      <c r="J254" s="6">
        <f>IF(OR(F254="",COUNT(G254:I254)&lt;3),"",F254+G254-H254-I254)</f>
        <v/>
      </c>
      <c r="K254" s="6">
        <f>IF(COUNTA(A254:D254,G254:I254)=0,"",IF(COUNTA(A254:D254,G254:I254)&lt;7,"LENGKAPI",IF(H254+I254&gt;N(F254)+G254,"ABNORMAL",IF(COUNTIFS($A$2:$A$2001,A254,$B$2:$B$2001,B254,$C$2:$C$2001,C254,$D$2:$D$2001,D254)&gt;1,"DUPLIKAT","OK"))))</f>
        <v/>
      </c>
    </row>
    <row r="255">
      <c r="A255" s="4" t="n"/>
      <c r="B255" s="5" t="n"/>
      <c r="C255" s="5" t="n"/>
      <c r="D255" s="5" t="n"/>
      <c r="E255" s="6">
        <f>IF(A255="","","B"&amp;TEXT(COUNT($A$2:A255),"00000"))</f>
        <v/>
      </c>
      <c r="F255" s="6">
        <f>IF(OR(C255="",D255=""),"",IFERROR(LOOKUP(2,1/(($C$1:C254=C255)*($D$1:D254=D255)*ISNUMBER($J$1:J254)),$J$1:J254),SUMIFS(Master!$G$2:$G$13,Master!$E$2:$E$13,C255,Master!$F$2:$F$13,D255)))</f>
        <v/>
      </c>
      <c r="G255" s="5" t="n"/>
      <c r="H255" s="5" t="n"/>
      <c r="I255" s="5" t="n"/>
      <c r="J255" s="6">
        <f>IF(OR(F255="",COUNT(G255:I255)&lt;3),"",F255+G255-H255-I255)</f>
        <v/>
      </c>
      <c r="K255" s="6">
        <f>IF(COUNTA(A255:D255,G255:I255)=0,"",IF(COUNTA(A255:D255,G255:I255)&lt;7,"LENGKAPI",IF(H255+I255&gt;N(F255)+G255,"ABNORMAL",IF(COUNTIFS($A$2:$A$2001,A255,$B$2:$B$2001,B255,$C$2:$C$2001,C255,$D$2:$D$2001,D255)&gt;1,"DUPLIKAT","OK"))))</f>
        <v/>
      </c>
    </row>
    <row r="256">
      <c r="A256" s="4" t="n"/>
      <c r="B256" s="5" t="n"/>
      <c r="C256" s="5" t="n"/>
      <c r="D256" s="5" t="n"/>
      <c r="E256" s="6">
        <f>IF(A256="","","B"&amp;TEXT(COUNT($A$2:A256),"00000"))</f>
        <v/>
      </c>
      <c r="F256" s="6">
        <f>IF(OR(C256="",D256=""),"",IFERROR(LOOKUP(2,1/(($C$1:C255=C256)*($D$1:D255=D256)*ISNUMBER($J$1:J255)),$J$1:J255),SUMIFS(Master!$G$2:$G$13,Master!$E$2:$E$13,C256,Master!$F$2:$F$13,D256)))</f>
        <v/>
      </c>
      <c r="G256" s="5" t="n"/>
      <c r="H256" s="5" t="n"/>
      <c r="I256" s="5" t="n"/>
      <c r="J256" s="6">
        <f>IF(OR(F256="",COUNT(G256:I256)&lt;3),"",F256+G256-H256-I256)</f>
        <v/>
      </c>
      <c r="K256" s="6">
        <f>IF(COUNTA(A256:D256,G256:I256)=0,"",IF(COUNTA(A256:D256,G256:I256)&lt;7,"LENGKAPI",IF(H256+I256&gt;N(F256)+G256,"ABNORMAL",IF(COUNTIFS($A$2:$A$2001,A256,$B$2:$B$2001,B256,$C$2:$C$2001,C256,$D$2:$D$2001,D256)&gt;1,"DUPLIKAT","OK"))))</f>
        <v/>
      </c>
    </row>
    <row r="257">
      <c r="A257" s="4" t="n"/>
      <c r="B257" s="5" t="n"/>
      <c r="C257" s="5" t="n"/>
      <c r="D257" s="5" t="n"/>
      <c r="E257" s="6">
        <f>IF(A257="","","B"&amp;TEXT(COUNT($A$2:A257),"00000"))</f>
        <v/>
      </c>
      <c r="F257" s="6">
        <f>IF(OR(C257="",D257=""),"",IFERROR(LOOKUP(2,1/(($C$1:C256=C257)*($D$1:D256=D257)*ISNUMBER($J$1:J256)),$J$1:J256),SUMIFS(Master!$G$2:$G$13,Master!$E$2:$E$13,C257,Master!$F$2:$F$13,D257)))</f>
        <v/>
      </c>
      <c r="G257" s="5" t="n"/>
      <c r="H257" s="5" t="n"/>
      <c r="I257" s="5" t="n"/>
      <c r="J257" s="6">
        <f>IF(OR(F257="",COUNT(G257:I257)&lt;3),"",F257+G257-H257-I257)</f>
        <v/>
      </c>
      <c r="K257" s="6">
        <f>IF(COUNTA(A257:D257,G257:I257)=0,"",IF(COUNTA(A257:D257,G257:I257)&lt;7,"LENGKAPI",IF(H257+I257&gt;N(F257)+G257,"ABNORMAL",IF(COUNTIFS($A$2:$A$2001,A257,$B$2:$B$2001,B257,$C$2:$C$2001,C257,$D$2:$D$2001,D257)&gt;1,"DUPLIKAT","OK"))))</f>
        <v/>
      </c>
    </row>
    <row r="258">
      <c r="A258" s="4" t="n"/>
      <c r="B258" s="5" t="n"/>
      <c r="C258" s="5" t="n"/>
      <c r="D258" s="5" t="n"/>
      <c r="E258" s="6">
        <f>IF(A258="","","B"&amp;TEXT(COUNT($A$2:A258),"00000"))</f>
        <v/>
      </c>
      <c r="F258" s="6">
        <f>IF(OR(C258="",D258=""),"",IFERROR(LOOKUP(2,1/(($C$1:C257=C258)*($D$1:D257=D258)*ISNUMBER($J$1:J257)),$J$1:J257),SUMIFS(Master!$G$2:$G$13,Master!$E$2:$E$13,C258,Master!$F$2:$F$13,D258)))</f>
        <v/>
      </c>
      <c r="G258" s="5" t="n"/>
      <c r="H258" s="5" t="n"/>
      <c r="I258" s="5" t="n"/>
      <c r="J258" s="6">
        <f>IF(OR(F258="",COUNT(G258:I258)&lt;3),"",F258+G258-H258-I258)</f>
        <v/>
      </c>
      <c r="K258" s="6">
        <f>IF(COUNTA(A258:D258,G258:I258)=0,"",IF(COUNTA(A258:D258,G258:I258)&lt;7,"LENGKAPI",IF(H258+I258&gt;N(F258)+G258,"ABNORMAL",IF(COUNTIFS($A$2:$A$2001,A258,$B$2:$B$2001,B258,$C$2:$C$2001,C258,$D$2:$D$2001,D258)&gt;1,"DUPLIKAT","OK"))))</f>
        <v/>
      </c>
    </row>
    <row r="259">
      <c r="A259" s="4" t="n"/>
      <c r="B259" s="5" t="n"/>
      <c r="C259" s="5" t="n"/>
      <c r="D259" s="5" t="n"/>
      <c r="E259" s="6">
        <f>IF(A259="","","B"&amp;TEXT(COUNT($A$2:A259),"00000"))</f>
        <v/>
      </c>
      <c r="F259" s="6">
        <f>IF(OR(C259="",D259=""),"",IFERROR(LOOKUP(2,1/(($C$1:C258=C259)*($D$1:D258=D259)*ISNUMBER($J$1:J258)),$J$1:J258),SUMIFS(Master!$G$2:$G$13,Master!$E$2:$E$13,C259,Master!$F$2:$F$13,D259)))</f>
        <v/>
      </c>
      <c r="G259" s="5" t="n"/>
      <c r="H259" s="5" t="n"/>
      <c r="I259" s="5" t="n"/>
      <c r="J259" s="6">
        <f>IF(OR(F259="",COUNT(G259:I259)&lt;3),"",F259+G259-H259-I259)</f>
        <v/>
      </c>
      <c r="K259" s="6">
        <f>IF(COUNTA(A259:D259,G259:I259)=0,"",IF(COUNTA(A259:D259,G259:I259)&lt;7,"LENGKAPI",IF(H259+I259&gt;N(F259)+G259,"ABNORMAL",IF(COUNTIFS($A$2:$A$2001,A259,$B$2:$B$2001,B259,$C$2:$C$2001,C259,$D$2:$D$2001,D259)&gt;1,"DUPLIKAT","OK"))))</f>
        <v/>
      </c>
    </row>
    <row r="260">
      <c r="A260" s="4" t="n"/>
      <c r="B260" s="5" t="n"/>
      <c r="C260" s="5" t="n"/>
      <c r="D260" s="5" t="n"/>
      <c r="E260" s="6">
        <f>IF(A260="","","B"&amp;TEXT(COUNT($A$2:A260),"00000"))</f>
        <v/>
      </c>
      <c r="F260" s="6">
        <f>IF(OR(C260="",D260=""),"",IFERROR(LOOKUP(2,1/(($C$1:C259=C260)*($D$1:D259=D260)*ISNUMBER($J$1:J259)),$J$1:J259),SUMIFS(Master!$G$2:$G$13,Master!$E$2:$E$13,C260,Master!$F$2:$F$13,D260)))</f>
        <v/>
      </c>
      <c r="G260" s="5" t="n"/>
      <c r="H260" s="5" t="n"/>
      <c r="I260" s="5" t="n"/>
      <c r="J260" s="6">
        <f>IF(OR(F260="",COUNT(G260:I260)&lt;3),"",F260+G260-H260-I260)</f>
        <v/>
      </c>
      <c r="K260" s="6">
        <f>IF(COUNTA(A260:D260,G260:I260)=0,"",IF(COUNTA(A260:D260,G260:I260)&lt;7,"LENGKAPI",IF(H260+I260&gt;N(F260)+G260,"ABNORMAL",IF(COUNTIFS($A$2:$A$2001,A260,$B$2:$B$2001,B260,$C$2:$C$2001,C260,$D$2:$D$2001,D260)&gt;1,"DUPLIKAT","OK"))))</f>
        <v/>
      </c>
    </row>
    <row r="261">
      <c r="A261" s="4" t="n"/>
      <c r="B261" s="5" t="n"/>
      <c r="C261" s="5" t="n"/>
      <c r="D261" s="5" t="n"/>
      <c r="E261" s="6">
        <f>IF(A261="","","B"&amp;TEXT(COUNT($A$2:A261),"00000"))</f>
        <v/>
      </c>
      <c r="F261" s="6">
        <f>IF(OR(C261="",D261=""),"",IFERROR(LOOKUP(2,1/(($C$1:C260=C261)*($D$1:D260=D261)*ISNUMBER($J$1:J260)),$J$1:J260),SUMIFS(Master!$G$2:$G$13,Master!$E$2:$E$13,C261,Master!$F$2:$F$13,D261)))</f>
        <v/>
      </c>
      <c r="G261" s="5" t="n"/>
      <c r="H261" s="5" t="n"/>
      <c r="I261" s="5" t="n"/>
      <c r="J261" s="6">
        <f>IF(OR(F261="",COUNT(G261:I261)&lt;3),"",F261+G261-H261-I261)</f>
        <v/>
      </c>
      <c r="K261" s="6">
        <f>IF(COUNTA(A261:D261,G261:I261)=0,"",IF(COUNTA(A261:D261,G261:I261)&lt;7,"LENGKAPI",IF(H261+I261&gt;N(F261)+G261,"ABNORMAL",IF(COUNTIFS($A$2:$A$2001,A261,$B$2:$B$2001,B261,$C$2:$C$2001,C261,$D$2:$D$2001,D261)&gt;1,"DUPLIKAT","OK"))))</f>
        <v/>
      </c>
    </row>
    <row r="262">
      <c r="A262" s="4" t="n"/>
      <c r="B262" s="5" t="n"/>
      <c r="C262" s="5" t="n"/>
      <c r="D262" s="5" t="n"/>
      <c r="E262" s="6">
        <f>IF(A262="","","B"&amp;TEXT(COUNT($A$2:A262),"00000"))</f>
        <v/>
      </c>
      <c r="F262" s="6">
        <f>IF(OR(C262="",D262=""),"",IFERROR(LOOKUP(2,1/(($C$1:C261=C262)*($D$1:D261=D262)*ISNUMBER($J$1:J261)),$J$1:J261),SUMIFS(Master!$G$2:$G$13,Master!$E$2:$E$13,C262,Master!$F$2:$F$13,D262)))</f>
        <v/>
      </c>
      <c r="G262" s="5" t="n"/>
      <c r="H262" s="5" t="n"/>
      <c r="I262" s="5" t="n"/>
      <c r="J262" s="6">
        <f>IF(OR(F262="",COUNT(G262:I262)&lt;3),"",F262+G262-H262-I262)</f>
        <v/>
      </c>
      <c r="K262" s="6">
        <f>IF(COUNTA(A262:D262,G262:I262)=0,"",IF(COUNTA(A262:D262,G262:I262)&lt;7,"LENGKAPI",IF(H262+I262&gt;N(F262)+G262,"ABNORMAL",IF(COUNTIFS($A$2:$A$2001,A262,$B$2:$B$2001,B262,$C$2:$C$2001,C262,$D$2:$D$2001,D262)&gt;1,"DUPLIKAT","OK"))))</f>
        <v/>
      </c>
    </row>
    <row r="263">
      <c r="A263" s="4" t="n"/>
      <c r="B263" s="5" t="n"/>
      <c r="C263" s="5" t="n"/>
      <c r="D263" s="5" t="n"/>
      <c r="E263" s="6">
        <f>IF(A263="","","B"&amp;TEXT(COUNT($A$2:A263),"00000"))</f>
        <v/>
      </c>
      <c r="F263" s="6">
        <f>IF(OR(C263="",D263=""),"",IFERROR(LOOKUP(2,1/(($C$1:C262=C263)*($D$1:D262=D263)*ISNUMBER($J$1:J262)),$J$1:J262),SUMIFS(Master!$G$2:$G$13,Master!$E$2:$E$13,C263,Master!$F$2:$F$13,D263)))</f>
        <v/>
      </c>
      <c r="G263" s="5" t="n"/>
      <c r="H263" s="5" t="n"/>
      <c r="I263" s="5" t="n"/>
      <c r="J263" s="6">
        <f>IF(OR(F263="",COUNT(G263:I263)&lt;3),"",F263+G263-H263-I263)</f>
        <v/>
      </c>
      <c r="K263" s="6">
        <f>IF(COUNTA(A263:D263,G263:I263)=0,"",IF(COUNTA(A263:D263,G263:I263)&lt;7,"LENGKAPI",IF(H263+I263&gt;N(F263)+G263,"ABNORMAL",IF(COUNTIFS($A$2:$A$2001,A263,$B$2:$B$2001,B263,$C$2:$C$2001,C263,$D$2:$D$2001,D263)&gt;1,"DUPLIKAT","OK"))))</f>
        <v/>
      </c>
    </row>
    <row r="264">
      <c r="A264" s="4" t="n"/>
      <c r="B264" s="5" t="n"/>
      <c r="C264" s="5" t="n"/>
      <c r="D264" s="5" t="n"/>
      <c r="E264" s="6">
        <f>IF(A264="","","B"&amp;TEXT(COUNT($A$2:A264),"00000"))</f>
        <v/>
      </c>
      <c r="F264" s="6">
        <f>IF(OR(C264="",D264=""),"",IFERROR(LOOKUP(2,1/(($C$1:C263=C264)*($D$1:D263=D264)*ISNUMBER($J$1:J263)),$J$1:J263),SUMIFS(Master!$G$2:$G$13,Master!$E$2:$E$13,C264,Master!$F$2:$F$13,D264)))</f>
        <v/>
      </c>
      <c r="G264" s="5" t="n"/>
      <c r="H264" s="5" t="n"/>
      <c r="I264" s="5" t="n"/>
      <c r="J264" s="6">
        <f>IF(OR(F264="",COUNT(G264:I264)&lt;3),"",F264+G264-H264-I264)</f>
        <v/>
      </c>
      <c r="K264" s="6">
        <f>IF(COUNTA(A264:D264,G264:I264)=0,"",IF(COUNTA(A264:D264,G264:I264)&lt;7,"LENGKAPI",IF(H264+I264&gt;N(F264)+G264,"ABNORMAL",IF(COUNTIFS($A$2:$A$2001,A264,$B$2:$B$2001,B264,$C$2:$C$2001,C264,$D$2:$D$2001,D264)&gt;1,"DUPLIKAT","OK"))))</f>
        <v/>
      </c>
    </row>
    <row r="265">
      <c r="A265" s="4" t="n"/>
      <c r="B265" s="5" t="n"/>
      <c r="C265" s="5" t="n"/>
      <c r="D265" s="5" t="n"/>
      <c r="E265" s="6">
        <f>IF(A265="","","B"&amp;TEXT(COUNT($A$2:A265),"00000"))</f>
        <v/>
      </c>
      <c r="F265" s="6">
        <f>IF(OR(C265="",D265=""),"",IFERROR(LOOKUP(2,1/(($C$1:C264=C265)*($D$1:D264=D265)*ISNUMBER($J$1:J264)),$J$1:J264),SUMIFS(Master!$G$2:$G$13,Master!$E$2:$E$13,C265,Master!$F$2:$F$13,D265)))</f>
        <v/>
      </c>
      <c r="G265" s="5" t="n"/>
      <c r="H265" s="5" t="n"/>
      <c r="I265" s="5" t="n"/>
      <c r="J265" s="6">
        <f>IF(OR(F265="",COUNT(G265:I265)&lt;3),"",F265+G265-H265-I265)</f>
        <v/>
      </c>
      <c r="K265" s="6">
        <f>IF(COUNTA(A265:D265,G265:I265)=0,"",IF(COUNTA(A265:D265,G265:I265)&lt;7,"LENGKAPI",IF(H265+I265&gt;N(F265)+G265,"ABNORMAL",IF(COUNTIFS($A$2:$A$2001,A265,$B$2:$B$2001,B265,$C$2:$C$2001,C265,$D$2:$D$2001,D265)&gt;1,"DUPLIKAT","OK"))))</f>
        <v/>
      </c>
    </row>
    <row r="266">
      <c r="A266" s="4" t="n"/>
      <c r="B266" s="5" t="n"/>
      <c r="C266" s="5" t="n"/>
      <c r="D266" s="5" t="n"/>
      <c r="E266" s="6">
        <f>IF(A266="","","B"&amp;TEXT(COUNT($A$2:A266),"00000"))</f>
        <v/>
      </c>
      <c r="F266" s="6">
        <f>IF(OR(C266="",D266=""),"",IFERROR(LOOKUP(2,1/(($C$1:C265=C266)*($D$1:D265=D266)*ISNUMBER($J$1:J265)),$J$1:J265),SUMIFS(Master!$G$2:$G$13,Master!$E$2:$E$13,C266,Master!$F$2:$F$13,D266)))</f>
        <v/>
      </c>
      <c r="G266" s="5" t="n"/>
      <c r="H266" s="5" t="n"/>
      <c r="I266" s="5" t="n"/>
      <c r="J266" s="6">
        <f>IF(OR(F266="",COUNT(G266:I266)&lt;3),"",F266+G266-H266-I266)</f>
        <v/>
      </c>
      <c r="K266" s="6">
        <f>IF(COUNTA(A266:D266,G266:I266)=0,"",IF(COUNTA(A266:D266,G266:I266)&lt;7,"LENGKAPI",IF(H266+I266&gt;N(F266)+G266,"ABNORMAL",IF(COUNTIFS($A$2:$A$2001,A266,$B$2:$B$2001,B266,$C$2:$C$2001,C266,$D$2:$D$2001,D266)&gt;1,"DUPLIKAT","OK"))))</f>
        <v/>
      </c>
    </row>
    <row r="267">
      <c r="A267" s="4" t="n"/>
      <c r="B267" s="5" t="n"/>
      <c r="C267" s="5" t="n"/>
      <c r="D267" s="5" t="n"/>
      <c r="E267" s="6">
        <f>IF(A267="","","B"&amp;TEXT(COUNT($A$2:A267),"00000"))</f>
        <v/>
      </c>
      <c r="F267" s="6">
        <f>IF(OR(C267="",D267=""),"",IFERROR(LOOKUP(2,1/(($C$1:C266=C267)*($D$1:D266=D267)*ISNUMBER($J$1:J266)),$J$1:J266),SUMIFS(Master!$G$2:$G$13,Master!$E$2:$E$13,C267,Master!$F$2:$F$13,D267)))</f>
        <v/>
      </c>
      <c r="G267" s="5" t="n"/>
      <c r="H267" s="5" t="n"/>
      <c r="I267" s="5" t="n"/>
      <c r="J267" s="6">
        <f>IF(OR(F267="",COUNT(G267:I267)&lt;3),"",F267+G267-H267-I267)</f>
        <v/>
      </c>
      <c r="K267" s="6">
        <f>IF(COUNTA(A267:D267,G267:I267)=0,"",IF(COUNTA(A267:D267,G267:I267)&lt;7,"LENGKAPI",IF(H267+I267&gt;N(F267)+G267,"ABNORMAL",IF(COUNTIFS($A$2:$A$2001,A267,$B$2:$B$2001,B267,$C$2:$C$2001,C267,$D$2:$D$2001,D267)&gt;1,"DUPLIKAT","OK"))))</f>
        <v/>
      </c>
    </row>
    <row r="268">
      <c r="A268" s="4" t="n"/>
      <c r="B268" s="5" t="n"/>
      <c r="C268" s="5" t="n"/>
      <c r="D268" s="5" t="n"/>
      <c r="E268" s="6">
        <f>IF(A268="","","B"&amp;TEXT(COUNT($A$2:A268),"00000"))</f>
        <v/>
      </c>
      <c r="F268" s="6">
        <f>IF(OR(C268="",D268=""),"",IFERROR(LOOKUP(2,1/(($C$1:C267=C268)*($D$1:D267=D268)*ISNUMBER($J$1:J267)),$J$1:J267),SUMIFS(Master!$G$2:$G$13,Master!$E$2:$E$13,C268,Master!$F$2:$F$13,D268)))</f>
        <v/>
      </c>
      <c r="G268" s="5" t="n"/>
      <c r="H268" s="5" t="n"/>
      <c r="I268" s="5" t="n"/>
      <c r="J268" s="6">
        <f>IF(OR(F268="",COUNT(G268:I268)&lt;3),"",F268+G268-H268-I268)</f>
        <v/>
      </c>
      <c r="K268" s="6">
        <f>IF(COUNTA(A268:D268,G268:I268)=0,"",IF(COUNTA(A268:D268,G268:I268)&lt;7,"LENGKAPI",IF(H268+I268&gt;N(F268)+G268,"ABNORMAL",IF(COUNTIFS($A$2:$A$2001,A268,$B$2:$B$2001,B268,$C$2:$C$2001,C268,$D$2:$D$2001,D268)&gt;1,"DUPLIKAT","OK"))))</f>
        <v/>
      </c>
    </row>
    <row r="269">
      <c r="A269" s="4" t="n"/>
      <c r="B269" s="5" t="n"/>
      <c r="C269" s="5" t="n"/>
      <c r="D269" s="5" t="n"/>
      <c r="E269" s="6">
        <f>IF(A269="","","B"&amp;TEXT(COUNT($A$2:A269),"00000"))</f>
        <v/>
      </c>
      <c r="F269" s="6">
        <f>IF(OR(C269="",D269=""),"",IFERROR(LOOKUP(2,1/(($C$1:C268=C269)*($D$1:D268=D269)*ISNUMBER($J$1:J268)),$J$1:J268),SUMIFS(Master!$G$2:$G$13,Master!$E$2:$E$13,C269,Master!$F$2:$F$13,D269)))</f>
        <v/>
      </c>
      <c r="G269" s="5" t="n"/>
      <c r="H269" s="5" t="n"/>
      <c r="I269" s="5" t="n"/>
      <c r="J269" s="6">
        <f>IF(OR(F269="",COUNT(G269:I269)&lt;3),"",F269+G269-H269-I269)</f>
        <v/>
      </c>
      <c r="K269" s="6">
        <f>IF(COUNTA(A269:D269,G269:I269)=0,"",IF(COUNTA(A269:D269,G269:I269)&lt;7,"LENGKAPI",IF(H269+I269&gt;N(F269)+G269,"ABNORMAL",IF(COUNTIFS($A$2:$A$2001,A269,$B$2:$B$2001,B269,$C$2:$C$2001,C269,$D$2:$D$2001,D269)&gt;1,"DUPLIKAT","OK"))))</f>
        <v/>
      </c>
    </row>
    <row r="270">
      <c r="A270" s="4" t="n"/>
      <c r="B270" s="5" t="n"/>
      <c r="C270" s="5" t="n"/>
      <c r="D270" s="5" t="n"/>
      <c r="E270" s="6">
        <f>IF(A270="","","B"&amp;TEXT(COUNT($A$2:A270),"00000"))</f>
        <v/>
      </c>
      <c r="F270" s="6">
        <f>IF(OR(C270="",D270=""),"",IFERROR(LOOKUP(2,1/(($C$1:C269=C270)*($D$1:D269=D270)*ISNUMBER($J$1:J269)),$J$1:J269),SUMIFS(Master!$G$2:$G$13,Master!$E$2:$E$13,C270,Master!$F$2:$F$13,D270)))</f>
        <v/>
      </c>
      <c r="G270" s="5" t="n"/>
      <c r="H270" s="5" t="n"/>
      <c r="I270" s="5" t="n"/>
      <c r="J270" s="6">
        <f>IF(OR(F270="",COUNT(G270:I270)&lt;3),"",F270+G270-H270-I270)</f>
        <v/>
      </c>
      <c r="K270" s="6">
        <f>IF(COUNTA(A270:D270,G270:I270)=0,"",IF(COUNTA(A270:D270,G270:I270)&lt;7,"LENGKAPI",IF(H270+I270&gt;N(F270)+G270,"ABNORMAL",IF(COUNTIFS($A$2:$A$2001,A270,$B$2:$B$2001,B270,$C$2:$C$2001,C270,$D$2:$D$2001,D270)&gt;1,"DUPLIKAT","OK"))))</f>
        <v/>
      </c>
    </row>
    <row r="271">
      <c r="A271" s="4" t="n"/>
      <c r="B271" s="5" t="n"/>
      <c r="C271" s="5" t="n"/>
      <c r="D271" s="5" t="n"/>
      <c r="E271" s="6">
        <f>IF(A271="","","B"&amp;TEXT(COUNT($A$2:A271),"00000"))</f>
        <v/>
      </c>
      <c r="F271" s="6">
        <f>IF(OR(C271="",D271=""),"",IFERROR(LOOKUP(2,1/(($C$1:C270=C271)*($D$1:D270=D271)*ISNUMBER($J$1:J270)),$J$1:J270),SUMIFS(Master!$G$2:$G$13,Master!$E$2:$E$13,C271,Master!$F$2:$F$13,D271)))</f>
        <v/>
      </c>
      <c r="G271" s="5" t="n"/>
      <c r="H271" s="5" t="n"/>
      <c r="I271" s="5" t="n"/>
      <c r="J271" s="6">
        <f>IF(OR(F271="",COUNT(G271:I271)&lt;3),"",F271+G271-H271-I271)</f>
        <v/>
      </c>
      <c r="K271" s="6">
        <f>IF(COUNTA(A271:D271,G271:I271)=0,"",IF(COUNTA(A271:D271,G271:I271)&lt;7,"LENGKAPI",IF(H271+I271&gt;N(F271)+G271,"ABNORMAL",IF(COUNTIFS($A$2:$A$2001,A271,$B$2:$B$2001,B271,$C$2:$C$2001,C271,$D$2:$D$2001,D271)&gt;1,"DUPLIKAT","OK"))))</f>
        <v/>
      </c>
    </row>
    <row r="272">
      <c r="A272" s="4" t="n"/>
      <c r="B272" s="5" t="n"/>
      <c r="C272" s="5" t="n"/>
      <c r="D272" s="5" t="n"/>
      <c r="E272" s="6">
        <f>IF(A272="","","B"&amp;TEXT(COUNT($A$2:A272),"00000"))</f>
        <v/>
      </c>
      <c r="F272" s="6">
        <f>IF(OR(C272="",D272=""),"",IFERROR(LOOKUP(2,1/(($C$1:C271=C272)*($D$1:D271=D272)*ISNUMBER($J$1:J271)),$J$1:J271),SUMIFS(Master!$G$2:$G$13,Master!$E$2:$E$13,C272,Master!$F$2:$F$13,D272)))</f>
        <v/>
      </c>
      <c r="G272" s="5" t="n"/>
      <c r="H272" s="5" t="n"/>
      <c r="I272" s="5" t="n"/>
      <c r="J272" s="6">
        <f>IF(OR(F272="",COUNT(G272:I272)&lt;3),"",F272+G272-H272-I272)</f>
        <v/>
      </c>
      <c r="K272" s="6">
        <f>IF(COUNTA(A272:D272,G272:I272)=0,"",IF(COUNTA(A272:D272,G272:I272)&lt;7,"LENGKAPI",IF(H272+I272&gt;N(F272)+G272,"ABNORMAL",IF(COUNTIFS($A$2:$A$2001,A272,$B$2:$B$2001,B272,$C$2:$C$2001,C272,$D$2:$D$2001,D272)&gt;1,"DUPLIKAT","OK"))))</f>
        <v/>
      </c>
    </row>
    <row r="273">
      <c r="A273" s="4" t="n"/>
      <c r="B273" s="5" t="n"/>
      <c r="C273" s="5" t="n"/>
      <c r="D273" s="5" t="n"/>
      <c r="E273" s="6">
        <f>IF(A273="","","B"&amp;TEXT(COUNT($A$2:A273),"00000"))</f>
        <v/>
      </c>
      <c r="F273" s="6">
        <f>IF(OR(C273="",D273=""),"",IFERROR(LOOKUP(2,1/(($C$1:C272=C273)*($D$1:D272=D273)*ISNUMBER($J$1:J272)),$J$1:J272),SUMIFS(Master!$G$2:$G$13,Master!$E$2:$E$13,C273,Master!$F$2:$F$13,D273)))</f>
        <v/>
      </c>
      <c r="G273" s="5" t="n"/>
      <c r="H273" s="5" t="n"/>
      <c r="I273" s="5" t="n"/>
      <c r="J273" s="6">
        <f>IF(OR(F273="",COUNT(G273:I273)&lt;3),"",F273+G273-H273-I273)</f>
        <v/>
      </c>
      <c r="K273" s="6">
        <f>IF(COUNTA(A273:D273,G273:I273)=0,"",IF(COUNTA(A273:D273,G273:I273)&lt;7,"LENGKAPI",IF(H273+I273&gt;N(F273)+G273,"ABNORMAL",IF(COUNTIFS($A$2:$A$2001,A273,$B$2:$B$2001,B273,$C$2:$C$2001,C273,$D$2:$D$2001,D273)&gt;1,"DUPLIKAT","OK"))))</f>
        <v/>
      </c>
    </row>
    <row r="274">
      <c r="A274" s="4" t="n"/>
      <c r="B274" s="5" t="n"/>
      <c r="C274" s="5" t="n"/>
      <c r="D274" s="5" t="n"/>
      <c r="E274" s="6">
        <f>IF(A274="","","B"&amp;TEXT(COUNT($A$2:A274),"00000"))</f>
        <v/>
      </c>
      <c r="F274" s="6">
        <f>IF(OR(C274="",D274=""),"",IFERROR(LOOKUP(2,1/(($C$1:C273=C274)*($D$1:D273=D274)*ISNUMBER($J$1:J273)),$J$1:J273),SUMIFS(Master!$G$2:$G$13,Master!$E$2:$E$13,C274,Master!$F$2:$F$13,D274)))</f>
        <v/>
      </c>
      <c r="G274" s="5" t="n"/>
      <c r="H274" s="5" t="n"/>
      <c r="I274" s="5" t="n"/>
      <c r="J274" s="6">
        <f>IF(OR(F274="",COUNT(G274:I274)&lt;3),"",F274+G274-H274-I274)</f>
        <v/>
      </c>
      <c r="K274" s="6">
        <f>IF(COUNTA(A274:D274,G274:I274)=0,"",IF(COUNTA(A274:D274,G274:I274)&lt;7,"LENGKAPI",IF(H274+I274&gt;N(F274)+G274,"ABNORMAL",IF(COUNTIFS($A$2:$A$2001,A274,$B$2:$B$2001,B274,$C$2:$C$2001,C274,$D$2:$D$2001,D274)&gt;1,"DUPLIKAT","OK"))))</f>
        <v/>
      </c>
    </row>
    <row r="275">
      <c r="A275" s="4" t="n"/>
      <c r="B275" s="5" t="n"/>
      <c r="C275" s="5" t="n"/>
      <c r="D275" s="5" t="n"/>
      <c r="E275" s="6">
        <f>IF(A275="","","B"&amp;TEXT(COUNT($A$2:A275),"00000"))</f>
        <v/>
      </c>
      <c r="F275" s="6">
        <f>IF(OR(C275="",D275=""),"",IFERROR(LOOKUP(2,1/(($C$1:C274=C275)*($D$1:D274=D275)*ISNUMBER($J$1:J274)),$J$1:J274),SUMIFS(Master!$G$2:$G$13,Master!$E$2:$E$13,C275,Master!$F$2:$F$13,D275)))</f>
        <v/>
      </c>
      <c r="G275" s="5" t="n"/>
      <c r="H275" s="5" t="n"/>
      <c r="I275" s="5" t="n"/>
      <c r="J275" s="6">
        <f>IF(OR(F275="",COUNT(G275:I275)&lt;3),"",F275+G275-H275-I275)</f>
        <v/>
      </c>
      <c r="K275" s="6">
        <f>IF(COUNTA(A275:D275,G275:I275)=0,"",IF(COUNTA(A275:D275,G275:I275)&lt;7,"LENGKAPI",IF(H275+I275&gt;N(F275)+G275,"ABNORMAL",IF(COUNTIFS($A$2:$A$2001,A275,$B$2:$B$2001,B275,$C$2:$C$2001,C275,$D$2:$D$2001,D275)&gt;1,"DUPLIKAT","OK"))))</f>
        <v/>
      </c>
    </row>
    <row r="276">
      <c r="A276" s="4" t="n"/>
      <c r="B276" s="5" t="n"/>
      <c r="C276" s="5" t="n"/>
      <c r="D276" s="5" t="n"/>
      <c r="E276" s="6">
        <f>IF(A276="","","B"&amp;TEXT(COUNT($A$2:A276),"00000"))</f>
        <v/>
      </c>
      <c r="F276" s="6">
        <f>IF(OR(C276="",D276=""),"",IFERROR(LOOKUP(2,1/(($C$1:C275=C276)*($D$1:D275=D276)*ISNUMBER($J$1:J275)),$J$1:J275),SUMIFS(Master!$G$2:$G$13,Master!$E$2:$E$13,C276,Master!$F$2:$F$13,D276)))</f>
        <v/>
      </c>
      <c r="G276" s="5" t="n"/>
      <c r="H276" s="5" t="n"/>
      <c r="I276" s="5" t="n"/>
      <c r="J276" s="6">
        <f>IF(OR(F276="",COUNT(G276:I276)&lt;3),"",F276+G276-H276-I276)</f>
        <v/>
      </c>
      <c r="K276" s="6">
        <f>IF(COUNTA(A276:D276,G276:I276)=0,"",IF(COUNTA(A276:D276,G276:I276)&lt;7,"LENGKAPI",IF(H276+I276&gt;N(F276)+G276,"ABNORMAL",IF(COUNTIFS($A$2:$A$2001,A276,$B$2:$B$2001,B276,$C$2:$C$2001,C276,$D$2:$D$2001,D276)&gt;1,"DUPLIKAT","OK"))))</f>
        <v/>
      </c>
    </row>
    <row r="277">
      <c r="A277" s="4" t="n"/>
      <c r="B277" s="5" t="n"/>
      <c r="C277" s="5" t="n"/>
      <c r="D277" s="5" t="n"/>
      <c r="E277" s="6">
        <f>IF(A277="","","B"&amp;TEXT(COUNT($A$2:A277),"00000"))</f>
        <v/>
      </c>
      <c r="F277" s="6">
        <f>IF(OR(C277="",D277=""),"",IFERROR(LOOKUP(2,1/(($C$1:C276=C277)*($D$1:D276=D277)*ISNUMBER($J$1:J276)),$J$1:J276),SUMIFS(Master!$G$2:$G$13,Master!$E$2:$E$13,C277,Master!$F$2:$F$13,D277)))</f>
        <v/>
      </c>
      <c r="G277" s="5" t="n"/>
      <c r="H277" s="5" t="n"/>
      <c r="I277" s="5" t="n"/>
      <c r="J277" s="6">
        <f>IF(OR(F277="",COUNT(G277:I277)&lt;3),"",F277+G277-H277-I277)</f>
        <v/>
      </c>
      <c r="K277" s="6">
        <f>IF(COUNTA(A277:D277,G277:I277)=0,"",IF(COUNTA(A277:D277,G277:I277)&lt;7,"LENGKAPI",IF(H277+I277&gt;N(F277)+G277,"ABNORMAL",IF(COUNTIFS($A$2:$A$2001,A277,$B$2:$B$2001,B277,$C$2:$C$2001,C277,$D$2:$D$2001,D277)&gt;1,"DUPLIKAT","OK"))))</f>
        <v/>
      </c>
    </row>
    <row r="278">
      <c r="A278" s="4" t="n"/>
      <c r="B278" s="5" t="n"/>
      <c r="C278" s="5" t="n"/>
      <c r="D278" s="5" t="n"/>
      <c r="E278" s="6">
        <f>IF(A278="","","B"&amp;TEXT(COUNT($A$2:A278),"00000"))</f>
        <v/>
      </c>
      <c r="F278" s="6">
        <f>IF(OR(C278="",D278=""),"",IFERROR(LOOKUP(2,1/(($C$1:C277=C278)*($D$1:D277=D278)*ISNUMBER($J$1:J277)),$J$1:J277),SUMIFS(Master!$G$2:$G$13,Master!$E$2:$E$13,C278,Master!$F$2:$F$13,D278)))</f>
        <v/>
      </c>
      <c r="G278" s="5" t="n"/>
      <c r="H278" s="5" t="n"/>
      <c r="I278" s="5" t="n"/>
      <c r="J278" s="6">
        <f>IF(OR(F278="",COUNT(G278:I278)&lt;3),"",F278+G278-H278-I278)</f>
        <v/>
      </c>
      <c r="K278" s="6">
        <f>IF(COUNTA(A278:D278,G278:I278)=0,"",IF(COUNTA(A278:D278,G278:I278)&lt;7,"LENGKAPI",IF(H278+I278&gt;N(F278)+G278,"ABNORMAL",IF(COUNTIFS($A$2:$A$2001,A278,$B$2:$B$2001,B278,$C$2:$C$2001,C278,$D$2:$D$2001,D278)&gt;1,"DUPLIKAT","OK"))))</f>
        <v/>
      </c>
    </row>
    <row r="279">
      <c r="A279" s="4" t="n"/>
      <c r="B279" s="5" t="n"/>
      <c r="C279" s="5" t="n"/>
      <c r="D279" s="5" t="n"/>
      <c r="E279" s="6">
        <f>IF(A279="","","B"&amp;TEXT(COUNT($A$2:A279),"00000"))</f>
        <v/>
      </c>
      <c r="F279" s="6">
        <f>IF(OR(C279="",D279=""),"",IFERROR(LOOKUP(2,1/(($C$1:C278=C279)*($D$1:D278=D279)*ISNUMBER($J$1:J278)),$J$1:J278),SUMIFS(Master!$G$2:$G$13,Master!$E$2:$E$13,C279,Master!$F$2:$F$13,D279)))</f>
        <v/>
      </c>
      <c r="G279" s="5" t="n"/>
      <c r="H279" s="5" t="n"/>
      <c r="I279" s="5" t="n"/>
      <c r="J279" s="6">
        <f>IF(OR(F279="",COUNT(G279:I279)&lt;3),"",F279+G279-H279-I279)</f>
        <v/>
      </c>
      <c r="K279" s="6">
        <f>IF(COUNTA(A279:D279,G279:I279)=0,"",IF(COUNTA(A279:D279,G279:I279)&lt;7,"LENGKAPI",IF(H279+I279&gt;N(F279)+G279,"ABNORMAL",IF(COUNTIFS($A$2:$A$2001,A279,$B$2:$B$2001,B279,$C$2:$C$2001,C279,$D$2:$D$2001,D279)&gt;1,"DUPLIKAT","OK"))))</f>
        <v/>
      </c>
    </row>
    <row r="280">
      <c r="A280" s="4" t="n"/>
      <c r="B280" s="5" t="n"/>
      <c r="C280" s="5" t="n"/>
      <c r="D280" s="5" t="n"/>
      <c r="E280" s="6">
        <f>IF(A280="","","B"&amp;TEXT(COUNT($A$2:A280),"00000"))</f>
        <v/>
      </c>
      <c r="F280" s="6">
        <f>IF(OR(C280="",D280=""),"",IFERROR(LOOKUP(2,1/(($C$1:C279=C280)*($D$1:D279=D280)*ISNUMBER($J$1:J279)),$J$1:J279),SUMIFS(Master!$G$2:$G$13,Master!$E$2:$E$13,C280,Master!$F$2:$F$13,D280)))</f>
        <v/>
      </c>
      <c r="G280" s="5" t="n"/>
      <c r="H280" s="5" t="n"/>
      <c r="I280" s="5" t="n"/>
      <c r="J280" s="6">
        <f>IF(OR(F280="",COUNT(G280:I280)&lt;3),"",F280+G280-H280-I280)</f>
        <v/>
      </c>
      <c r="K280" s="6">
        <f>IF(COUNTA(A280:D280,G280:I280)=0,"",IF(COUNTA(A280:D280,G280:I280)&lt;7,"LENGKAPI",IF(H280+I280&gt;N(F280)+G280,"ABNORMAL",IF(COUNTIFS($A$2:$A$2001,A280,$B$2:$B$2001,B280,$C$2:$C$2001,C280,$D$2:$D$2001,D280)&gt;1,"DUPLIKAT","OK"))))</f>
        <v/>
      </c>
    </row>
    <row r="281">
      <c r="A281" s="4" t="n"/>
      <c r="B281" s="5" t="n"/>
      <c r="C281" s="5" t="n"/>
      <c r="D281" s="5" t="n"/>
      <c r="E281" s="6">
        <f>IF(A281="","","B"&amp;TEXT(COUNT($A$2:A281),"00000"))</f>
        <v/>
      </c>
      <c r="F281" s="6">
        <f>IF(OR(C281="",D281=""),"",IFERROR(LOOKUP(2,1/(($C$1:C280=C281)*($D$1:D280=D281)*ISNUMBER($J$1:J280)),$J$1:J280),SUMIFS(Master!$G$2:$G$13,Master!$E$2:$E$13,C281,Master!$F$2:$F$13,D281)))</f>
        <v/>
      </c>
      <c r="G281" s="5" t="n"/>
      <c r="H281" s="5" t="n"/>
      <c r="I281" s="5" t="n"/>
      <c r="J281" s="6">
        <f>IF(OR(F281="",COUNT(G281:I281)&lt;3),"",F281+G281-H281-I281)</f>
        <v/>
      </c>
      <c r="K281" s="6">
        <f>IF(COUNTA(A281:D281,G281:I281)=0,"",IF(COUNTA(A281:D281,G281:I281)&lt;7,"LENGKAPI",IF(H281+I281&gt;N(F281)+G281,"ABNORMAL",IF(COUNTIFS($A$2:$A$2001,A281,$B$2:$B$2001,B281,$C$2:$C$2001,C281,$D$2:$D$2001,D281)&gt;1,"DUPLIKAT","OK"))))</f>
        <v/>
      </c>
    </row>
    <row r="282">
      <c r="A282" s="4" t="n"/>
      <c r="B282" s="5" t="n"/>
      <c r="C282" s="5" t="n"/>
      <c r="D282" s="5" t="n"/>
      <c r="E282" s="6">
        <f>IF(A282="","","B"&amp;TEXT(COUNT($A$2:A282),"00000"))</f>
        <v/>
      </c>
      <c r="F282" s="6">
        <f>IF(OR(C282="",D282=""),"",IFERROR(LOOKUP(2,1/(($C$1:C281=C282)*($D$1:D281=D282)*ISNUMBER($J$1:J281)),$J$1:J281),SUMIFS(Master!$G$2:$G$13,Master!$E$2:$E$13,C282,Master!$F$2:$F$13,D282)))</f>
        <v/>
      </c>
      <c r="G282" s="5" t="n"/>
      <c r="H282" s="5" t="n"/>
      <c r="I282" s="5" t="n"/>
      <c r="J282" s="6">
        <f>IF(OR(F282="",COUNT(G282:I282)&lt;3),"",F282+G282-H282-I282)</f>
        <v/>
      </c>
      <c r="K282" s="6">
        <f>IF(COUNTA(A282:D282,G282:I282)=0,"",IF(COUNTA(A282:D282,G282:I282)&lt;7,"LENGKAPI",IF(H282+I282&gt;N(F282)+G282,"ABNORMAL",IF(COUNTIFS($A$2:$A$2001,A282,$B$2:$B$2001,B282,$C$2:$C$2001,C282,$D$2:$D$2001,D282)&gt;1,"DUPLIKAT","OK"))))</f>
        <v/>
      </c>
    </row>
    <row r="283">
      <c r="A283" s="4" t="n"/>
      <c r="B283" s="5" t="n"/>
      <c r="C283" s="5" t="n"/>
      <c r="D283" s="5" t="n"/>
      <c r="E283" s="6">
        <f>IF(A283="","","B"&amp;TEXT(COUNT($A$2:A283),"00000"))</f>
        <v/>
      </c>
      <c r="F283" s="6">
        <f>IF(OR(C283="",D283=""),"",IFERROR(LOOKUP(2,1/(($C$1:C282=C283)*($D$1:D282=D283)*ISNUMBER($J$1:J282)),$J$1:J282),SUMIFS(Master!$G$2:$G$13,Master!$E$2:$E$13,C283,Master!$F$2:$F$13,D283)))</f>
        <v/>
      </c>
      <c r="G283" s="5" t="n"/>
      <c r="H283" s="5" t="n"/>
      <c r="I283" s="5" t="n"/>
      <c r="J283" s="6">
        <f>IF(OR(F283="",COUNT(G283:I283)&lt;3),"",F283+G283-H283-I283)</f>
        <v/>
      </c>
      <c r="K283" s="6">
        <f>IF(COUNTA(A283:D283,G283:I283)=0,"",IF(COUNTA(A283:D283,G283:I283)&lt;7,"LENGKAPI",IF(H283+I283&gt;N(F283)+G283,"ABNORMAL",IF(COUNTIFS($A$2:$A$2001,A283,$B$2:$B$2001,B283,$C$2:$C$2001,C283,$D$2:$D$2001,D283)&gt;1,"DUPLIKAT","OK"))))</f>
        <v/>
      </c>
    </row>
    <row r="284">
      <c r="A284" s="4" t="n"/>
      <c r="B284" s="5" t="n"/>
      <c r="C284" s="5" t="n"/>
      <c r="D284" s="5" t="n"/>
      <c r="E284" s="6">
        <f>IF(A284="","","B"&amp;TEXT(COUNT($A$2:A284),"00000"))</f>
        <v/>
      </c>
      <c r="F284" s="6">
        <f>IF(OR(C284="",D284=""),"",IFERROR(LOOKUP(2,1/(($C$1:C283=C284)*($D$1:D283=D284)*ISNUMBER($J$1:J283)),$J$1:J283),SUMIFS(Master!$G$2:$G$13,Master!$E$2:$E$13,C284,Master!$F$2:$F$13,D284)))</f>
        <v/>
      </c>
      <c r="G284" s="5" t="n"/>
      <c r="H284" s="5" t="n"/>
      <c r="I284" s="5" t="n"/>
      <c r="J284" s="6">
        <f>IF(OR(F284="",COUNT(G284:I284)&lt;3),"",F284+G284-H284-I284)</f>
        <v/>
      </c>
      <c r="K284" s="6">
        <f>IF(COUNTA(A284:D284,G284:I284)=0,"",IF(COUNTA(A284:D284,G284:I284)&lt;7,"LENGKAPI",IF(H284+I284&gt;N(F284)+G284,"ABNORMAL",IF(COUNTIFS($A$2:$A$2001,A284,$B$2:$B$2001,B284,$C$2:$C$2001,C284,$D$2:$D$2001,D284)&gt;1,"DUPLIKAT","OK"))))</f>
        <v/>
      </c>
    </row>
    <row r="285">
      <c r="A285" s="4" t="n"/>
      <c r="B285" s="5" t="n"/>
      <c r="C285" s="5" t="n"/>
      <c r="D285" s="5" t="n"/>
      <c r="E285" s="6">
        <f>IF(A285="","","B"&amp;TEXT(COUNT($A$2:A285),"00000"))</f>
        <v/>
      </c>
      <c r="F285" s="6">
        <f>IF(OR(C285="",D285=""),"",IFERROR(LOOKUP(2,1/(($C$1:C284=C285)*($D$1:D284=D285)*ISNUMBER($J$1:J284)),$J$1:J284),SUMIFS(Master!$G$2:$G$13,Master!$E$2:$E$13,C285,Master!$F$2:$F$13,D285)))</f>
        <v/>
      </c>
      <c r="G285" s="5" t="n"/>
      <c r="H285" s="5" t="n"/>
      <c r="I285" s="5" t="n"/>
      <c r="J285" s="6">
        <f>IF(OR(F285="",COUNT(G285:I285)&lt;3),"",F285+G285-H285-I285)</f>
        <v/>
      </c>
      <c r="K285" s="6">
        <f>IF(COUNTA(A285:D285,G285:I285)=0,"",IF(COUNTA(A285:D285,G285:I285)&lt;7,"LENGKAPI",IF(H285+I285&gt;N(F285)+G285,"ABNORMAL",IF(COUNTIFS($A$2:$A$2001,A285,$B$2:$B$2001,B285,$C$2:$C$2001,C285,$D$2:$D$2001,D285)&gt;1,"DUPLIKAT","OK"))))</f>
        <v/>
      </c>
    </row>
    <row r="286">
      <c r="A286" s="4" t="n"/>
      <c r="B286" s="5" t="n"/>
      <c r="C286" s="5" t="n"/>
      <c r="D286" s="5" t="n"/>
      <c r="E286" s="6">
        <f>IF(A286="","","B"&amp;TEXT(COUNT($A$2:A286),"00000"))</f>
        <v/>
      </c>
      <c r="F286" s="6">
        <f>IF(OR(C286="",D286=""),"",IFERROR(LOOKUP(2,1/(($C$1:C285=C286)*($D$1:D285=D286)*ISNUMBER($J$1:J285)),$J$1:J285),SUMIFS(Master!$G$2:$G$13,Master!$E$2:$E$13,C286,Master!$F$2:$F$13,D286)))</f>
        <v/>
      </c>
      <c r="G286" s="5" t="n"/>
      <c r="H286" s="5" t="n"/>
      <c r="I286" s="5" t="n"/>
      <c r="J286" s="6">
        <f>IF(OR(F286="",COUNT(G286:I286)&lt;3),"",F286+G286-H286-I286)</f>
        <v/>
      </c>
      <c r="K286" s="6">
        <f>IF(COUNTA(A286:D286,G286:I286)=0,"",IF(COUNTA(A286:D286,G286:I286)&lt;7,"LENGKAPI",IF(H286+I286&gt;N(F286)+G286,"ABNORMAL",IF(COUNTIFS($A$2:$A$2001,A286,$B$2:$B$2001,B286,$C$2:$C$2001,C286,$D$2:$D$2001,D286)&gt;1,"DUPLIKAT","OK"))))</f>
        <v/>
      </c>
    </row>
    <row r="287">
      <c r="A287" s="4" t="n"/>
      <c r="B287" s="5" t="n"/>
      <c r="C287" s="5" t="n"/>
      <c r="D287" s="5" t="n"/>
      <c r="E287" s="6">
        <f>IF(A287="","","B"&amp;TEXT(COUNT($A$2:A287),"00000"))</f>
        <v/>
      </c>
      <c r="F287" s="6">
        <f>IF(OR(C287="",D287=""),"",IFERROR(LOOKUP(2,1/(($C$1:C286=C287)*($D$1:D286=D287)*ISNUMBER($J$1:J286)),$J$1:J286),SUMIFS(Master!$G$2:$G$13,Master!$E$2:$E$13,C287,Master!$F$2:$F$13,D287)))</f>
        <v/>
      </c>
      <c r="G287" s="5" t="n"/>
      <c r="H287" s="5" t="n"/>
      <c r="I287" s="5" t="n"/>
      <c r="J287" s="6">
        <f>IF(OR(F287="",COUNT(G287:I287)&lt;3),"",F287+G287-H287-I287)</f>
        <v/>
      </c>
      <c r="K287" s="6">
        <f>IF(COUNTA(A287:D287,G287:I287)=0,"",IF(COUNTA(A287:D287,G287:I287)&lt;7,"LENGKAPI",IF(H287+I287&gt;N(F287)+G287,"ABNORMAL",IF(COUNTIFS($A$2:$A$2001,A287,$B$2:$B$2001,B287,$C$2:$C$2001,C287,$D$2:$D$2001,D287)&gt;1,"DUPLIKAT","OK"))))</f>
        <v/>
      </c>
    </row>
    <row r="288">
      <c r="A288" s="4" t="n"/>
      <c r="B288" s="5" t="n"/>
      <c r="C288" s="5" t="n"/>
      <c r="D288" s="5" t="n"/>
      <c r="E288" s="6">
        <f>IF(A288="","","B"&amp;TEXT(COUNT($A$2:A288),"00000"))</f>
        <v/>
      </c>
      <c r="F288" s="6">
        <f>IF(OR(C288="",D288=""),"",IFERROR(LOOKUP(2,1/(($C$1:C287=C288)*($D$1:D287=D288)*ISNUMBER($J$1:J287)),$J$1:J287),SUMIFS(Master!$G$2:$G$13,Master!$E$2:$E$13,C288,Master!$F$2:$F$13,D288)))</f>
        <v/>
      </c>
      <c r="G288" s="5" t="n"/>
      <c r="H288" s="5" t="n"/>
      <c r="I288" s="5" t="n"/>
      <c r="J288" s="6">
        <f>IF(OR(F288="",COUNT(G288:I288)&lt;3),"",F288+G288-H288-I288)</f>
        <v/>
      </c>
      <c r="K288" s="6">
        <f>IF(COUNTA(A288:D288,G288:I288)=0,"",IF(COUNTA(A288:D288,G288:I288)&lt;7,"LENGKAPI",IF(H288+I288&gt;N(F288)+G288,"ABNORMAL",IF(COUNTIFS($A$2:$A$2001,A288,$B$2:$B$2001,B288,$C$2:$C$2001,C288,$D$2:$D$2001,D288)&gt;1,"DUPLIKAT","OK"))))</f>
        <v/>
      </c>
    </row>
    <row r="289">
      <c r="A289" s="4" t="n"/>
      <c r="B289" s="5" t="n"/>
      <c r="C289" s="5" t="n"/>
      <c r="D289" s="5" t="n"/>
      <c r="E289" s="6">
        <f>IF(A289="","","B"&amp;TEXT(COUNT($A$2:A289),"00000"))</f>
        <v/>
      </c>
      <c r="F289" s="6">
        <f>IF(OR(C289="",D289=""),"",IFERROR(LOOKUP(2,1/(($C$1:C288=C289)*($D$1:D288=D289)*ISNUMBER($J$1:J288)),$J$1:J288),SUMIFS(Master!$G$2:$G$13,Master!$E$2:$E$13,C289,Master!$F$2:$F$13,D289)))</f>
        <v/>
      </c>
      <c r="G289" s="5" t="n"/>
      <c r="H289" s="5" t="n"/>
      <c r="I289" s="5" t="n"/>
      <c r="J289" s="6">
        <f>IF(OR(F289="",COUNT(G289:I289)&lt;3),"",F289+G289-H289-I289)</f>
        <v/>
      </c>
      <c r="K289" s="6">
        <f>IF(COUNTA(A289:D289,G289:I289)=0,"",IF(COUNTA(A289:D289,G289:I289)&lt;7,"LENGKAPI",IF(H289+I289&gt;N(F289)+G289,"ABNORMAL",IF(COUNTIFS($A$2:$A$2001,A289,$B$2:$B$2001,B289,$C$2:$C$2001,C289,$D$2:$D$2001,D289)&gt;1,"DUPLIKAT","OK"))))</f>
        <v/>
      </c>
    </row>
    <row r="290">
      <c r="A290" s="4" t="n"/>
      <c r="B290" s="5" t="n"/>
      <c r="C290" s="5" t="n"/>
      <c r="D290" s="5" t="n"/>
      <c r="E290" s="6">
        <f>IF(A290="","","B"&amp;TEXT(COUNT($A$2:A290),"00000"))</f>
        <v/>
      </c>
      <c r="F290" s="6">
        <f>IF(OR(C290="",D290=""),"",IFERROR(LOOKUP(2,1/(($C$1:C289=C290)*($D$1:D289=D290)*ISNUMBER($J$1:J289)),$J$1:J289),SUMIFS(Master!$G$2:$G$13,Master!$E$2:$E$13,C290,Master!$F$2:$F$13,D290)))</f>
        <v/>
      </c>
      <c r="G290" s="5" t="n"/>
      <c r="H290" s="5" t="n"/>
      <c r="I290" s="5" t="n"/>
      <c r="J290" s="6">
        <f>IF(OR(F290="",COUNT(G290:I290)&lt;3),"",F290+G290-H290-I290)</f>
        <v/>
      </c>
      <c r="K290" s="6">
        <f>IF(COUNTA(A290:D290,G290:I290)=0,"",IF(COUNTA(A290:D290,G290:I290)&lt;7,"LENGKAPI",IF(H290+I290&gt;N(F290)+G290,"ABNORMAL",IF(COUNTIFS($A$2:$A$2001,A290,$B$2:$B$2001,B290,$C$2:$C$2001,C290,$D$2:$D$2001,D290)&gt;1,"DUPLIKAT","OK"))))</f>
        <v/>
      </c>
    </row>
    <row r="291">
      <c r="A291" s="4" t="n"/>
      <c r="B291" s="5" t="n"/>
      <c r="C291" s="5" t="n"/>
      <c r="D291" s="5" t="n"/>
      <c r="E291" s="6">
        <f>IF(A291="","","B"&amp;TEXT(COUNT($A$2:A291),"00000"))</f>
        <v/>
      </c>
      <c r="F291" s="6">
        <f>IF(OR(C291="",D291=""),"",IFERROR(LOOKUP(2,1/(($C$1:C290=C291)*($D$1:D290=D291)*ISNUMBER($J$1:J290)),$J$1:J290),SUMIFS(Master!$G$2:$G$13,Master!$E$2:$E$13,C291,Master!$F$2:$F$13,D291)))</f>
        <v/>
      </c>
      <c r="G291" s="5" t="n"/>
      <c r="H291" s="5" t="n"/>
      <c r="I291" s="5" t="n"/>
      <c r="J291" s="6">
        <f>IF(OR(F291="",COUNT(G291:I291)&lt;3),"",F291+G291-H291-I291)</f>
        <v/>
      </c>
      <c r="K291" s="6">
        <f>IF(COUNTA(A291:D291,G291:I291)=0,"",IF(COUNTA(A291:D291,G291:I291)&lt;7,"LENGKAPI",IF(H291+I291&gt;N(F291)+G291,"ABNORMAL",IF(COUNTIFS($A$2:$A$2001,A291,$B$2:$B$2001,B291,$C$2:$C$2001,C291,$D$2:$D$2001,D291)&gt;1,"DUPLIKAT","OK"))))</f>
        <v/>
      </c>
    </row>
    <row r="292">
      <c r="A292" s="4" t="n"/>
      <c r="B292" s="5" t="n"/>
      <c r="C292" s="5" t="n"/>
      <c r="D292" s="5" t="n"/>
      <c r="E292" s="6">
        <f>IF(A292="","","B"&amp;TEXT(COUNT($A$2:A292),"00000"))</f>
        <v/>
      </c>
      <c r="F292" s="6">
        <f>IF(OR(C292="",D292=""),"",IFERROR(LOOKUP(2,1/(($C$1:C291=C292)*($D$1:D291=D292)*ISNUMBER($J$1:J291)),$J$1:J291),SUMIFS(Master!$G$2:$G$13,Master!$E$2:$E$13,C292,Master!$F$2:$F$13,D292)))</f>
        <v/>
      </c>
      <c r="G292" s="5" t="n"/>
      <c r="H292" s="5" t="n"/>
      <c r="I292" s="5" t="n"/>
      <c r="J292" s="6">
        <f>IF(OR(F292="",COUNT(G292:I292)&lt;3),"",F292+G292-H292-I292)</f>
        <v/>
      </c>
      <c r="K292" s="6">
        <f>IF(COUNTA(A292:D292,G292:I292)=0,"",IF(COUNTA(A292:D292,G292:I292)&lt;7,"LENGKAPI",IF(H292+I292&gt;N(F292)+G292,"ABNORMAL",IF(COUNTIFS($A$2:$A$2001,A292,$B$2:$B$2001,B292,$C$2:$C$2001,C292,$D$2:$D$2001,D292)&gt;1,"DUPLIKAT","OK"))))</f>
        <v/>
      </c>
    </row>
    <row r="293">
      <c r="A293" s="4" t="n"/>
      <c r="B293" s="5" t="n"/>
      <c r="C293" s="5" t="n"/>
      <c r="D293" s="5" t="n"/>
      <c r="E293" s="6">
        <f>IF(A293="","","B"&amp;TEXT(COUNT($A$2:A293),"00000"))</f>
        <v/>
      </c>
      <c r="F293" s="6">
        <f>IF(OR(C293="",D293=""),"",IFERROR(LOOKUP(2,1/(($C$1:C292=C293)*($D$1:D292=D293)*ISNUMBER($J$1:J292)),$J$1:J292),SUMIFS(Master!$G$2:$G$13,Master!$E$2:$E$13,C293,Master!$F$2:$F$13,D293)))</f>
        <v/>
      </c>
      <c r="G293" s="5" t="n"/>
      <c r="H293" s="5" t="n"/>
      <c r="I293" s="5" t="n"/>
      <c r="J293" s="6">
        <f>IF(OR(F293="",COUNT(G293:I293)&lt;3),"",F293+G293-H293-I293)</f>
        <v/>
      </c>
      <c r="K293" s="6">
        <f>IF(COUNTA(A293:D293,G293:I293)=0,"",IF(COUNTA(A293:D293,G293:I293)&lt;7,"LENGKAPI",IF(H293+I293&gt;N(F293)+G293,"ABNORMAL",IF(COUNTIFS($A$2:$A$2001,A293,$B$2:$B$2001,B293,$C$2:$C$2001,C293,$D$2:$D$2001,D293)&gt;1,"DUPLIKAT","OK"))))</f>
        <v/>
      </c>
    </row>
    <row r="294">
      <c r="A294" s="4" t="n"/>
      <c r="B294" s="5" t="n"/>
      <c r="C294" s="5" t="n"/>
      <c r="D294" s="5" t="n"/>
      <c r="E294" s="6">
        <f>IF(A294="","","B"&amp;TEXT(COUNT($A$2:A294),"00000"))</f>
        <v/>
      </c>
      <c r="F294" s="6">
        <f>IF(OR(C294="",D294=""),"",IFERROR(LOOKUP(2,1/(($C$1:C293=C294)*($D$1:D293=D294)*ISNUMBER($J$1:J293)),$J$1:J293),SUMIFS(Master!$G$2:$G$13,Master!$E$2:$E$13,C294,Master!$F$2:$F$13,D294)))</f>
        <v/>
      </c>
      <c r="G294" s="5" t="n"/>
      <c r="H294" s="5" t="n"/>
      <c r="I294" s="5" t="n"/>
      <c r="J294" s="6">
        <f>IF(OR(F294="",COUNT(G294:I294)&lt;3),"",F294+G294-H294-I294)</f>
        <v/>
      </c>
      <c r="K294" s="6">
        <f>IF(COUNTA(A294:D294,G294:I294)=0,"",IF(COUNTA(A294:D294,G294:I294)&lt;7,"LENGKAPI",IF(H294+I294&gt;N(F294)+G294,"ABNORMAL",IF(COUNTIFS($A$2:$A$2001,A294,$B$2:$B$2001,B294,$C$2:$C$2001,C294,$D$2:$D$2001,D294)&gt;1,"DUPLIKAT","OK"))))</f>
        <v/>
      </c>
    </row>
    <row r="295">
      <c r="A295" s="4" t="n"/>
      <c r="B295" s="5" t="n"/>
      <c r="C295" s="5" t="n"/>
      <c r="D295" s="5" t="n"/>
      <c r="E295" s="6">
        <f>IF(A295="","","B"&amp;TEXT(COUNT($A$2:A295),"00000"))</f>
        <v/>
      </c>
      <c r="F295" s="6">
        <f>IF(OR(C295="",D295=""),"",IFERROR(LOOKUP(2,1/(($C$1:C294=C295)*($D$1:D294=D295)*ISNUMBER($J$1:J294)),$J$1:J294),SUMIFS(Master!$G$2:$G$13,Master!$E$2:$E$13,C295,Master!$F$2:$F$13,D295)))</f>
        <v/>
      </c>
      <c r="G295" s="5" t="n"/>
      <c r="H295" s="5" t="n"/>
      <c r="I295" s="5" t="n"/>
      <c r="J295" s="6">
        <f>IF(OR(F295="",COUNT(G295:I295)&lt;3),"",F295+G295-H295-I295)</f>
        <v/>
      </c>
      <c r="K295" s="6">
        <f>IF(COUNTA(A295:D295,G295:I295)=0,"",IF(COUNTA(A295:D295,G295:I295)&lt;7,"LENGKAPI",IF(H295+I295&gt;N(F295)+G295,"ABNORMAL",IF(COUNTIFS($A$2:$A$2001,A295,$B$2:$B$2001,B295,$C$2:$C$2001,C295,$D$2:$D$2001,D295)&gt;1,"DUPLIKAT","OK"))))</f>
        <v/>
      </c>
    </row>
    <row r="296">
      <c r="A296" s="4" t="n"/>
      <c r="B296" s="5" t="n"/>
      <c r="C296" s="5" t="n"/>
      <c r="D296" s="5" t="n"/>
      <c r="E296" s="6">
        <f>IF(A296="","","B"&amp;TEXT(COUNT($A$2:A296),"00000"))</f>
        <v/>
      </c>
      <c r="F296" s="6">
        <f>IF(OR(C296="",D296=""),"",IFERROR(LOOKUP(2,1/(($C$1:C295=C296)*($D$1:D295=D296)*ISNUMBER($J$1:J295)),$J$1:J295),SUMIFS(Master!$G$2:$G$13,Master!$E$2:$E$13,C296,Master!$F$2:$F$13,D296)))</f>
        <v/>
      </c>
      <c r="G296" s="5" t="n"/>
      <c r="H296" s="5" t="n"/>
      <c r="I296" s="5" t="n"/>
      <c r="J296" s="6">
        <f>IF(OR(F296="",COUNT(G296:I296)&lt;3),"",F296+G296-H296-I296)</f>
        <v/>
      </c>
      <c r="K296" s="6">
        <f>IF(COUNTA(A296:D296,G296:I296)=0,"",IF(COUNTA(A296:D296,G296:I296)&lt;7,"LENGKAPI",IF(H296+I296&gt;N(F296)+G296,"ABNORMAL",IF(COUNTIFS($A$2:$A$2001,A296,$B$2:$B$2001,B296,$C$2:$C$2001,C296,$D$2:$D$2001,D296)&gt;1,"DUPLIKAT","OK"))))</f>
        <v/>
      </c>
    </row>
    <row r="297">
      <c r="A297" s="4" t="n"/>
      <c r="B297" s="5" t="n"/>
      <c r="C297" s="5" t="n"/>
      <c r="D297" s="5" t="n"/>
      <c r="E297" s="6">
        <f>IF(A297="","","B"&amp;TEXT(COUNT($A$2:A297),"00000"))</f>
        <v/>
      </c>
      <c r="F297" s="6">
        <f>IF(OR(C297="",D297=""),"",IFERROR(LOOKUP(2,1/(($C$1:C296=C297)*($D$1:D296=D297)*ISNUMBER($J$1:J296)),$J$1:J296),SUMIFS(Master!$G$2:$G$13,Master!$E$2:$E$13,C297,Master!$F$2:$F$13,D297)))</f>
        <v/>
      </c>
      <c r="G297" s="5" t="n"/>
      <c r="H297" s="5" t="n"/>
      <c r="I297" s="5" t="n"/>
      <c r="J297" s="6">
        <f>IF(OR(F297="",COUNT(G297:I297)&lt;3),"",F297+G297-H297-I297)</f>
        <v/>
      </c>
      <c r="K297" s="6">
        <f>IF(COUNTA(A297:D297,G297:I297)=0,"",IF(COUNTA(A297:D297,G297:I297)&lt;7,"LENGKAPI",IF(H297+I297&gt;N(F297)+G297,"ABNORMAL",IF(COUNTIFS($A$2:$A$2001,A297,$B$2:$B$2001,B297,$C$2:$C$2001,C297,$D$2:$D$2001,D297)&gt;1,"DUPLIKAT","OK"))))</f>
        <v/>
      </c>
    </row>
    <row r="298">
      <c r="A298" s="4" t="n"/>
      <c r="B298" s="5" t="n"/>
      <c r="C298" s="5" t="n"/>
      <c r="D298" s="5" t="n"/>
      <c r="E298" s="6">
        <f>IF(A298="","","B"&amp;TEXT(COUNT($A$2:A298),"00000"))</f>
        <v/>
      </c>
      <c r="F298" s="6">
        <f>IF(OR(C298="",D298=""),"",IFERROR(LOOKUP(2,1/(($C$1:C297=C298)*($D$1:D297=D298)*ISNUMBER($J$1:J297)),$J$1:J297),SUMIFS(Master!$G$2:$G$13,Master!$E$2:$E$13,C298,Master!$F$2:$F$13,D298)))</f>
        <v/>
      </c>
      <c r="G298" s="5" t="n"/>
      <c r="H298" s="5" t="n"/>
      <c r="I298" s="5" t="n"/>
      <c r="J298" s="6">
        <f>IF(OR(F298="",COUNT(G298:I298)&lt;3),"",F298+G298-H298-I298)</f>
        <v/>
      </c>
      <c r="K298" s="6">
        <f>IF(COUNTA(A298:D298,G298:I298)=0,"",IF(COUNTA(A298:D298,G298:I298)&lt;7,"LENGKAPI",IF(H298+I298&gt;N(F298)+G298,"ABNORMAL",IF(COUNTIFS($A$2:$A$2001,A298,$B$2:$B$2001,B298,$C$2:$C$2001,C298,$D$2:$D$2001,D298)&gt;1,"DUPLIKAT","OK"))))</f>
        <v/>
      </c>
    </row>
    <row r="299">
      <c r="A299" s="4" t="n"/>
      <c r="B299" s="5" t="n"/>
      <c r="C299" s="5" t="n"/>
      <c r="D299" s="5" t="n"/>
      <c r="E299" s="6">
        <f>IF(A299="","","B"&amp;TEXT(COUNT($A$2:A299),"00000"))</f>
        <v/>
      </c>
      <c r="F299" s="6">
        <f>IF(OR(C299="",D299=""),"",IFERROR(LOOKUP(2,1/(($C$1:C298=C299)*($D$1:D298=D299)*ISNUMBER($J$1:J298)),$J$1:J298),SUMIFS(Master!$G$2:$G$13,Master!$E$2:$E$13,C299,Master!$F$2:$F$13,D299)))</f>
        <v/>
      </c>
      <c r="G299" s="5" t="n"/>
      <c r="H299" s="5" t="n"/>
      <c r="I299" s="5" t="n"/>
      <c r="J299" s="6">
        <f>IF(OR(F299="",COUNT(G299:I299)&lt;3),"",F299+G299-H299-I299)</f>
        <v/>
      </c>
      <c r="K299" s="6">
        <f>IF(COUNTA(A299:D299,G299:I299)=0,"",IF(COUNTA(A299:D299,G299:I299)&lt;7,"LENGKAPI",IF(H299+I299&gt;N(F299)+G299,"ABNORMAL",IF(COUNTIFS($A$2:$A$2001,A299,$B$2:$B$2001,B299,$C$2:$C$2001,C299,$D$2:$D$2001,D299)&gt;1,"DUPLIKAT","OK"))))</f>
        <v/>
      </c>
    </row>
    <row r="300">
      <c r="A300" s="4" t="n"/>
      <c r="B300" s="5" t="n"/>
      <c r="C300" s="5" t="n"/>
      <c r="D300" s="5" t="n"/>
      <c r="E300" s="6">
        <f>IF(A300="","","B"&amp;TEXT(COUNT($A$2:A300),"00000"))</f>
        <v/>
      </c>
      <c r="F300" s="6">
        <f>IF(OR(C300="",D300=""),"",IFERROR(LOOKUP(2,1/(($C$1:C299=C300)*($D$1:D299=D300)*ISNUMBER($J$1:J299)),$J$1:J299),SUMIFS(Master!$G$2:$G$13,Master!$E$2:$E$13,C300,Master!$F$2:$F$13,D300)))</f>
        <v/>
      </c>
      <c r="G300" s="5" t="n"/>
      <c r="H300" s="5" t="n"/>
      <c r="I300" s="5" t="n"/>
      <c r="J300" s="6">
        <f>IF(OR(F300="",COUNT(G300:I300)&lt;3),"",F300+G300-H300-I300)</f>
        <v/>
      </c>
      <c r="K300" s="6">
        <f>IF(COUNTA(A300:D300,G300:I300)=0,"",IF(COUNTA(A300:D300,G300:I300)&lt;7,"LENGKAPI",IF(H300+I300&gt;N(F300)+G300,"ABNORMAL",IF(COUNTIFS($A$2:$A$2001,A300,$B$2:$B$2001,B300,$C$2:$C$2001,C300,$D$2:$D$2001,D300)&gt;1,"DUPLIKAT","OK"))))</f>
        <v/>
      </c>
    </row>
    <row r="301">
      <c r="A301" s="4" t="n"/>
      <c r="B301" s="5" t="n"/>
      <c r="C301" s="5" t="n"/>
      <c r="D301" s="5" t="n"/>
      <c r="E301" s="6">
        <f>IF(A301="","","B"&amp;TEXT(COUNT($A$2:A301),"00000"))</f>
        <v/>
      </c>
      <c r="F301" s="6">
        <f>IF(OR(C301="",D301=""),"",IFERROR(LOOKUP(2,1/(($C$1:C300=C301)*($D$1:D300=D301)*ISNUMBER($J$1:J300)),$J$1:J300),SUMIFS(Master!$G$2:$G$13,Master!$E$2:$E$13,C301,Master!$F$2:$F$13,D301)))</f>
        <v/>
      </c>
      <c r="G301" s="5" t="n"/>
      <c r="H301" s="5" t="n"/>
      <c r="I301" s="5" t="n"/>
      <c r="J301" s="6">
        <f>IF(OR(F301="",COUNT(G301:I301)&lt;3),"",F301+G301-H301-I301)</f>
        <v/>
      </c>
      <c r="K301" s="6">
        <f>IF(COUNTA(A301:D301,G301:I301)=0,"",IF(COUNTA(A301:D301,G301:I301)&lt;7,"LENGKAPI",IF(H301+I301&gt;N(F301)+G301,"ABNORMAL",IF(COUNTIFS($A$2:$A$2001,A301,$B$2:$B$2001,B301,$C$2:$C$2001,C301,$D$2:$D$2001,D301)&gt;1,"DUPLIKAT","OK"))))</f>
        <v/>
      </c>
    </row>
    <row r="302">
      <c r="A302" s="4" t="n"/>
      <c r="B302" s="5" t="n"/>
      <c r="C302" s="5" t="n"/>
      <c r="D302" s="5" t="n"/>
      <c r="E302" s="6">
        <f>IF(A302="","","B"&amp;TEXT(COUNT($A$2:A302),"00000"))</f>
        <v/>
      </c>
      <c r="F302" s="6">
        <f>IF(OR(C302="",D302=""),"",IFERROR(LOOKUP(2,1/(($C$1:C301=C302)*($D$1:D301=D302)*ISNUMBER($J$1:J301)),$J$1:J301),SUMIFS(Master!$G$2:$G$13,Master!$E$2:$E$13,C302,Master!$F$2:$F$13,D302)))</f>
        <v/>
      </c>
      <c r="G302" s="5" t="n"/>
      <c r="H302" s="5" t="n"/>
      <c r="I302" s="5" t="n"/>
      <c r="J302" s="6">
        <f>IF(OR(F302="",COUNT(G302:I302)&lt;3),"",F302+G302-H302-I302)</f>
        <v/>
      </c>
      <c r="K302" s="6">
        <f>IF(COUNTA(A302:D302,G302:I302)=0,"",IF(COUNTA(A302:D302,G302:I302)&lt;7,"LENGKAPI",IF(H302+I302&gt;N(F302)+G302,"ABNORMAL",IF(COUNTIFS($A$2:$A$2001,A302,$B$2:$B$2001,B302,$C$2:$C$2001,C302,$D$2:$D$2001,D302)&gt;1,"DUPLIKAT","OK"))))</f>
        <v/>
      </c>
    </row>
    <row r="303">
      <c r="A303" s="4" t="n"/>
      <c r="B303" s="5" t="n"/>
      <c r="C303" s="5" t="n"/>
      <c r="D303" s="5" t="n"/>
      <c r="E303" s="6">
        <f>IF(A303="","","B"&amp;TEXT(COUNT($A$2:A303),"00000"))</f>
        <v/>
      </c>
      <c r="F303" s="6">
        <f>IF(OR(C303="",D303=""),"",IFERROR(LOOKUP(2,1/(($C$1:C302=C303)*($D$1:D302=D303)*ISNUMBER($J$1:J302)),$J$1:J302),SUMIFS(Master!$G$2:$G$13,Master!$E$2:$E$13,C303,Master!$F$2:$F$13,D303)))</f>
        <v/>
      </c>
      <c r="G303" s="5" t="n"/>
      <c r="H303" s="5" t="n"/>
      <c r="I303" s="5" t="n"/>
      <c r="J303" s="6">
        <f>IF(OR(F303="",COUNT(G303:I303)&lt;3),"",F303+G303-H303-I303)</f>
        <v/>
      </c>
      <c r="K303" s="6">
        <f>IF(COUNTA(A303:D303,G303:I303)=0,"",IF(COUNTA(A303:D303,G303:I303)&lt;7,"LENGKAPI",IF(H303+I303&gt;N(F303)+G303,"ABNORMAL",IF(COUNTIFS($A$2:$A$2001,A303,$B$2:$B$2001,B303,$C$2:$C$2001,C303,$D$2:$D$2001,D303)&gt;1,"DUPLIKAT","OK"))))</f>
        <v/>
      </c>
    </row>
    <row r="304">
      <c r="A304" s="4" t="n"/>
      <c r="B304" s="5" t="n"/>
      <c r="C304" s="5" t="n"/>
      <c r="D304" s="5" t="n"/>
      <c r="E304" s="6">
        <f>IF(A304="","","B"&amp;TEXT(COUNT($A$2:A304),"00000"))</f>
        <v/>
      </c>
      <c r="F304" s="6">
        <f>IF(OR(C304="",D304=""),"",IFERROR(LOOKUP(2,1/(($C$1:C303=C304)*($D$1:D303=D304)*ISNUMBER($J$1:J303)),$J$1:J303),SUMIFS(Master!$G$2:$G$13,Master!$E$2:$E$13,C304,Master!$F$2:$F$13,D304)))</f>
        <v/>
      </c>
      <c r="G304" s="5" t="n"/>
      <c r="H304" s="5" t="n"/>
      <c r="I304" s="5" t="n"/>
      <c r="J304" s="6">
        <f>IF(OR(F304="",COUNT(G304:I304)&lt;3),"",F304+G304-H304-I304)</f>
        <v/>
      </c>
      <c r="K304" s="6">
        <f>IF(COUNTA(A304:D304,G304:I304)=0,"",IF(COUNTA(A304:D304,G304:I304)&lt;7,"LENGKAPI",IF(H304+I304&gt;N(F304)+G304,"ABNORMAL",IF(COUNTIFS($A$2:$A$2001,A304,$B$2:$B$2001,B304,$C$2:$C$2001,C304,$D$2:$D$2001,D304)&gt;1,"DUPLIKAT","OK"))))</f>
        <v/>
      </c>
    </row>
    <row r="305">
      <c r="A305" s="4" t="n"/>
      <c r="B305" s="5" t="n"/>
      <c r="C305" s="5" t="n"/>
      <c r="D305" s="5" t="n"/>
      <c r="E305" s="6">
        <f>IF(A305="","","B"&amp;TEXT(COUNT($A$2:A305),"00000"))</f>
        <v/>
      </c>
      <c r="F305" s="6">
        <f>IF(OR(C305="",D305=""),"",IFERROR(LOOKUP(2,1/(($C$1:C304=C305)*($D$1:D304=D305)*ISNUMBER($J$1:J304)),$J$1:J304),SUMIFS(Master!$G$2:$G$13,Master!$E$2:$E$13,C305,Master!$F$2:$F$13,D305)))</f>
        <v/>
      </c>
      <c r="G305" s="5" t="n"/>
      <c r="H305" s="5" t="n"/>
      <c r="I305" s="5" t="n"/>
      <c r="J305" s="6">
        <f>IF(OR(F305="",COUNT(G305:I305)&lt;3),"",F305+G305-H305-I305)</f>
        <v/>
      </c>
      <c r="K305" s="6">
        <f>IF(COUNTA(A305:D305,G305:I305)=0,"",IF(COUNTA(A305:D305,G305:I305)&lt;7,"LENGKAPI",IF(H305+I305&gt;N(F305)+G305,"ABNORMAL",IF(COUNTIFS($A$2:$A$2001,A305,$B$2:$B$2001,B305,$C$2:$C$2001,C305,$D$2:$D$2001,D305)&gt;1,"DUPLIKAT","OK"))))</f>
        <v/>
      </c>
    </row>
    <row r="306">
      <c r="A306" s="4" t="n"/>
      <c r="B306" s="5" t="n"/>
      <c r="C306" s="5" t="n"/>
      <c r="D306" s="5" t="n"/>
      <c r="E306" s="6">
        <f>IF(A306="","","B"&amp;TEXT(COUNT($A$2:A306),"00000"))</f>
        <v/>
      </c>
      <c r="F306" s="6">
        <f>IF(OR(C306="",D306=""),"",IFERROR(LOOKUP(2,1/(($C$1:C305=C306)*($D$1:D305=D306)*ISNUMBER($J$1:J305)),$J$1:J305),SUMIFS(Master!$G$2:$G$13,Master!$E$2:$E$13,C306,Master!$F$2:$F$13,D306)))</f>
        <v/>
      </c>
      <c r="G306" s="5" t="n"/>
      <c r="H306" s="5" t="n"/>
      <c r="I306" s="5" t="n"/>
      <c r="J306" s="6">
        <f>IF(OR(F306="",COUNT(G306:I306)&lt;3),"",F306+G306-H306-I306)</f>
        <v/>
      </c>
      <c r="K306" s="6">
        <f>IF(COUNTA(A306:D306,G306:I306)=0,"",IF(COUNTA(A306:D306,G306:I306)&lt;7,"LENGKAPI",IF(H306+I306&gt;N(F306)+G306,"ABNORMAL",IF(COUNTIFS($A$2:$A$2001,A306,$B$2:$B$2001,B306,$C$2:$C$2001,C306,$D$2:$D$2001,D306)&gt;1,"DUPLIKAT","OK"))))</f>
        <v/>
      </c>
    </row>
    <row r="307">
      <c r="A307" s="4" t="n"/>
      <c r="B307" s="5" t="n"/>
      <c r="C307" s="5" t="n"/>
      <c r="D307" s="5" t="n"/>
      <c r="E307" s="6">
        <f>IF(A307="","","B"&amp;TEXT(COUNT($A$2:A307),"00000"))</f>
        <v/>
      </c>
      <c r="F307" s="6">
        <f>IF(OR(C307="",D307=""),"",IFERROR(LOOKUP(2,1/(($C$1:C306=C307)*($D$1:D306=D307)*ISNUMBER($J$1:J306)),$J$1:J306),SUMIFS(Master!$G$2:$G$13,Master!$E$2:$E$13,C307,Master!$F$2:$F$13,D307)))</f>
        <v/>
      </c>
      <c r="G307" s="5" t="n"/>
      <c r="H307" s="5" t="n"/>
      <c r="I307" s="5" t="n"/>
      <c r="J307" s="6">
        <f>IF(OR(F307="",COUNT(G307:I307)&lt;3),"",F307+G307-H307-I307)</f>
        <v/>
      </c>
      <c r="K307" s="6">
        <f>IF(COUNTA(A307:D307,G307:I307)=0,"",IF(COUNTA(A307:D307,G307:I307)&lt;7,"LENGKAPI",IF(H307+I307&gt;N(F307)+G307,"ABNORMAL",IF(COUNTIFS($A$2:$A$2001,A307,$B$2:$B$2001,B307,$C$2:$C$2001,C307,$D$2:$D$2001,D307)&gt;1,"DUPLIKAT","OK"))))</f>
        <v/>
      </c>
    </row>
    <row r="308">
      <c r="A308" s="4" t="n"/>
      <c r="B308" s="5" t="n"/>
      <c r="C308" s="5" t="n"/>
      <c r="D308" s="5" t="n"/>
      <c r="E308" s="6">
        <f>IF(A308="","","B"&amp;TEXT(COUNT($A$2:A308),"00000"))</f>
        <v/>
      </c>
      <c r="F308" s="6">
        <f>IF(OR(C308="",D308=""),"",IFERROR(LOOKUP(2,1/(($C$1:C307=C308)*($D$1:D307=D308)*ISNUMBER($J$1:J307)),$J$1:J307),SUMIFS(Master!$G$2:$G$13,Master!$E$2:$E$13,C308,Master!$F$2:$F$13,D308)))</f>
        <v/>
      </c>
      <c r="G308" s="5" t="n"/>
      <c r="H308" s="5" t="n"/>
      <c r="I308" s="5" t="n"/>
      <c r="J308" s="6">
        <f>IF(OR(F308="",COUNT(G308:I308)&lt;3),"",F308+G308-H308-I308)</f>
        <v/>
      </c>
      <c r="K308" s="6">
        <f>IF(COUNTA(A308:D308,G308:I308)=0,"",IF(COUNTA(A308:D308,G308:I308)&lt;7,"LENGKAPI",IF(H308+I308&gt;N(F308)+G308,"ABNORMAL",IF(COUNTIFS($A$2:$A$2001,A308,$B$2:$B$2001,B308,$C$2:$C$2001,C308,$D$2:$D$2001,D308)&gt;1,"DUPLIKAT","OK"))))</f>
        <v/>
      </c>
    </row>
    <row r="309">
      <c r="A309" s="4" t="n"/>
      <c r="B309" s="5" t="n"/>
      <c r="C309" s="5" t="n"/>
      <c r="D309" s="5" t="n"/>
      <c r="E309" s="6">
        <f>IF(A309="","","B"&amp;TEXT(COUNT($A$2:A309),"00000"))</f>
        <v/>
      </c>
      <c r="F309" s="6">
        <f>IF(OR(C309="",D309=""),"",IFERROR(LOOKUP(2,1/(($C$1:C308=C309)*($D$1:D308=D309)*ISNUMBER($J$1:J308)),$J$1:J308),SUMIFS(Master!$G$2:$G$13,Master!$E$2:$E$13,C309,Master!$F$2:$F$13,D309)))</f>
        <v/>
      </c>
      <c r="G309" s="5" t="n"/>
      <c r="H309" s="5" t="n"/>
      <c r="I309" s="5" t="n"/>
      <c r="J309" s="6">
        <f>IF(OR(F309="",COUNT(G309:I309)&lt;3),"",F309+G309-H309-I309)</f>
        <v/>
      </c>
      <c r="K309" s="6">
        <f>IF(COUNTA(A309:D309,G309:I309)=0,"",IF(COUNTA(A309:D309,G309:I309)&lt;7,"LENGKAPI",IF(H309+I309&gt;N(F309)+G309,"ABNORMAL",IF(COUNTIFS($A$2:$A$2001,A309,$B$2:$B$2001,B309,$C$2:$C$2001,C309,$D$2:$D$2001,D309)&gt;1,"DUPLIKAT","OK"))))</f>
        <v/>
      </c>
    </row>
    <row r="310">
      <c r="A310" s="4" t="n"/>
      <c r="B310" s="5" t="n"/>
      <c r="C310" s="5" t="n"/>
      <c r="D310" s="5" t="n"/>
      <c r="E310" s="6">
        <f>IF(A310="","","B"&amp;TEXT(COUNT($A$2:A310),"00000"))</f>
        <v/>
      </c>
      <c r="F310" s="6">
        <f>IF(OR(C310="",D310=""),"",IFERROR(LOOKUP(2,1/(($C$1:C309=C310)*($D$1:D309=D310)*ISNUMBER($J$1:J309)),$J$1:J309),SUMIFS(Master!$G$2:$G$13,Master!$E$2:$E$13,C310,Master!$F$2:$F$13,D310)))</f>
        <v/>
      </c>
      <c r="G310" s="5" t="n"/>
      <c r="H310" s="5" t="n"/>
      <c r="I310" s="5" t="n"/>
      <c r="J310" s="6">
        <f>IF(OR(F310="",COUNT(G310:I310)&lt;3),"",F310+G310-H310-I310)</f>
        <v/>
      </c>
      <c r="K310" s="6">
        <f>IF(COUNTA(A310:D310,G310:I310)=0,"",IF(COUNTA(A310:D310,G310:I310)&lt;7,"LENGKAPI",IF(H310+I310&gt;N(F310)+G310,"ABNORMAL",IF(COUNTIFS($A$2:$A$2001,A310,$B$2:$B$2001,B310,$C$2:$C$2001,C310,$D$2:$D$2001,D310)&gt;1,"DUPLIKAT","OK"))))</f>
        <v/>
      </c>
    </row>
    <row r="311">
      <c r="A311" s="4" t="n"/>
      <c r="B311" s="5" t="n"/>
      <c r="C311" s="5" t="n"/>
      <c r="D311" s="5" t="n"/>
      <c r="E311" s="6">
        <f>IF(A311="","","B"&amp;TEXT(COUNT($A$2:A311),"00000"))</f>
        <v/>
      </c>
      <c r="F311" s="6">
        <f>IF(OR(C311="",D311=""),"",IFERROR(LOOKUP(2,1/(($C$1:C310=C311)*($D$1:D310=D311)*ISNUMBER($J$1:J310)),$J$1:J310),SUMIFS(Master!$G$2:$G$13,Master!$E$2:$E$13,C311,Master!$F$2:$F$13,D311)))</f>
        <v/>
      </c>
      <c r="G311" s="5" t="n"/>
      <c r="H311" s="5" t="n"/>
      <c r="I311" s="5" t="n"/>
      <c r="J311" s="6">
        <f>IF(OR(F311="",COUNT(G311:I311)&lt;3),"",F311+G311-H311-I311)</f>
        <v/>
      </c>
      <c r="K311" s="6">
        <f>IF(COUNTA(A311:D311,G311:I311)=0,"",IF(COUNTA(A311:D311,G311:I311)&lt;7,"LENGKAPI",IF(H311+I311&gt;N(F311)+G311,"ABNORMAL",IF(COUNTIFS($A$2:$A$2001,A311,$B$2:$B$2001,B311,$C$2:$C$2001,C311,$D$2:$D$2001,D311)&gt;1,"DUPLIKAT","OK"))))</f>
        <v/>
      </c>
    </row>
    <row r="312">
      <c r="A312" s="4" t="n"/>
      <c r="B312" s="5" t="n"/>
      <c r="C312" s="5" t="n"/>
      <c r="D312" s="5" t="n"/>
      <c r="E312" s="6">
        <f>IF(A312="","","B"&amp;TEXT(COUNT($A$2:A312),"00000"))</f>
        <v/>
      </c>
      <c r="F312" s="6">
        <f>IF(OR(C312="",D312=""),"",IFERROR(LOOKUP(2,1/(($C$1:C311=C312)*($D$1:D311=D312)*ISNUMBER($J$1:J311)),$J$1:J311),SUMIFS(Master!$G$2:$G$13,Master!$E$2:$E$13,C312,Master!$F$2:$F$13,D312)))</f>
        <v/>
      </c>
      <c r="G312" s="5" t="n"/>
      <c r="H312" s="5" t="n"/>
      <c r="I312" s="5" t="n"/>
      <c r="J312" s="6">
        <f>IF(OR(F312="",COUNT(G312:I312)&lt;3),"",F312+G312-H312-I312)</f>
        <v/>
      </c>
      <c r="K312" s="6">
        <f>IF(COUNTA(A312:D312,G312:I312)=0,"",IF(COUNTA(A312:D312,G312:I312)&lt;7,"LENGKAPI",IF(H312+I312&gt;N(F312)+G312,"ABNORMAL",IF(COUNTIFS($A$2:$A$2001,A312,$B$2:$B$2001,B312,$C$2:$C$2001,C312,$D$2:$D$2001,D312)&gt;1,"DUPLIKAT","OK"))))</f>
        <v/>
      </c>
    </row>
    <row r="313">
      <c r="A313" s="4" t="n"/>
      <c r="B313" s="5" t="n"/>
      <c r="C313" s="5" t="n"/>
      <c r="D313" s="5" t="n"/>
      <c r="E313" s="6">
        <f>IF(A313="","","B"&amp;TEXT(COUNT($A$2:A313),"00000"))</f>
        <v/>
      </c>
      <c r="F313" s="6">
        <f>IF(OR(C313="",D313=""),"",IFERROR(LOOKUP(2,1/(($C$1:C312=C313)*($D$1:D312=D313)*ISNUMBER($J$1:J312)),$J$1:J312),SUMIFS(Master!$G$2:$G$13,Master!$E$2:$E$13,C313,Master!$F$2:$F$13,D313)))</f>
        <v/>
      </c>
      <c r="G313" s="5" t="n"/>
      <c r="H313" s="5" t="n"/>
      <c r="I313" s="5" t="n"/>
      <c r="J313" s="6">
        <f>IF(OR(F313="",COUNT(G313:I313)&lt;3),"",F313+G313-H313-I313)</f>
        <v/>
      </c>
      <c r="K313" s="6">
        <f>IF(COUNTA(A313:D313,G313:I313)=0,"",IF(COUNTA(A313:D313,G313:I313)&lt;7,"LENGKAPI",IF(H313+I313&gt;N(F313)+G313,"ABNORMAL",IF(COUNTIFS($A$2:$A$2001,A313,$B$2:$B$2001,B313,$C$2:$C$2001,C313,$D$2:$D$2001,D313)&gt;1,"DUPLIKAT","OK"))))</f>
        <v/>
      </c>
    </row>
    <row r="314">
      <c r="A314" s="4" t="n"/>
      <c r="B314" s="5" t="n"/>
      <c r="C314" s="5" t="n"/>
      <c r="D314" s="5" t="n"/>
      <c r="E314" s="6">
        <f>IF(A314="","","B"&amp;TEXT(COUNT($A$2:A314),"00000"))</f>
        <v/>
      </c>
      <c r="F314" s="6">
        <f>IF(OR(C314="",D314=""),"",IFERROR(LOOKUP(2,1/(($C$1:C313=C314)*($D$1:D313=D314)*ISNUMBER($J$1:J313)),$J$1:J313),SUMIFS(Master!$G$2:$G$13,Master!$E$2:$E$13,C314,Master!$F$2:$F$13,D314)))</f>
        <v/>
      </c>
      <c r="G314" s="5" t="n"/>
      <c r="H314" s="5" t="n"/>
      <c r="I314" s="5" t="n"/>
      <c r="J314" s="6">
        <f>IF(OR(F314="",COUNT(G314:I314)&lt;3),"",F314+G314-H314-I314)</f>
        <v/>
      </c>
      <c r="K314" s="6">
        <f>IF(COUNTA(A314:D314,G314:I314)=0,"",IF(COUNTA(A314:D314,G314:I314)&lt;7,"LENGKAPI",IF(H314+I314&gt;N(F314)+G314,"ABNORMAL",IF(COUNTIFS($A$2:$A$2001,A314,$B$2:$B$2001,B314,$C$2:$C$2001,C314,$D$2:$D$2001,D314)&gt;1,"DUPLIKAT","OK"))))</f>
        <v/>
      </c>
    </row>
    <row r="315">
      <c r="A315" s="4" t="n"/>
      <c r="B315" s="5" t="n"/>
      <c r="C315" s="5" t="n"/>
      <c r="D315" s="5" t="n"/>
      <c r="E315" s="6">
        <f>IF(A315="","","B"&amp;TEXT(COUNT($A$2:A315),"00000"))</f>
        <v/>
      </c>
      <c r="F315" s="6">
        <f>IF(OR(C315="",D315=""),"",IFERROR(LOOKUP(2,1/(($C$1:C314=C315)*($D$1:D314=D315)*ISNUMBER($J$1:J314)),$J$1:J314),SUMIFS(Master!$G$2:$G$13,Master!$E$2:$E$13,C315,Master!$F$2:$F$13,D315)))</f>
        <v/>
      </c>
      <c r="G315" s="5" t="n"/>
      <c r="H315" s="5" t="n"/>
      <c r="I315" s="5" t="n"/>
      <c r="J315" s="6">
        <f>IF(OR(F315="",COUNT(G315:I315)&lt;3),"",F315+G315-H315-I315)</f>
        <v/>
      </c>
      <c r="K315" s="6">
        <f>IF(COUNTA(A315:D315,G315:I315)=0,"",IF(COUNTA(A315:D315,G315:I315)&lt;7,"LENGKAPI",IF(H315+I315&gt;N(F315)+G315,"ABNORMAL",IF(COUNTIFS($A$2:$A$2001,A315,$B$2:$B$2001,B315,$C$2:$C$2001,C315,$D$2:$D$2001,D315)&gt;1,"DUPLIKAT","OK"))))</f>
        <v/>
      </c>
    </row>
    <row r="316">
      <c r="A316" s="4" t="n"/>
      <c r="B316" s="5" t="n"/>
      <c r="C316" s="5" t="n"/>
      <c r="D316" s="5" t="n"/>
      <c r="E316" s="6">
        <f>IF(A316="","","B"&amp;TEXT(COUNT($A$2:A316),"00000"))</f>
        <v/>
      </c>
      <c r="F316" s="6">
        <f>IF(OR(C316="",D316=""),"",IFERROR(LOOKUP(2,1/(($C$1:C315=C316)*($D$1:D315=D316)*ISNUMBER($J$1:J315)),$J$1:J315),SUMIFS(Master!$G$2:$G$13,Master!$E$2:$E$13,C316,Master!$F$2:$F$13,D316)))</f>
        <v/>
      </c>
      <c r="G316" s="5" t="n"/>
      <c r="H316" s="5" t="n"/>
      <c r="I316" s="5" t="n"/>
      <c r="J316" s="6">
        <f>IF(OR(F316="",COUNT(G316:I316)&lt;3),"",F316+G316-H316-I316)</f>
        <v/>
      </c>
      <c r="K316" s="6">
        <f>IF(COUNTA(A316:D316,G316:I316)=0,"",IF(COUNTA(A316:D316,G316:I316)&lt;7,"LENGKAPI",IF(H316+I316&gt;N(F316)+G316,"ABNORMAL",IF(COUNTIFS($A$2:$A$2001,A316,$B$2:$B$2001,B316,$C$2:$C$2001,C316,$D$2:$D$2001,D316)&gt;1,"DUPLIKAT","OK"))))</f>
        <v/>
      </c>
    </row>
    <row r="317">
      <c r="A317" s="4" t="n"/>
      <c r="B317" s="5" t="n"/>
      <c r="C317" s="5" t="n"/>
      <c r="D317" s="5" t="n"/>
      <c r="E317" s="6">
        <f>IF(A317="","","B"&amp;TEXT(COUNT($A$2:A317),"00000"))</f>
        <v/>
      </c>
      <c r="F317" s="6">
        <f>IF(OR(C317="",D317=""),"",IFERROR(LOOKUP(2,1/(($C$1:C316=C317)*($D$1:D316=D317)*ISNUMBER($J$1:J316)),$J$1:J316),SUMIFS(Master!$G$2:$G$13,Master!$E$2:$E$13,C317,Master!$F$2:$F$13,D317)))</f>
        <v/>
      </c>
      <c r="G317" s="5" t="n"/>
      <c r="H317" s="5" t="n"/>
      <c r="I317" s="5" t="n"/>
      <c r="J317" s="6">
        <f>IF(OR(F317="",COUNT(G317:I317)&lt;3),"",F317+G317-H317-I317)</f>
        <v/>
      </c>
      <c r="K317" s="6">
        <f>IF(COUNTA(A317:D317,G317:I317)=0,"",IF(COUNTA(A317:D317,G317:I317)&lt;7,"LENGKAPI",IF(H317+I317&gt;N(F317)+G317,"ABNORMAL",IF(COUNTIFS($A$2:$A$2001,A317,$B$2:$B$2001,B317,$C$2:$C$2001,C317,$D$2:$D$2001,D317)&gt;1,"DUPLIKAT","OK"))))</f>
        <v/>
      </c>
    </row>
    <row r="318">
      <c r="A318" s="4" t="n"/>
      <c r="B318" s="5" t="n"/>
      <c r="C318" s="5" t="n"/>
      <c r="D318" s="5" t="n"/>
      <c r="E318" s="6">
        <f>IF(A318="","","B"&amp;TEXT(COUNT($A$2:A318),"00000"))</f>
        <v/>
      </c>
      <c r="F318" s="6">
        <f>IF(OR(C318="",D318=""),"",IFERROR(LOOKUP(2,1/(($C$1:C317=C318)*($D$1:D317=D318)*ISNUMBER($J$1:J317)),$J$1:J317),SUMIFS(Master!$G$2:$G$13,Master!$E$2:$E$13,C318,Master!$F$2:$F$13,D318)))</f>
        <v/>
      </c>
      <c r="G318" s="5" t="n"/>
      <c r="H318" s="5" t="n"/>
      <c r="I318" s="5" t="n"/>
      <c r="J318" s="6">
        <f>IF(OR(F318="",COUNT(G318:I318)&lt;3),"",F318+G318-H318-I318)</f>
        <v/>
      </c>
      <c r="K318" s="6">
        <f>IF(COUNTA(A318:D318,G318:I318)=0,"",IF(COUNTA(A318:D318,G318:I318)&lt;7,"LENGKAPI",IF(H318+I318&gt;N(F318)+G318,"ABNORMAL",IF(COUNTIFS($A$2:$A$2001,A318,$B$2:$B$2001,B318,$C$2:$C$2001,C318,$D$2:$D$2001,D318)&gt;1,"DUPLIKAT","OK"))))</f>
        <v/>
      </c>
    </row>
    <row r="319">
      <c r="A319" s="4" t="n"/>
      <c r="B319" s="5" t="n"/>
      <c r="C319" s="5" t="n"/>
      <c r="D319" s="5" t="n"/>
      <c r="E319" s="6">
        <f>IF(A319="","","B"&amp;TEXT(COUNT($A$2:A319),"00000"))</f>
        <v/>
      </c>
      <c r="F319" s="6">
        <f>IF(OR(C319="",D319=""),"",IFERROR(LOOKUP(2,1/(($C$1:C318=C319)*($D$1:D318=D319)*ISNUMBER($J$1:J318)),$J$1:J318),SUMIFS(Master!$G$2:$G$13,Master!$E$2:$E$13,C319,Master!$F$2:$F$13,D319)))</f>
        <v/>
      </c>
      <c r="G319" s="5" t="n"/>
      <c r="H319" s="5" t="n"/>
      <c r="I319" s="5" t="n"/>
      <c r="J319" s="6">
        <f>IF(OR(F319="",COUNT(G319:I319)&lt;3),"",F319+G319-H319-I319)</f>
        <v/>
      </c>
      <c r="K319" s="6">
        <f>IF(COUNTA(A319:D319,G319:I319)=0,"",IF(COUNTA(A319:D319,G319:I319)&lt;7,"LENGKAPI",IF(H319+I319&gt;N(F319)+G319,"ABNORMAL",IF(COUNTIFS($A$2:$A$2001,A319,$B$2:$B$2001,B319,$C$2:$C$2001,C319,$D$2:$D$2001,D319)&gt;1,"DUPLIKAT","OK"))))</f>
        <v/>
      </c>
    </row>
    <row r="320">
      <c r="A320" s="4" t="n"/>
      <c r="B320" s="5" t="n"/>
      <c r="C320" s="5" t="n"/>
      <c r="D320" s="5" t="n"/>
      <c r="E320" s="6">
        <f>IF(A320="","","B"&amp;TEXT(COUNT($A$2:A320),"00000"))</f>
        <v/>
      </c>
      <c r="F320" s="6">
        <f>IF(OR(C320="",D320=""),"",IFERROR(LOOKUP(2,1/(($C$1:C319=C320)*($D$1:D319=D320)*ISNUMBER($J$1:J319)),$J$1:J319),SUMIFS(Master!$G$2:$G$13,Master!$E$2:$E$13,C320,Master!$F$2:$F$13,D320)))</f>
        <v/>
      </c>
      <c r="G320" s="5" t="n"/>
      <c r="H320" s="5" t="n"/>
      <c r="I320" s="5" t="n"/>
      <c r="J320" s="6">
        <f>IF(OR(F320="",COUNT(G320:I320)&lt;3),"",F320+G320-H320-I320)</f>
        <v/>
      </c>
      <c r="K320" s="6">
        <f>IF(COUNTA(A320:D320,G320:I320)=0,"",IF(COUNTA(A320:D320,G320:I320)&lt;7,"LENGKAPI",IF(H320+I320&gt;N(F320)+G320,"ABNORMAL",IF(COUNTIFS($A$2:$A$2001,A320,$B$2:$B$2001,B320,$C$2:$C$2001,C320,$D$2:$D$2001,D320)&gt;1,"DUPLIKAT","OK"))))</f>
        <v/>
      </c>
    </row>
    <row r="321">
      <c r="A321" s="4" t="n"/>
      <c r="B321" s="5" t="n"/>
      <c r="C321" s="5" t="n"/>
      <c r="D321" s="5" t="n"/>
      <c r="E321" s="6">
        <f>IF(A321="","","B"&amp;TEXT(COUNT($A$2:A321),"00000"))</f>
        <v/>
      </c>
      <c r="F321" s="6">
        <f>IF(OR(C321="",D321=""),"",IFERROR(LOOKUP(2,1/(($C$1:C320=C321)*($D$1:D320=D321)*ISNUMBER($J$1:J320)),$J$1:J320),SUMIFS(Master!$G$2:$G$13,Master!$E$2:$E$13,C321,Master!$F$2:$F$13,D321)))</f>
        <v/>
      </c>
      <c r="G321" s="5" t="n"/>
      <c r="H321" s="5" t="n"/>
      <c r="I321" s="5" t="n"/>
      <c r="J321" s="6">
        <f>IF(OR(F321="",COUNT(G321:I321)&lt;3),"",F321+G321-H321-I321)</f>
        <v/>
      </c>
      <c r="K321" s="6">
        <f>IF(COUNTA(A321:D321,G321:I321)=0,"",IF(COUNTA(A321:D321,G321:I321)&lt;7,"LENGKAPI",IF(H321+I321&gt;N(F321)+G321,"ABNORMAL",IF(COUNTIFS($A$2:$A$2001,A321,$B$2:$B$2001,B321,$C$2:$C$2001,C321,$D$2:$D$2001,D321)&gt;1,"DUPLIKAT","OK"))))</f>
        <v/>
      </c>
    </row>
    <row r="322">
      <c r="A322" s="4" t="n"/>
      <c r="B322" s="5" t="n"/>
      <c r="C322" s="5" t="n"/>
      <c r="D322" s="5" t="n"/>
      <c r="E322" s="6">
        <f>IF(A322="","","B"&amp;TEXT(COUNT($A$2:A322),"00000"))</f>
        <v/>
      </c>
      <c r="F322" s="6">
        <f>IF(OR(C322="",D322=""),"",IFERROR(LOOKUP(2,1/(($C$1:C321=C322)*($D$1:D321=D322)*ISNUMBER($J$1:J321)),$J$1:J321),SUMIFS(Master!$G$2:$G$13,Master!$E$2:$E$13,C322,Master!$F$2:$F$13,D322)))</f>
        <v/>
      </c>
      <c r="G322" s="5" t="n"/>
      <c r="H322" s="5" t="n"/>
      <c r="I322" s="5" t="n"/>
      <c r="J322" s="6">
        <f>IF(OR(F322="",COUNT(G322:I322)&lt;3),"",F322+G322-H322-I322)</f>
        <v/>
      </c>
      <c r="K322" s="6">
        <f>IF(COUNTA(A322:D322,G322:I322)=0,"",IF(COUNTA(A322:D322,G322:I322)&lt;7,"LENGKAPI",IF(H322+I322&gt;N(F322)+G322,"ABNORMAL",IF(COUNTIFS($A$2:$A$2001,A322,$B$2:$B$2001,B322,$C$2:$C$2001,C322,$D$2:$D$2001,D322)&gt;1,"DUPLIKAT","OK"))))</f>
        <v/>
      </c>
    </row>
    <row r="323">
      <c r="A323" s="4" t="n"/>
      <c r="B323" s="5" t="n"/>
      <c r="C323" s="5" t="n"/>
      <c r="D323" s="5" t="n"/>
      <c r="E323" s="6">
        <f>IF(A323="","","B"&amp;TEXT(COUNT($A$2:A323),"00000"))</f>
        <v/>
      </c>
      <c r="F323" s="6">
        <f>IF(OR(C323="",D323=""),"",IFERROR(LOOKUP(2,1/(($C$1:C322=C323)*($D$1:D322=D323)*ISNUMBER($J$1:J322)),$J$1:J322),SUMIFS(Master!$G$2:$G$13,Master!$E$2:$E$13,C323,Master!$F$2:$F$13,D323)))</f>
        <v/>
      </c>
      <c r="G323" s="5" t="n"/>
      <c r="H323" s="5" t="n"/>
      <c r="I323" s="5" t="n"/>
      <c r="J323" s="6">
        <f>IF(OR(F323="",COUNT(G323:I323)&lt;3),"",F323+G323-H323-I323)</f>
        <v/>
      </c>
      <c r="K323" s="6">
        <f>IF(COUNTA(A323:D323,G323:I323)=0,"",IF(COUNTA(A323:D323,G323:I323)&lt;7,"LENGKAPI",IF(H323+I323&gt;N(F323)+G323,"ABNORMAL",IF(COUNTIFS($A$2:$A$2001,A323,$B$2:$B$2001,B323,$C$2:$C$2001,C323,$D$2:$D$2001,D323)&gt;1,"DUPLIKAT","OK"))))</f>
        <v/>
      </c>
    </row>
    <row r="324">
      <c r="A324" s="4" t="n"/>
      <c r="B324" s="5" t="n"/>
      <c r="C324" s="5" t="n"/>
      <c r="D324" s="5" t="n"/>
      <c r="E324" s="6">
        <f>IF(A324="","","B"&amp;TEXT(COUNT($A$2:A324),"00000"))</f>
        <v/>
      </c>
      <c r="F324" s="6">
        <f>IF(OR(C324="",D324=""),"",IFERROR(LOOKUP(2,1/(($C$1:C323=C324)*($D$1:D323=D324)*ISNUMBER($J$1:J323)),$J$1:J323),SUMIFS(Master!$G$2:$G$13,Master!$E$2:$E$13,C324,Master!$F$2:$F$13,D324)))</f>
        <v/>
      </c>
      <c r="G324" s="5" t="n"/>
      <c r="H324" s="5" t="n"/>
      <c r="I324" s="5" t="n"/>
      <c r="J324" s="6">
        <f>IF(OR(F324="",COUNT(G324:I324)&lt;3),"",F324+G324-H324-I324)</f>
        <v/>
      </c>
      <c r="K324" s="6">
        <f>IF(COUNTA(A324:D324,G324:I324)=0,"",IF(COUNTA(A324:D324,G324:I324)&lt;7,"LENGKAPI",IF(H324+I324&gt;N(F324)+G324,"ABNORMAL",IF(COUNTIFS($A$2:$A$2001,A324,$B$2:$B$2001,B324,$C$2:$C$2001,C324,$D$2:$D$2001,D324)&gt;1,"DUPLIKAT","OK"))))</f>
        <v/>
      </c>
    </row>
    <row r="325">
      <c r="A325" s="4" t="n"/>
      <c r="B325" s="5" t="n"/>
      <c r="C325" s="5" t="n"/>
      <c r="D325" s="5" t="n"/>
      <c r="E325" s="6">
        <f>IF(A325="","","B"&amp;TEXT(COUNT($A$2:A325),"00000"))</f>
        <v/>
      </c>
      <c r="F325" s="6">
        <f>IF(OR(C325="",D325=""),"",IFERROR(LOOKUP(2,1/(($C$1:C324=C325)*($D$1:D324=D325)*ISNUMBER($J$1:J324)),$J$1:J324),SUMIFS(Master!$G$2:$G$13,Master!$E$2:$E$13,C325,Master!$F$2:$F$13,D325)))</f>
        <v/>
      </c>
      <c r="G325" s="5" t="n"/>
      <c r="H325" s="5" t="n"/>
      <c r="I325" s="5" t="n"/>
      <c r="J325" s="6">
        <f>IF(OR(F325="",COUNT(G325:I325)&lt;3),"",F325+G325-H325-I325)</f>
        <v/>
      </c>
      <c r="K325" s="6">
        <f>IF(COUNTA(A325:D325,G325:I325)=0,"",IF(COUNTA(A325:D325,G325:I325)&lt;7,"LENGKAPI",IF(H325+I325&gt;N(F325)+G325,"ABNORMAL",IF(COUNTIFS($A$2:$A$2001,A325,$B$2:$B$2001,B325,$C$2:$C$2001,C325,$D$2:$D$2001,D325)&gt;1,"DUPLIKAT","OK"))))</f>
        <v/>
      </c>
    </row>
    <row r="326">
      <c r="A326" s="4" t="n"/>
      <c r="B326" s="5" t="n"/>
      <c r="C326" s="5" t="n"/>
      <c r="D326" s="5" t="n"/>
      <c r="E326" s="6">
        <f>IF(A326="","","B"&amp;TEXT(COUNT($A$2:A326),"00000"))</f>
        <v/>
      </c>
      <c r="F326" s="6">
        <f>IF(OR(C326="",D326=""),"",IFERROR(LOOKUP(2,1/(($C$1:C325=C326)*($D$1:D325=D326)*ISNUMBER($J$1:J325)),$J$1:J325),SUMIFS(Master!$G$2:$G$13,Master!$E$2:$E$13,C326,Master!$F$2:$F$13,D326)))</f>
        <v/>
      </c>
      <c r="G326" s="5" t="n"/>
      <c r="H326" s="5" t="n"/>
      <c r="I326" s="5" t="n"/>
      <c r="J326" s="6">
        <f>IF(OR(F326="",COUNT(G326:I326)&lt;3),"",F326+G326-H326-I326)</f>
        <v/>
      </c>
      <c r="K326" s="6">
        <f>IF(COUNTA(A326:D326,G326:I326)=0,"",IF(COUNTA(A326:D326,G326:I326)&lt;7,"LENGKAPI",IF(H326+I326&gt;N(F326)+G326,"ABNORMAL",IF(COUNTIFS($A$2:$A$2001,A326,$B$2:$B$2001,B326,$C$2:$C$2001,C326,$D$2:$D$2001,D326)&gt;1,"DUPLIKAT","OK"))))</f>
        <v/>
      </c>
    </row>
    <row r="327">
      <c r="A327" s="4" t="n"/>
      <c r="B327" s="5" t="n"/>
      <c r="C327" s="5" t="n"/>
      <c r="D327" s="5" t="n"/>
      <c r="E327" s="6">
        <f>IF(A327="","","B"&amp;TEXT(COUNT($A$2:A327),"00000"))</f>
        <v/>
      </c>
      <c r="F327" s="6">
        <f>IF(OR(C327="",D327=""),"",IFERROR(LOOKUP(2,1/(($C$1:C326=C327)*($D$1:D326=D327)*ISNUMBER($J$1:J326)),$J$1:J326),SUMIFS(Master!$G$2:$G$13,Master!$E$2:$E$13,C327,Master!$F$2:$F$13,D327)))</f>
        <v/>
      </c>
      <c r="G327" s="5" t="n"/>
      <c r="H327" s="5" t="n"/>
      <c r="I327" s="5" t="n"/>
      <c r="J327" s="6">
        <f>IF(OR(F327="",COUNT(G327:I327)&lt;3),"",F327+G327-H327-I327)</f>
        <v/>
      </c>
      <c r="K327" s="6">
        <f>IF(COUNTA(A327:D327,G327:I327)=0,"",IF(COUNTA(A327:D327,G327:I327)&lt;7,"LENGKAPI",IF(H327+I327&gt;N(F327)+G327,"ABNORMAL",IF(COUNTIFS($A$2:$A$2001,A327,$B$2:$B$2001,B327,$C$2:$C$2001,C327,$D$2:$D$2001,D327)&gt;1,"DUPLIKAT","OK"))))</f>
        <v/>
      </c>
    </row>
    <row r="328">
      <c r="A328" s="4" t="n"/>
      <c r="B328" s="5" t="n"/>
      <c r="C328" s="5" t="n"/>
      <c r="D328" s="5" t="n"/>
      <c r="E328" s="6">
        <f>IF(A328="","","B"&amp;TEXT(COUNT($A$2:A328),"00000"))</f>
        <v/>
      </c>
      <c r="F328" s="6">
        <f>IF(OR(C328="",D328=""),"",IFERROR(LOOKUP(2,1/(($C$1:C327=C328)*($D$1:D327=D328)*ISNUMBER($J$1:J327)),$J$1:J327),SUMIFS(Master!$G$2:$G$13,Master!$E$2:$E$13,C328,Master!$F$2:$F$13,D328)))</f>
        <v/>
      </c>
      <c r="G328" s="5" t="n"/>
      <c r="H328" s="5" t="n"/>
      <c r="I328" s="5" t="n"/>
      <c r="J328" s="6">
        <f>IF(OR(F328="",COUNT(G328:I328)&lt;3),"",F328+G328-H328-I328)</f>
        <v/>
      </c>
      <c r="K328" s="6">
        <f>IF(COUNTA(A328:D328,G328:I328)=0,"",IF(COUNTA(A328:D328,G328:I328)&lt;7,"LENGKAPI",IF(H328+I328&gt;N(F328)+G328,"ABNORMAL",IF(COUNTIFS($A$2:$A$2001,A328,$B$2:$B$2001,B328,$C$2:$C$2001,C328,$D$2:$D$2001,D328)&gt;1,"DUPLIKAT","OK"))))</f>
        <v/>
      </c>
    </row>
    <row r="329">
      <c r="A329" s="4" t="n"/>
      <c r="B329" s="5" t="n"/>
      <c r="C329" s="5" t="n"/>
      <c r="D329" s="5" t="n"/>
      <c r="E329" s="6">
        <f>IF(A329="","","B"&amp;TEXT(COUNT($A$2:A329),"00000"))</f>
        <v/>
      </c>
      <c r="F329" s="6">
        <f>IF(OR(C329="",D329=""),"",IFERROR(LOOKUP(2,1/(($C$1:C328=C329)*($D$1:D328=D329)*ISNUMBER($J$1:J328)),$J$1:J328),SUMIFS(Master!$G$2:$G$13,Master!$E$2:$E$13,C329,Master!$F$2:$F$13,D329)))</f>
        <v/>
      </c>
      <c r="G329" s="5" t="n"/>
      <c r="H329" s="5" t="n"/>
      <c r="I329" s="5" t="n"/>
      <c r="J329" s="6">
        <f>IF(OR(F329="",COUNT(G329:I329)&lt;3),"",F329+G329-H329-I329)</f>
        <v/>
      </c>
      <c r="K329" s="6">
        <f>IF(COUNTA(A329:D329,G329:I329)=0,"",IF(COUNTA(A329:D329,G329:I329)&lt;7,"LENGKAPI",IF(H329+I329&gt;N(F329)+G329,"ABNORMAL",IF(COUNTIFS($A$2:$A$2001,A329,$B$2:$B$2001,B329,$C$2:$C$2001,C329,$D$2:$D$2001,D329)&gt;1,"DUPLIKAT","OK"))))</f>
        <v/>
      </c>
    </row>
    <row r="330">
      <c r="A330" s="4" t="n"/>
      <c r="B330" s="5" t="n"/>
      <c r="C330" s="5" t="n"/>
      <c r="D330" s="5" t="n"/>
      <c r="E330" s="6">
        <f>IF(A330="","","B"&amp;TEXT(COUNT($A$2:A330),"00000"))</f>
        <v/>
      </c>
      <c r="F330" s="6">
        <f>IF(OR(C330="",D330=""),"",IFERROR(LOOKUP(2,1/(($C$1:C329=C330)*($D$1:D329=D330)*ISNUMBER($J$1:J329)),$J$1:J329),SUMIFS(Master!$G$2:$G$13,Master!$E$2:$E$13,C330,Master!$F$2:$F$13,D330)))</f>
        <v/>
      </c>
      <c r="G330" s="5" t="n"/>
      <c r="H330" s="5" t="n"/>
      <c r="I330" s="5" t="n"/>
      <c r="J330" s="6">
        <f>IF(OR(F330="",COUNT(G330:I330)&lt;3),"",F330+G330-H330-I330)</f>
        <v/>
      </c>
      <c r="K330" s="6">
        <f>IF(COUNTA(A330:D330,G330:I330)=0,"",IF(COUNTA(A330:D330,G330:I330)&lt;7,"LENGKAPI",IF(H330+I330&gt;N(F330)+G330,"ABNORMAL",IF(COUNTIFS($A$2:$A$2001,A330,$B$2:$B$2001,B330,$C$2:$C$2001,C330,$D$2:$D$2001,D330)&gt;1,"DUPLIKAT","OK"))))</f>
        <v/>
      </c>
    </row>
    <row r="331">
      <c r="A331" s="4" t="n"/>
      <c r="B331" s="5" t="n"/>
      <c r="C331" s="5" t="n"/>
      <c r="D331" s="5" t="n"/>
      <c r="E331" s="6">
        <f>IF(A331="","","B"&amp;TEXT(COUNT($A$2:A331),"00000"))</f>
        <v/>
      </c>
      <c r="F331" s="6">
        <f>IF(OR(C331="",D331=""),"",IFERROR(LOOKUP(2,1/(($C$1:C330=C331)*($D$1:D330=D331)*ISNUMBER($J$1:J330)),$J$1:J330),SUMIFS(Master!$G$2:$G$13,Master!$E$2:$E$13,C331,Master!$F$2:$F$13,D331)))</f>
        <v/>
      </c>
      <c r="G331" s="5" t="n"/>
      <c r="H331" s="5" t="n"/>
      <c r="I331" s="5" t="n"/>
      <c r="J331" s="6">
        <f>IF(OR(F331="",COUNT(G331:I331)&lt;3),"",F331+G331-H331-I331)</f>
        <v/>
      </c>
      <c r="K331" s="6">
        <f>IF(COUNTA(A331:D331,G331:I331)=0,"",IF(COUNTA(A331:D331,G331:I331)&lt;7,"LENGKAPI",IF(H331+I331&gt;N(F331)+G331,"ABNORMAL",IF(COUNTIFS($A$2:$A$2001,A331,$B$2:$B$2001,B331,$C$2:$C$2001,C331,$D$2:$D$2001,D331)&gt;1,"DUPLIKAT","OK"))))</f>
        <v/>
      </c>
    </row>
    <row r="332">
      <c r="A332" s="4" t="n"/>
      <c r="B332" s="5" t="n"/>
      <c r="C332" s="5" t="n"/>
      <c r="D332" s="5" t="n"/>
      <c r="E332" s="6">
        <f>IF(A332="","","B"&amp;TEXT(COUNT($A$2:A332),"00000"))</f>
        <v/>
      </c>
      <c r="F332" s="6">
        <f>IF(OR(C332="",D332=""),"",IFERROR(LOOKUP(2,1/(($C$1:C331=C332)*($D$1:D331=D332)*ISNUMBER($J$1:J331)),$J$1:J331),SUMIFS(Master!$G$2:$G$13,Master!$E$2:$E$13,C332,Master!$F$2:$F$13,D332)))</f>
        <v/>
      </c>
      <c r="G332" s="5" t="n"/>
      <c r="H332" s="5" t="n"/>
      <c r="I332" s="5" t="n"/>
      <c r="J332" s="6">
        <f>IF(OR(F332="",COUNT(G332:I332)&lt;3),"",F332+G332-H332-I332)</f>
        <v/>
      </c>
      <c r="K332" s="6">
        <f>IF(COUNTA(A332:D332,G332:I332)=0,"",IF(COUNTA(A332:D332,G332:I332)&lt;7,"LENGKAPI",IF(H332+I332&gt;N(F332)+G332,"ABNORMAL",IF(COUNTIFS($A$2:$A$2001,A332,$B$2:$B$2001,B332,$C$2:$C$2001,C332,$D$2:$D$2001,D332)&gt;1,"DUPLIKAT","OK"))))</f>
        <v/>
      </c>
    </row>
    <row r="333">
      <c r="A333" s="4" t="n"/>
      <c r="B333" s="5" t="n"/>
      <c r="C333" s="5" t="n"/>
      <c r="D333" s="5" t="n"/>
      <c r="E333" s="6">
        <f>IF(A333="","","B"&amp;TEXT(COUNT($A$2:A333),"00000"))</f>
        <v/>
      </c>
      <c r="F333" s="6">
        <f>IF(OR(C333="",D333=""),"",IFERROR(LOOKUP(2,1/(($C$1:C332=C333)*($D$1:D332=D333)*ISNUMBER($J$1:J332)),$J$1:J332),SUMIFS(Master!$G$2:$G$13,Master!$E$2:$E$13,C333,Master!$F$2:$F$13,D333)))</f>
        <v/>
      </c>
      <c r="G333" s="5" t="n"/>
      <c r="H333" s="5" t="n"/>
      <c r="I333" s="5" t="n"/>
      <c r="J333" s="6">
        <f>IF(OR(F333="",COUNT(G333:I333)&lt;3),"",F333+G333-H333-I333)</f>
        <v/>
      </c>
      <c r="K333" s="6">
        <f>IF(COUNTA(A333:D333,G333:I333)=0,"",IF(COUNTA(A333:D333,G333:I333)&lt;7,"LENGKAPI",IF(H333+I333&gt;N(F333)+G333,"ABNORMAL",IF(COUNTIFS($A$2:$A$2001,A333,$B$2:$B$2001,B333,$C$2:$C$2001,C333,$D$2:$D$2001,D333)&gt;1,"DUPLIKAT","OK"))))</f>
        <v/>
      </c>
    </row>
    <row r="334">
      <c r="A334" s="4" t="n"/>
      <c r="B334" s="5" t="n"/>
      <c r="C334" s="5" t="n"/>
      <c r="D334" s="5" t="n"/>
      <c r="E334" s="6">
        <f>IF(A334="","","B"&amp;TEXT(COUNT($A$2:A334),"00000"))</f>
        <v/>
      </c>
      <c r="F334" s="6">
        <f>IF(OR(C334="",D334=""),"",IFERROR(LOOKUP(2,1/(($C$1:C333=C334)*($D$1:D333=D334)*ISNUMBER($J$1:J333)),$J$1:J333),SUMIFS(Master!$G$2:$G$13,Master!$E$2:$E$13,C334,Master!$F$2:$F$13,D334)))</f>
        <v/>
      </c>
      <c r="G334" s="5" t="n"/>
      <c r="H334" s="5" t="n"/>
      <c r="I334" s="5" t="n"/>
      <c r="J334" s="6">
        <f>IF(OR(F334="",COUNT(G334:I334)&lt;3),"",F334+G334-H334-I334)</f>
        <v/>
      </c>
      <c r="K334" s="6">
        <f>IF(COUNTA(A334:D334,G334:I334)=0,"",IF(COUNTA(A334:D334,G334:I334)&lt;7,"LENGKAPI",IF(H334+I334&gt;N(F334)+G334,"ABNORMAL",IF(COUNTIFS($A$2:$A$2001,A334,$B$2:$B$2001,B334,$C$2:$C$2001,C334,$D$2:$D$2001,D334)&gt;1,"DUPLIKAT","OK"))))</f>
        <v/>
      </c>
    </row>
    <row r="335">
      <c r="A335" s="4" t="n"/>
      <c r="B335" s="5" t="n"/>
      <c r="C335" s="5" t="n"/>
      <c r="D335" s="5" t="n"/>
      <c r="E335" s="6">
        <f>IF(A335="","","B"&amp;TEXT(COUNT($A$2:A335),"00000"))</f>
        <v/>
      </c>
      <c r="F335" s="6">
        <f>IF(OR(C335="",D335=""),"",IFERROR(LOOKUP(2,1/(($C$1:C334=C335)*($D$1:D334=D335)*ISNUMBER($J$1:J334)),$J$1:J334),SUMIFS(Master!$G$2:$G$13,Master!$E$2:$E$13,C335,Master!$F$2:$F$13,D335)))</f>
        <v/>
      </c>
      <c r="G335" s="5" t="n"/>
      <c r="H335" s="5" t="n"/>
      <c r="I335" s="5" t="n"/>
      <c r="J335" s="6">
        <f>IF(OR(F335="",COUNT(G335:I335)&lt;3),"",F335+G335-H335-I335)</f>
        <v/>
      </c>
      <c r="K335" s="6">
        <f>IF(COUNTA(A335:D335,G335:I335)=0,"",IF(COUNTA(A335:D335,G335:I335)&lt;7,"LENGKAPI",IF(H335+I335&gt;N(F335)+G335,"ABNORMAL",IF(COUNTIFS($A$2:$A$2001,A335,$B$2:$B$2001,B335,$C$2:$C$2001,C335,$D$2:$D$2001,D335)&gt;1,"DUPLIKAT","OK"))))</f>
        <v/>
      </c>
    </row>
    <row r="336">
      <c r="A336" s="4" t="n"/>
      <c r="B336" s="5" t="n"/>
      <c r="C336" s="5" t="n"/>
      <c r="D336" s="5" t="n"/>
      <c r="E336" s="6">
        <f>IF(A336="","","B"&amp;TEXT(COUNT($A$2:A336),"00000"))</f>
        <v/>
      </c>
      <c r="F336" s="6">
        <f>IF(OR(C336="",D336=""),"",IFERROR(LOOKUP(2,1/(($C$1:C335=C336)*($D$1:D335=D336)*ISNUMBER($J$1:J335)),$J$1:J335),SUMIFS(Master!$G$2:$G$13,Master!$E$2:$E$13,C336,Master!$F$2:$F$13,D336)))</f>
        <v/>
      </c>
      <c r="G336" s="5" t="n"/>
      <c r="H336" s="5" t="n"/>
      <c r="I336" s="5" t="n"/>
      <c r="J336" s="6">
        <f>IF(OR(F336="",COUNT(G336:I336)&lt;3),"",F336+G336-H336-I336)</f>
        <v/>
      </c>
      <c r="K336" s="6">
        <f>IF(COUNTA(A336:D336,G336:I336)=0,"",IF(COUNTA(A336:D336,G336:I336)&lt;7,"LENGKAPI",IF(H336+I336&gt;N(F336)+G336,"ABNORMAL",IF(COUNTIFS($A$2:$A$2001,A336,$B$2:$B$2001,B336,$C$2:$C$2001,C336,$D$2:$D$2001,D336)&gt;1,"DUPLIKAT","OK"))))</f>
        <v/>
      </c>
    </row>
    <row r="337">
      <c r="A337" s="4" t="n"/>
      <c r="B337" s="5" t="n"/>
      <c r="C337" s="5" t="n"/>
      <c r="D337" s="5" t="n"/>
      <c r="E337" s="6">
        <f>IF(A337="","","B"&amp;TEXT(COUNT($A$2:A337),"00000"))</f>
        <v/>
      </c>
      <c r="F337" s="6">
        <f>IF(OR(C337="",D337=""),"",IFERROR(LOOKUP(2,1/(($C$1:C336=C337)*($D$1:D336=D337)*ISNUMBER($J$1:J336)),$J$1:J336),SUMIFS(Master!$G$2:$G$13,Master!$E$2:$E$13,C337,Master!$F$2:$F$13,D337)))</f>
        <v/>
      </c>
      <c r="G337" s="5" t="n"/>
      <c r="H337" s="5" t="n"/>
      <c r="I337" s="5" t="n"/>
      <c r="J337" s="6">
        <f>IF(OR(F337="",COUNT(G337:I337)&lt;3),"",F337+G337-H337-I337)</f>
        <v/>
      </c>
      <c r="K337" s="6">
        <f>IF(COUNTA(A337:D337,G337:I337)=0,"",IF(COUNTA(A337:D337,G337:I337)&lt;7,"LENGKAPI",IF(H337+I337&gt;N(F337)+G337,"ABNORMAL",IF(COUNTIFS($A$2:$A$2001,A337,$B$2:$B$2001,B337,$C$2:$C$2001,C337,$D$2:$D$2001,D337)&gt;1,"DUPLIKAT","OK"))))</f>
        <v/>
      </c>
    </row>
    <row r="338">
      <c r="A338" s="4" t="n"/>
      <c r="B338" s="5" t="n"/>
      <c r="C338" s="5" t="n"/>
      <c r="D338" s="5" t="n"/>
      <c r="E338" s="6">
        <f>IF(A338="","","B"&amp;TEXT(COUNT($A$2:A338),"00000"))</f>
        <v/>
      </c>
      <c r="F338" s="6">
        <f>IF(OR(C338="",D338=""),"",IFERROR(LOOKUP(2,1/(($C$1:C337=C338)*($D$1:D337=D338)*ISNUMBER($J$1:J337)),$J$1:J337),SUMIFS(Master!$G$2:$G$13,Master!$E$2:$E$13,C338,Master!$F$2:$F$13,D338)))</f>
        <v/>
      </c>
      <c r="G338" s="5" t="n"/>
      <c r="H338" s="5" t="n"/>
      <c r="I338" s="5" t="n"/>
      <c r="J338" s="6">
        <f>IF(OR(F338="",COUNT(G338:I338)&lt;3),"",F338+G338-H338-I338)</f>
        <v/>
      </c>
      <c r="K338" s="6">
        <f>IF(COUNTA(A338:D338,G338:I338)=0,"",IF(COUNTA(A338:D338,G338:I338)&lt;7,"LENGKAPI",IF(H338+I338&gt;N(F338)+G338,"ABNORMAL",IF(COUNTIFS($A$2:$A$2001,A338,$B$2:$B$2001,B338,$C$2:$C$2001,C338,$D$2:$D$2001,D338)&gt;1,"DUPLIKAT","OK"))))</f>
        <v/>
      </c>
    </row>
    <row r="339">
      <c r="A339" s="4" t="n"/>
      <c r="B339" s="5" t="n"/>
      <c r="C339" s="5" t="n"/>
      <c r="D339" s="5" t="n"/>
      <c r="E339" s="6">
        <f>IF(A339="","","B"&amp;TEXT(COUNT($A$2:A339),"00000"))</f>
        <v/>
      </c>
      <c r="F339" s="6">
        <f>IF(OR(C339="",D339=""),"",IFERROR(LOOKUP(2,1/(($C$1:C338=C339)*($D$1:D338=D339)*ISNUMBER($J$1:J338)),$J$1:J338),SUMIFS(Master!$G$2:$G$13,Master!$E$2:$E$13,C339,Master!$F$2:$F$13,D339)))</f>
        <v/>
      </c>
      <c r="G339" s="5" t="n"/>
      <c r="H339" s="5" t="n"/>
      <c r="I339" s="5" t="n"/>
      <c r="J339" s="6">
        <f>IF(OR(F339="",COUNT(G339:I339)&lt;3),"",F339+G339-H339-I339)</f>
        <v/>
      </c>
      <c r="K339" s="6">
        <f>IF(COUNTA(A339:D339,G339:I339)=0,"",IF(COUNTA(A339:D339,G339:I339)&lt;7,"LENGKAPI",IF(H339+I339&gt;N(F339)+G339,"ABNORMAL",IF(COUNTIFS($A$2:$A$2001,A339,$B$2:$B$2001,B339,$C$2:$C$2001,C339,$D$2:$D$2001,D339)&gt;1,"DUPLIKAT","OK"))))</f>
        <v/>
      </c>
    </row>
    <row r="340">
      <c r="A340" s="4" t="n"/>
      <c r="B340" s="5" t="n"/>
      <c r="C340" s="5" t="n"/>
      <c r="D340" s="5" t="n"/>
      <c r="E340" s="6">
        <f>IF(A340="","","B"&amp;TEXT(COUNT($A$2:A340),"00000"))</f>
        <v/>
      </c>
      <c r="F340" s="6">
        <f>IF(OR(C340="",D340=""),"",IFERROR(LOOKUP(2,1/(($C$1:C339=C340)*($D$1:D339=D340)*ISNUMBER($J$1:J339)),$J$1:J339),SUMIFS(Master!$G$2:$G$13,Master!$E$2:$E$13,C340,Master!$F$2:$F$13,D340)))</f>
        <v/>
      </c>
      <c r="G340" s="5" t="n"/>
      <c r="H340" s="5" t="n"/>
      <c r="I340" s="5" t="n"/>
      <c r="J340" s="6">
        <f>IF(OR(F340="",COUNT(G340:I340)&lt;3),"",F340+G340-H340-I340)</f>
        <v/>
      </c>
      <c r="K340" s="6">
        <f>IF(COUNTA(A340:D340,G340:I340)=0,"",IF(COUNTA(A340:D340,G340:I340)&lt;7,"LENGKAPI",IF(H340+I340&gt;N(F340)+G340,"ABNORMAL",IF(COUNTIFS($A$2:$A$2001,A340,$B$2:$B$2001,B340,$C$2:$C$2001,C340,$D$2:$D$2001,D340)&gt;1,"DUPLIKAT","OK"))))</f>
        <v/>
      </c>
    </row>
    <row r="341">
      <c r="A341" s="4" t="n"/>
      <c r="B341" s="5" t="n"/>
      <c r="C341" s="5" t="n"/>
      <c r="D341" s="5" t="n"/>
      <c r="E341" s="6">
        <f>IF(A341="","","B"&amp;TEXT(COUNT($A$2:A341),"00000"))</f>
        <v/>
      </c>
      <c r="F341" s="6">
        <f>IF(OR(C341="",D341=""),"",IFERROR(LOOKUP(2,1/(($C$1:C340=C341)*($D$1:D340=D341)*ISNUMBER($J$1:J340)),$J$1:J340),SUMIFS(Master!$G$2:$G$13,Master!$E$2:$E$13,C341,Master!$F$2:$F$13,D341)))</f>
        <v/>
      </c>
      <c r="G341" s="5" t="n"/>
      <c r="H341" s="5" t="n"/>
      <c r="I341" s="5" t="n"/>
      <c r="J341" s="6">
        <f>IF(OR(F341="",COUNT(G341:I341)&lt;3),"",F341+G341-H341-I341)</f>
        <v/>
      </c>
      <c r="K341" s="6">
        <f>IF(COUNTA(A341:D341,G341:I341)=0,"",IF(COUNTA(A341:D341,G341:I341)&lt;7,"LENGKAPI",IF(H341+I341&gt;N(F341)+G341,"ABNORMAL",IF(COUNTIFS($A$2:$A$2001,A341,$B$2:$B$2001,B341,$C$2:$C$2001,C341,$D$2:$D$2001,D341)&gt;1,"DUPLIKAT","OK"))))</f>
        <v/>
      </c>
    </row>
    <row r="342">
      <c r="A342" s="4" t="n"/>
      <c r="B342" s="5" t="n"/>
      <c r="C342" s="5" t="n"/>
      <c r="D342" s="5" t="n"/>
      <c r="E342" s="6">
        <f>IF(A342="","","B"&amp;TEXT(COUNT($A$2:A342),"00000"))</f>
        <v/>
      </c>
      <c r="F342" s="6">
        <f>IF(OR(C342="",D342=""),"",IFERROR(LOOKUP(2,1/(($C$1:C341=C342)*($D$1:D341=D342)*ISNUMBER($J$1:J341)),$J$1:J341),SUMIFS(Master!$G$2:$G$13,Master!$E$2:$E$13,C342,Master!$F$2:$F$13,D342)))</f>
        <v/>
      </c>
      <c r="G342" s="5" t="n"/>
      <c r="H342" s="5" t="n"/>
      <c r="I342" s="5" t="n"/>
      <c r="J342" s="6">
        <f>IF(OR(F342="",COUNT(G342:I342)&lt;3),"",F342+G342-H342-I342)</f>
        <v/>
      </c>
      <c r="K342" s="6">
        <f>IF(COUNTA(A342:D342,G342:I342)=0,"",IF(COUNTA(A342:D342,G342:I342)&lt;7,"LENGKAPI",IF(H342+I342&gt;N(F342)+G342,"ABNORMAL",IF(COUNTIFS($A$2:$A$2001,A342,$B$2:$B$2001,B342,$C$2:$C$2001,C342,$D$2:$D$2001,D342)&gt;1,"DUPLIKAT","OK"))))</f>
        <v/>
      </c>
    </row>
    <row r="343">
      <c r="A343" s="4" t="n"/>
      <c r="B343" s="5" t="n"/>
      <c r="C343" s="5" t="n"/>
      <c r="D343" s="5" t="n"/>
      <c r="E343" s="6">
        <f>IF(A343="","","B"&amp;TEXT(COUNT($A$2:A343),"00000"))</f>
        <v/>
      </c>
      <c r="F343" s="6">
        <f>IF(OR(C343="",D343=""),"",IFERROR(LOOKUP(2,1/(($C$1:C342=C343)*($D$1:D342=D343)*ISNUMBER($J$1:J342)),$J$1:J342),SUMIFS(Master!$G$2:$G$13,Master!$E$2:$E$13,C343,Master!$F$2:$F$13,D343)))</f>
        <v/>
      </c>
      <c r="G343" s="5" t="n"/>
      <c r="H343" s="5" t="n"/>
      <c r="I343" s="5" t="n"/>
      <c r="J343" s="6">
        <f>IF(OR(F343="",COUNT(G343:I343)&lt;3),"",F343+G343-H343-I343)</f>
        <v/>
      </c>
      <c r="K343" s="6">
        <f>IF(COUNTA(A343:D343,G343:I343)=0,"",IF(COUNTA(A343:D343,G343:I343)&lt;7,"LENGKAPI",IF(H343+I343&gt;N(F343)+G343,"ABNORMAL",IF(COUNTIFS($A$2:$A$2001,A343,$B$2:$B$2001,B343,$C$2:$C$2001,C343,$D$2:$D$2001,D343)&gt;1,"DUPLIKAT","OK"))))</f>
        <v/>
      </c>
    </row>
    <row r="344">
      <c r="A344" s="4" t="n"/>
      <c r="B344" s="5" t="n"/>
      <c r="C344" s="5" t="n"/>
      <c r="D344" s="5" t="n"/>
      <c r="E344" s="6">
        <f>IF(A344="","","B"&amp;TEXT(COUNT($A$2:A344),"00000"))</f>
        <v/>
      </c>
      <c r="F344" s="6">
        <f>IF(OR(C344="",D344=""),"",IFERROR(LOOKUP(2,1/(($C$1:C343=C344)*($D$1:D343=D344)*ISNUMBER($J$1:J343)),$J$1:J343),SUMIFS(Master!$G$2:$G$13,Master!$E$2:$E$13,C344,Master!$F$2:$F$13,D344)))</f>
        <v/>
      </c>
      <c r="G344" s="5" t="n"/>
      <c r="H344" s="5" t="n"/>
      <c r="I344" s="5" t="n"/>
      <c r="J344" s="6">
        <f>IF(OR(F344="",COUNT(G344:I344)&lt;3),"",F344+G344-H344-I344)</f>
        <v/>
      </c>
      <c r="K344" s="6">
        <f>IF(COUNTA(A344:D344,G344:I344)=0,"",IF(COUNTA(A344:D344,G344:I344)&lt;7,"LENGKAPI",IF(H344+I344&gt;N(F344)+G344,"ABNORMAL",IF(COUNTIFS($A$2:$A$2001,A344,$B$2:$B$2001,B344,$C$2:$C$2001,C344,$D$2:$D$2001,D344)&gt;1,"DUPLIKAT","OK"))))</f>
        <v/>
      </c>
    </row>
    <row r="345">
      <c r="A345" s="4" t="n"/>
      <c r="B345" s="5" t="n"/>
      <c r="C345" s="5" t="n"/>
      <c r="D345" s="5" t="n"/>
      <c r="E345" s="6">
        <f>IF(A345="","","B"&amp;TEXT(COUNT($A$2:A345),"00000"))</f>
        <v/>
      </c>
      <c r="F345" s="6">
        <f>IF(OR(C345="",D345=""),"",IFERROR(LOOKUP(2,1/(($C$1:C344=C345)*($D$1:D344=D345)*ISNUMBER($J$1:J344)),$J$1:J344),SUMIFS(Master!$G$2:$G$13,Master!$E$2:$E$13,C345,Master!$F$2:$F$13,D345)))</f>
        <v/>
      </c>
      <c r="G345" s="5" t="n"/>
      <c r="H345" s="5" t="n"/>
      <c r="I345" s="5" t="n"/>
      <c r="J345" s="6">
        <f>IF(OR(F345="",COUNT(G345:I345)&lt;3),"",F345+G345-H345-I345)</f>
        <v/>
      </c>
      <c r="K345" s="6">
        <f>IF(COUNTA(A345:D345,G345:I345)=0,"",IF(COUNTA(A345:D345,G345:I345)&lt;7,"LENGKAPI",IF(H345+I345&gt;N(F345)+G345,"ABNORMAL",IF(COUNTIFS($A$2:$A$2001,A345,$B$2:$B$2001,B345,$C$2:$C$2001,C345,$D$2:$D$2001,D345)&gt;1,"DUPLIKAT","OK"))))</f>
        <v/>
      </c>
    </row>
    <row r="346">
      <c r="A346" s="4" t="n"/>
      <c r="B346" s="5" t="n"/>
      <c r="C346" s="5" t="n"/>
      <c r="D346" s="5" t="n"/>
      <c r="E346" s="6">
        <f>IF(A346="","","B"&amp;TEXT(COUNT($A$2:A346),"00000"))</f>
        <v/>
      </c>
      <c r="F346" s="6">
        <f>IF(OR(C346="",D346=""),"",IFERROR(LOOKUP(2,1/(($C$1:C345=C346)*($D$1:D345=D346)*ISNUMBER($J$1:J345)),$J$1:J345),SUMIFS(Master!$G$2:$G$13,Master!$E$2:$E$13,C346,Master!$F$2:$F$13,D346)))</f>
        <v/>
      </c>
      <c r="G346" s="5" t="n"/>
      <c r="H346" s="5" t="n"/>
      <c r="I346" s="5" t="n"/>
      <c r="J346" s="6">
        <f>IF(OR(F346="",COUNT(G346:I346)&lt;3),"",F346+G346-H346-I346)</f>
        <v/>
      </c>
      <c r="K346" s="6">
        <f>IF(COUNTA(A346:D346,G346:I346)=0,"",IF(COUNTA(A346:D346,G346:I346)&lt;7,"LENGKAPI",IF(H346+I346&gt;N(F346)+G346,"ABNORMAL",IF(COUNTIFS($A$2:$A$2001,A346,$B$2:$B$2001,B346,$C$2:$C$2001,C346,$D$2:$D$2001,D346)&gt;1,"DUPLIKAT","OK"))))</f>
        <v/>
      </c>
    </row>
    <row r="347">
      <c r="A347" s="4" t="n"/>
      <c r="B347" s="5" t="n"/>
      <c r="C347" s="5" t="n"/>
      <c r="D347" s="5" t="n"/>
      <c r="E347" s="6">
        <f>IF(A347="","","B"&amp;TEXT(COUNT($A$2:A347),"00000"))</f>
        <v/>
      </c>
      <c r="F347" s="6">
        <f>IF(OR(C347="",D347=""),"",IFERROR(LOOKUP(2,1/(($C$1:C346=C347)*($D$1:D346=D347)*ISNUMBER($J$1:J346)),$J$1:J346),SUMIFS(Master!$G$2:$G$13,Master!$E$2:$E$13,C347,Master!$F$2:$F$13,D347)))</f>
        <v/>
      </c>
      <c r="G347" s="5" t="n"/>
      <c r="H347" s="5" t="n"/>
      <c r="I347" s="5" t="n"/>
      <c r="J347" s="6">
        <f>IF(OR(F347="",COUNT(G347:I347)&lt;3),"",F347+G347-H347-I347)</f>
        <v/>
      </c>
      <c r="K347" s="6">
        <f>IF(COUNTA(A347:D347,G347:I347)=0,"",IF(COUNTA(A347:D347,G347:I347)&lt;7,"LENGKAPI",IF(H347+I347&gt;N(F347)+G347,"ABNORMAL",IF(COUNTIFS($A$2:$A$2001,A347,$B$2:$B$2001,B347,$C$2:$C$2001,C347,$D$2:$D$2001,D347)&gt;1,"DUPLIKAT","OK"))))</f>
        <v/>
      </c>
    </row>
    <row r="348">
      <c r="A348" s="4" t="n"/>
      <c r="B348" s="5" t="n"/>
      <c r="C348" s="5" t="n"/>
      <c r="D348" s="5" t="n"/>
      <c r="E348" s="6">
        <f>IF(A348="","","B"&amp;TEXT(COUNT($A$2:A348),"00000"))</f>
        <v/>
      </c>
      <c r="F348" s="6">
        <f>IF(OR(C348="",D348=""),"",IFERROR(LOOKUP(2,1/(($C$1:C347=C348)*($D$1:D347=D348)*ISNUMBER($J$1:J347)),$J$1:J347),SUMIFS(Master!$G$2:$G$13,Master!$E$2:$E$13,C348,Master!$F$2:$F$13,D348)))</f>
        <v/>
      </c>
      <c r="G348" s="5" t="n"/>
      <c r="H348" s="5" t="n"/>
      <c r="I348" s="5" t="n"/>
      <c r="J348" s="6">
        <f>IF(OR(F348="",COUNT(G348:I348)&lt;3),"",F348+G348-H348-I348)</f>
        <v/>
      </c>
      <c r="K348" s="6">
        <f>IF(COUNTA(A348:D348,G348:I348)=0,"",IF(COUNTA(A348:D348,G348:I348)&lt;7,"LENGKAPI",IF(H348+I348&gt;N(F348)+G348,"ABNORMAL",IF(COUNTIFS($A$2:$A$2001,A348,$B$2:$B$2001,B348,$C$2:$C$2001,C348,$D$2:$D$2001,D348)&gt;1,"DUPLIKAT","OK"))))</f>
        <v/>
      </c>
    </row>
    <row r="349">
      <c r="A349" s="4" t="n"/>
      <c r="B349" s="5" t="n"/>
      <c r="C349" s="5" t="n"/>
      <c r="D349" s="5" t="n"/>
      <c r="E349" s="6">
        <f>IF(A349="","","B"&amp;TEXT(COUNT($A$2:A349),"00000"))</f>
        <v/>
      </c>
      <c r="F349" s="6">
        <f>IF(OR(C349="",D349=""),"",IFERROR(LOOKUP(2,1/(($C$1:C348=C349)*($D$1:D348=D349)*ISNUMBER($J$1:J348)),$J$1:J348),SUMIFS(Master!$G$2:$G$13,Master!$E$2:$E$13,C349,Master!$F$2:$F$13,D349)))</f>
        <v/>
      </c>
      <c r="G349" s="5" t="n"/>
      <c r="H349" s="5" t="n"/>
      <c r="I349" s="5" t="n"/>
      <c r="J349" s="6">
        <f>IF(OR(F349="",COUNT(G349:I349)&lt;3),"",F349+G349-H349-I349)</f>
        <v/>
      </c>
      <c r="K349" s="6">
        <f>IF(COUNTA(A349:D349,G349:I349)=0,"",IF(COUNTA(A349:D349,G349:I349)&lt;7,"LENGKAPI",IF(H349+I349&gt;N(F349)+G349,"ABNORMAL",IF(COUNTIFS($A$2:$A$2001,A349,$B$2:$B$2001,B349,$C$2:$C$2001,C349,$D$2:$D$2001,D349)&gt;1,"DUPLIKAT","OK"))))</f>
        <v/>
      </c>
    </row>
    <row r="350">
      <c r="A350" s="4" t="n"/>
      <c r="B350" s="5" t="n"/>
      <c r="C350" s="5" t="n"/>
      <c r="D350" s="5" t="n"/>
      <c r="E350" s="6">
        <f>IF(A350="","","B"&amp;TEXT(COUNT($A$2:A350),"00000"))</f>
        <v/>
      </c>
      <c r="F350" s="6">
        <f>IF(OR(C350="",D350=""),"",IFERROR(LOOKUP(2,1/(($C$1:C349=C350)*($D$1:D349=D350)*ISNUMBER($J$1:J349)),$J$1:J349),SUMIFS(Master!$G$2:$G$13,Master!$E$2:$E$13,C350,Master!$F$2:$F$13,D350)))</f>
        <v/>
      </c>
      <c r="G350" s="5" t="n"/>
      <c r="H350" s="5" t="n"/>
      <c r="I350" s="5" t="n"/>
      <c r="J350" s="6">
        <f>IF(OR(F350="",COUNT(G350:I350)&lt;3),"",F350+G350-H350-I350)</f>
        <v/>
      </c>
      <c r="K350" s="6">
        <f>IF(COUNTA(A350:D350,G350:I350)=0,"",IF(COUNTA(A350:D350,G350:I350)&lt;7,"LENGKAPI",IF(H350+I350&gt;N(F350)+G350,"ABNORMAL",IF(COUNTIFS($A$2:$A$2001,A350,$B$2:$B$2001,B350,$C$2:$C$2001,C350,$D$2:$D$2001,D350)&gt;1,"DUPLIKAT","OK"))))</f>
        <v/>
      </c>
    </row>
    <row r="351">
      <c r="A351" s="4" t="n"/>
      <c r="B351" s="5" t="n"/>
      <c r="C351" s="5" t="n"/>
      <c r="D351" s="5" t="n"/>
      <c r="E351" s="6">
        <f>IF(A351="","","B"&amp;TEXT(COUNT($A$2:A351),"00000"))</f>
        <v/>
      </c>
      <c r="F351" s="6">
        <f>IF(OR(C351="",D351=""),"",IFERROR(LOOKUP(2,1/(($C$1:C350=C351)*($D$1:D350=D351)*ISNUMBER($J$1:J350)),$J$1:J350),SUMIFS(Master!$G$2:$G$13,Master!$E$2:$E$13,C351,Master!$F$2:$F$13,D351)))</f>
        <v/>
      </c>
      <c r="G351" s="5" t="n"/>
      <c r="H351" s="5" t="n"/>
      <c r="I351" s="5" t="n"/>
      <c r="J351" s="6">
        <f>IF(OR(F351="",COUNT(G351:I351)&lt;3),"",F351+G351-H351-I351)</f>
        <v/>
      </c>
      <c r="K351" s="6">
        <f>IF(COUNTA(A351:D351,G351:I351)=0,"",IF(COUNTA(A351:D351,G351:I351)&lt;7,"LENGKAPI",IF(H351+I351&gt;N(F351)+G351,"ABNORMAL",IF(COUNTIFS($A$2:$A$2001,A351,$B$2:$B$2001,B351,$C$2:$C$2001,C351,$D$2:$D$2001,D351)&gt;1,"DUPLIKAT","OK"))))</f>
        <v/>
      </c>
    </row>
    <row r="352">
      <c r="A352" s="4" t="n"/>
      <c r="B352" s="5" t="n"/>
      <c r="C352" s="5" t="n"/>
      <c r="D352" s="5" t="n"/>
      <c r="E352" s="6">
        <f>IF(A352="","","B"&amp;TEXT(COUNT($A$2:A352),"00000"))</f>
        <v/>
      </c>
      <c r="F352" s="6">
        <f>IF(OR(C352="",D352=""),"",IFERROR(LOOKUP(2,1/(($C$1:C351=C352)*($D$1:D351=D352)*ISNUMBER($J$1:J351)),$J$1:J351),SUMIFS(Master!$G$2:$G$13,Master!$E$2:$E$13,C352,Master!$F$2:$F$13,D352)))</f>
        <v/>
      </c>
      <c r="G352" s="5" t="n"/>
      <c r="H352" s="5" t="n"/>
      <c r="I352" s="5" t="n"/>
      <c r="J352" s="6">
        <f>IF(OR(F352="",COUNT(G352:I352)&lt;3),"",F352+G352-H352-I352)</f>
        <v/>
      </c>
      <c r="K352" s="6">
        <f>IF(COUNTA(A352:D352,G352:I352)=0,"",IF(COUNTA(A352:D352,G352:I352)&lt;7,"LENGKAPI",IF(H352+I352&gt;N(F352)+G352,"ABNORMAL",IF(COUNTIFS($A$2:$A$2001,A352,$B$2:$B$2001,B352,$C$2:$C$2001,C352,$D$2:$D$2001,D352)&gt;1,"DUPLIKAT","OK"))))</f>
        <v/>
      </c>
    </row>
    <row r="353">
      <c r="A353" s="4" t="n"/>
      <c r="B353" s="5" t="n"/>
      <c r="C353" s="5" t="n"/>
      <c r="D353" s="5" t="n"/>
      <c r="E353" s="6">
        <f>IF(A353="","","B"&amp;TEXT(COUNT($A$2:A353),"00000"))</f>
        <v/>
      </c>
      <c r="F353" s="6">
        <f>IF(OR(C353="",D353=""),"",IFERROR(LOOKUP(2,1/(($C$1:C352=C353)*($D$1:D352=D353)*ISNUMBER($J$1:J352)),$J$1:J352),SUMIFS(Master!$G$2:$G$13,Master!$E$2:$E$13,C353,Master!$F$2:$F$13,D353)))</f>
        <v/>
      </c>
      <c r="G353" s="5" t="n"/>
      <c r="H353" s="5" t="n"/>
      <c r="I353" s="5" t="n"/>
      <c r="J353" s="6">
        <f>IF(OR(F353="",COUNT(G353:I353)&lt;3),"",F353+G353-H353-I353)</f>
        <v/>
      </c>
      <c r="K353" s="6">
        <f>IF(COUNTA(A353:D353,G353:I353)=0,"",IF(COUNTA(A353:D353,G353:I353)&lt;7,"LENGKAPI",IF(H353+I353&gt;N(F353)+G353,"ABNORMAL",IF(COUNTIFS($A$2:$A$2001,A353,$B$2:$B$2001,B353,$C$2:$C$2001,C353,$D$2:$D$2001,D353)&gt;1,"DUPLIKAT","OK"))))</f>
        <v/>
      </c>
    </row>
    <row r="354">
      <c r="A354" s="4" t="n"/>
      <c r="B354" s="5" t="n"/>
      <c r="C354" s="5" t="n"/>
      <c r="D354" s="5" t="n"/>
      <c r="E354" s="6">
        <f>IF(A354="","","B"&amp;TEXT(COUNT($A$2:A354),"00000"))</f>
        <v/>
      </c>
      <c r="F354" s="6">
        <f>IF(OR(C354="",D354=""),"",IFERROR(LOOKUP(2,1/(($C$1:C353=C354)*($D$1:D353=D354)*ISNUMBER($J$1:J353)),$J$1:J353),SUMIFS(Master!$G$2:$G$13,Master!$E$2:$E$13,C354,Master!$F$2:$F$13,D354)))</f>
        <v/>
      </c>
      <c r="G354" s="5" t="n"/>
      <c r="H354" s="5" t="n"/>
      <c r="I354" s="5" t="n"/>
      <c r="J354" s="6">
        <f>IF(OR(F354="",COUNT(G354:I354)&lt;3),"",F354+G354-H354-I354)</f>
        <v/>
      </c>
      <c r="K354" s="6">
        <f>IF(COUNTA(A354:D354,G354:I354)=0,"",IF(COUNTA(A354:D354,G354:I354)&lt;7,"LENGKAPI",IF(H354+I354&gt;N(F354)+G354,"ABNORMAL",IF(COUNTIFS($A$2:$A$2001,A354,$B$2:$B$2001,B354,$C$2:$C$2001,C354,$D$2:$D$2001,D354)&gt;1,"DUPLIKAT","OK"))))</f>
        <v/>
      </c>
    </row>
    <row r="355">
      <c r="A355" s="4" t="n"/>
      <c r="B355" s="5" t="n"/>
      <c r="C355" s="5" t="n"/>
      <c r="D355" s="5" t="n"/>
      <c r="E355" s="6">
        <f>IF(A355="","","B"&amp;TEXT(COUNT($A$2:A355),"00000"))</f>
        <v/>
      </c>
      <c r="F355" s="6">
        <f>IF(OR(C355="",D355=""),"",IFERROR(LOOKUP(2,1/(($C$1:C354=C355)*($D$1:D354=D355)*ISNUMBER($J$1:J354)),$J$1:J354),SUMIFS(Master!$G$2:$G$13,Master!$E$2:$E$13,C355,Master!$F$2:$F$13,D355)))</f>
        <v/>
      </c>
      <c r="G355" s="5" t="n"/>
      <c r="H355" s="5" t="n"/>
      <c r="I355" s="5" t="n"/>
      <c r="J355" s="6">
        <f>IF(OR(F355="",COUNT(G355:I355)&lt;3),"",F355+G355-H355-I355)</f>
        <v/>
      </c>
      <c r="K355" s="6">
        <f>IF(COUNTA(A355:D355,G355:I355)=0,"",IF(COUNTA(A355:D355,G355:I355)&lt;7,"LENGKAPI",IF(H355+I355&gt;N(F355)+G355,"ABNORMAL",IF(COUNTIFS($A$2:$A$2001,A355,$B$2:$B$2001,B355,$C$2:$C$2001,C355,$D$2:$D$2001,D355)&gt;1,"DUPLIKAT","OK"))))</f>
        <v/>
      </c>
    </row>
    <row r="356">
      <c r="A356" s="4" t="n"/>
      <c r="B356" s="5" t="n"/>
      <c r="C356" s="5" t="n"/>
      <c r="D356" s="5" t="n"/>
      <c r="E356" s="6">
        <f>IF(A356="","","B"&amp;TEXT(COUNT($A$2:A356),"00000"))</f>
        <v/>
      </c>
      <c r="F356" s="6">
        <f>IF(OR(C356="",D356=""),"",IFERROR(LOOKUP(2,1/(($C$1:C355=C356)*($D$1:D355=D356)*ISNUMBER($J$1:J355)),$J$1:J355),SUMIFS(Master!$G$2:$G$13,Master!$E$2:$E$13,C356,Master!$F$2:$F$13,D356)))</f>
        <v/>
      </c>
      <c r="G356" s="5" t="n"/>
      <c r="H356" s="5" t="n"/>
      <c r="I356" s="5" t="n"/>
      <c r="J356" s="6">
        <f>IF(OR(F356="",COUNT(G356:I356)&lt;3),"",F356+G356-H356-I356)</f>
        <v/>
      </c>
      <c r="K356" s="6">
        <f>IF(COUNTA(A356:D356,G356:I356)=0,"",IF(COUNTA(A356:D356,G356:I356)&lt;7,"LENGKAPI",IF(H356+I356&gt;N(F356)+G356,"ABNORMAL",IF(COUNTIFS($A$2:$A$2001,A356,$B$2:$B$2001,B356,$C$2:$C$2001,C356,$D$2:$D$2001,D356)&gt;1,"DUPLIKAT","OK"))))</f>
        <v/>
      </c>
    </row>
    <row r="357">
      <c r="A357" s="4" t="n"/>
      <c r="B357" s="5" t="n"/>
      <c r="C357" s="5" t="n"/>
      <c r="D357" s="5" t="n"/>
      <c r="E357" s="6">
        <f>IF(A357="","","B"&amp;TEXT(COUNT($A$2:A357),"00000"))</f>
        <v/>
      </c>
      <c r="F357" s="6">
        <f>IF(OR(C357="",D357=""),"",IFERROR(LOOKUP(2,1/(($C$1:C356=C357)*($D$1:D356=D357)*ISNUMBER($J$1:J356)),$J$1:J356),SUMIFS(Master!$G$2:$G$13,Master!$E$2:$E$13,C357,Master!$F$2:$F$13,D357)))</f>
        <v/>
      </c>
      <c r="G357" s="5" t="n"/>
      <c r="H357" s="5" t="n"/>
      <c r="I357" s="5" t="n"/>
      <c r="J357" s="6">
        <f>IF(OR(F357="",COUNT(G357:I357)&lt;3),"",F357+G357-H357-I357)</f>
        <v/>
      </c>
      <c r="K357" s="6">
        <f>IF(COUNTA(A357:D357,G357:I357)=0,"",IF(COUNTA(A357:D357,G357:I357)&lt;7,"LENGKAPI",IF(H357+I357&gt;N(F357)+G357,"ABNORMAL",IF(COUNTIFS($A$2:$A$2001,A357,$B$2:$B$2001,B357,$C$2:$C$2001,C357,$D$2:$D$2001,D357)&gt;1,"DUPLIKAT","OK"))))</f>
        <v/>
      </c>
    </row>
    <row r="358">
      <c r="A358" s="4" t="n"/>
      <c r="B358" s="5" t="n"/>
      <c r="C358" s="5" t="n"/>
      <c r="D358" s="5" t="n"/>
      <c r="E358" s="6">
        <f>IF(A358="","","B"&amp;TEXT(COUNT($A$2:A358),"00000"))</f>
        <v/>
      </c>
      <c r="F358" s="6">
        <f>IF(OR(C358="",D358=""),"",IFERROR(LOOKUP(2,1/(($C$1:C357=C358)*($D$1:D357=D358)*ISNUMBER($J$1:J357)),$J$1:J357),SUMIFS(Master!$G$2:$G$13,Master!$E$2:$E$13,C358,Master!$F$2:$F$13,D358)))</f>
        <v/>
      </c>
      <c r="G358" s="5" t="n"/>
      <c r="H358" s="5" t="n"/>
      <c r="I358" s="5" t="n"/>
      <c r="J358" s="6">
        <f>IF(OR(F358="",COUNT(G358:I358)&lt;3),"",F358+G358-H358-I358)</f>
        <v/>
      </c>
      <c r="K358" s="6">
        <f>IF(COUNTA(A358:D358,G358:I358)=0,"",IF(COUNTA(A358:D358,G358:I358)&lt;7,"LENGKAPI",IF(H358+I358&gt;N(F358)+G358,"ABNORMAL",IF(COUNTIFS($A$2:$A$2001,A358,$B$2:$B$2001,B358,$C$2:$C$2001,C358,$D$2:$D$2001,D358)&gt;1,"DUPLIKAT","OK"))))</f>
        <v/>
      </c>
    </row>
    <row r="359">
      <c r="A359" s="4" t="n"/>
      <c r="B359" s="5" t="n"/>
      <c r="C359" s="5" t="n"/>
      <c r="D359" s="5" t="n"/>
      <c r="E359" s="6">
        <f>IF(A359="","","B"&amp;TEXT(COUNT($A$2:A359),"00000"))</f>
        <v/>
      </c>
      <c r="F359" s="6">
        <f>IF(OR(C359="",D359=""),"",IFERROR(LOOKUP(2,1/(($C$1:C358=C359)*($D$1:D358=D359)*ISNUMBER($J$1:J358)),$J$1:J358),SUMIFS(Master!$G$2:$G$13,Master!$E$2:$E$13,C359,Master!$F$2:$F$13,D359)))</f>
        <v/>
      </c>
      <c r="G359" s="5" t="n"/>
      <c r="H359" s="5" t="n"/>
      <c r="I359" s="5" t="n"/>
      <c r="J359" s="6">
        <f>IF(OR(F359="",COUNT(G359:I359)&lt;3),"",F359+G359-H359-I359)</f>
        <v/>
      </c>
      <c r="K359" s="6">
        <f>IF(COUNTA(A359:D359,G359:I359)=0,"",IF(COUNTA(A359:D359,G359:I359)&lt;7,"LENGKAPI",IF(H359+I359&gt;N(F359)+G359,"ABNORMAL",IF(COUNTIFS($A$2:$A$2001,A359,$B$2:$B$2001,B359,$C$2:$C$2001,C359,$D$2:$D$2001,D359)&gt;1,"DUPLIKAT","OK"))))</f>
        <v/>
      </c>
    </row>
    <row r="360">
      <c r="A360" s="4" t="n"/>
      <c r="B360" s="5" t="n"/>
      <c r="C360" s="5" t="n"/>
      <c r="D360" s="5" t="n"/>
      <c r="E360" s="6">
        <f>IF(A360="","","B"&amp;TEXT(COUNT($A$2:A360),"00000"))</f>
        <v/>
      </c>
      <c r="F360" s="6">
        <f>IF(OR(C360="",D360=""),"",IFERROR(LOOKUP(2,1/(($C$1:C359=C360)*($D$1:D359=D360)*ISNUMBER($J$1:J359)),$J$1:J359),SUMIFS(Master!$G$2:$G$13,Master!$E$2:$E$13,C360,Master!$F$2:$F$13,D360)))</f>
        <v/>
      </c>
      <c r="G360" s="5" t="n"/>
      <c r="H360" s="5" t="n"/>
      <c r="I360" s="5" t="n"/>
      <c r="J360" s="6">
        <f>IF(OR(F360="",COUNT(G360:I360)&lt;3),"",F360+G360-H360-I360)</f>
        <v/>
      </c>
      <c r="K360" s="6">
        <f>IF(COUNTA(A360:D360,G360:I360)=0,"",IF(COUNTA(A360:D360,G360:I360)&lt;7,"LENGKAPI",IF(H360+I360&gt;N(F360)+G360,"ABNORMAL",IF(COUNTIFS($A$2:$A$2001,A360,$B$2:$B$2001,B360,$C$2:$C$2001,C360,$D$2:$D$2001,D360)&gt;1,"DUPLIKAT","OK"))))</f>
        <v/>
      </c>
    </row>
    <row r="361">
      <c r="A361" s="4" t="n"/>
      <c r="B361" s="5" t="n"/>
      <c r="C361" s="5" t="n"/>
      <c r="D361" s="5" t="n"/>
      <c r="E361" s="6">
        <f>IF(A361="","","B"&amp;TEXT(COUNT($A$2:A361),"00000"))</f>
        <v/>
      </c>
      <c r="F361" s="6">
        <f>IF(OR(C361="",D361=""),"",IFERROR(LOOKUP(2,1/(($C$1:C360=C361)*($D$1:D360=D361)*ISNUMBER($J$1:J360)),$J$1:J360),SUMIFS(Master!$G$2:$G$13,Master!$E$2:$E$13,C361,Master!$F$2:$F$13,D361)))</f>
        <v/>
      </c>
      <c r="G361" s="5" t="n"/>
      <c r="H361" s="5" t="n"/>
      <c r="I361" s="5" t="n"/>
      <c r="J361" s="6">
        <f>IF(OR(F361="",COUNT(G361:I361)&lt;3),"",F361+G361-H361-I361)</f>
        <v/>
      </c>
      <c r="K361" s="6">
        <f>IF(COUNTA(A361:D361,G361:I361)=0,"",IF(COUNTA(A361:D361,G361:I361)&lt;7,"LENGKAPI",IF(H361+I361&gt;N(F361)+G361,"ABNORMAL",IF(COUNTIFS($A$2:$A$2001,A361,$B$2:$B$2001,B361,$C$2:$C$2001,C361,$D$2:$D$2001,D361)&gt;1,"DUPLIKAT","OK"))))</f>
        <v/>
      </c>
    </row>
    <row r="362">
      <c r="A362" s="4" t="n"/>
      <c r="B362" s="5" t="n"/>
      <c r="C362" s="5" t="n"/>
      <c r="D362" s="5" t="n"/>
      <c r="E362" s="6">
        <f>IF(A362="","","B"&amp;TEXT(COUNT($A$2:A362),"00000"))</f>
        <v/>
      </c>
      <c r="F362" s="6">
        <f>IF(OR(C362="",D362=""),"",IFERROR(LOOKUP(2,1/(($C$1:C361=C362)*($D$1:D361=D362)*ISNUMBER($J$1:J361)),$J$1:J361),SUMIFS(Master!$G$2:$G$13,Master!$E$2:$E$13,C362,Master!$F$2:$F$13,D362)))</f>
        <v/>
      </c>
      <c r="G362" s="5" t="n"/>
      <c r="H362" s="5" t="n"/>
      <c r="I362" s="5" t="n"/>
      <c r="J362" s="6">
        <f>IF(OR(F362="",COUNT(G362:I362)&lt;3),"",F362+G362-H362-I362)</f>
        <v/>
      </c>
      <c r="K362" s="6">
        <f>IF(COUNTA(A362:D362,G362:I362)=0,"",IF(COUNTA(A362:D362,G362:I362)&lt;7,"LENGKAPI",IF(H362+I362&gt;N(F362)+G362,"ABNORMAL",IF(COUNTIFS($A$2:$A$2001,A362,$B$2:$B$2001,B362,$C$2:$C$2001,C362,$D$2:$D$2001,D362)&gt;1,"DUPLIKAT","OK"))))</f>
        <v/>
      </c>
    </row>
    <row r="363">
      <c r="A363" s="4" t="n"/>
      <c r="B363" s="5" t="n"/>
      <c r="C363" s="5" t="n"/>
      <c r="D363" s="5" t="n"/>
      <c r="E363" s="6">
        <f>IF(A363="","","B"&amp;TEXT(COUNT($A$2:A363),"00000"))</f>
        <v/>
      </c>
      <c r="F363" s="6">
        <f>IF(OR(C363="",D363=""),"",IFERROR(LOOKUP(2,1/(($C$1:C362=C363)*($D$1:D362=D363)*ISNUMBER($J$1:J362)),$J$1:J362),SUMIFS(Master!$G$2:$G$13,Master!$E$2:$E$13,C363,Master!$F$2:$F$13,D363)))</f>
        <v/>
      </c>
      <c r="G363" s="5" t="n"/>
      <c r="H363" s="5" t="n"/>
      <c r="I363" s="5" t="n"/>
      <c r="J363" s="6">
        <f>IF(OR(F363="",COUNT(G363:I363)&lt;3),"",F363+G363-H363-I363)</f>
        <v/>
      </c>
      <c r="K363" s="6">
        <f>IF(COUNTA(A363:D363,G363:I363)=0,"",IF(COUNTA(A363:D363,G363:I363)&lt;7,"LENGKAPI",IF(H363+I363&gt;N(F363)+G363,"ABNORMAL",IF(COUNTIFS($A$2:$A$2001,A363,$B$2:$B$2001,B363,$C$2:$C$2001,C363,$D$2:$D$2001,D363)&gt;1,"DUPLIKAT","OK"))))</f>
        <v/>
      </c>
    </row>
    <row r="364">
      <c r="A364" s="4" t="n"/>
      <c r="B364" s="5" t="n"/>
      <c r="C364" s="5" t="n"/>
      <c r="D364" s="5" t="n"/>
      <c r="E364" s="6">
        <f>IF(A364="","","B"&amp;TEXT(COUNT($A$2:A364),"00000"))</f>
        <v/>
      </c>
      <c r="F364" s="6">
        <f>IF(OR(C364="",D364=""),"",IFERROR(LOOKUP(2,1/(($C$1:C363=C364)*($D$1:D363=D364)*ISNUMBER($J$1:J363)),$J$1:J363),SUMIFS(Master!$G$2:$G$13,Master!$E$2:$E$13,C364,Master!$F$2:$F$13,D364)))</f>
        <v/>
      </c>
      <c r="G364" s="5" t="n"/>
      <c r="H364" s="5" t="n"/>
      <c r="I364" s="5" t="n"/>
      <c r="J364" s="6">
        <f>IF(OR(F364="",COUNT(G364:I364)&lt;3),"",F364+G364-H364-I364)</f>
        <v/>
      </c>
      <c r="K364" s="6">
        <f>IF(COUNTA(A364:D364,G364:I364)=0,"",IF(COUNTA(A364:D364,G364:I364)&lt;7,"LENGKAPI",IF(H364+I364&gt;N(F364)+G364,"ABNORMAL",IF(COUNTIFS($A$2:$A$2001,A364,$B$2:$B$2001,B364,$C$2:$C$2001,C364,$D$2:$D$2001,D364)&gt;1,"DUPLIKAT","OK"))))</f>
        <v/>
      </c>
    </row>
    <row r="365">
      <c r="A365" s="4" t="n"/>
      <c r="B365" s="5" t="n"/>
      <c r="C365" s="5" t="n"/>
      <c r="D365" s="5" t="n"/>
      <c r="E365" s="6">
        <f>IF(A365="","","B"&amp;TEXT(COUNT($A$2:A365),"00000"))</f>
        <v/>
      </c>
      <c r="F365" s="6">
        <f>IF(OR(C365="",D365=""),"",IFERROR(LOOKUP(2,1/(($C$1:C364=C365)*($D$1:D364=D365)*ISNUMBER($J$1:J364)),$J$1:J364),SUMIFS(Master!$G$2:$G$13,Master!$E$2:$E$13,C365,Master!$F$2:$F$13,D365)))</f>
        <v/>
      </c>
      <c r="G365" s="5" t="n"/>
      <c r="H365" s="5" t="n"/>
      <c r="I365" s="5" t="n"/>
      <c r="J365" s="6">
        <f>IF(OR(F365="",COUNT(G365:I365)&lt;3),"",F365+G365-H365-I365)</f>
        <v/>
      </c>
      <c r="K365" s="6">
        <f>IF(COUNTA(A365:D365,G365:I365)=0,"",IF(COUNTA(A365:D365,G365:I365)&lt;7,"LENGKAPI",IF(H365+I365&gt;N(F365)+G365,"ABNORMAL",IF(COUNTIFS($A$2:$A$2001,A365,$B$2:$B$2001,B365,$C$2:$C$2001,C365,$D$2:$D$2001,D365)&gt;1,"DUPLIKAT","OK"))))</f>
        <v/>
      </c>
    </row>
    <row r="366">
      <c r="A366" s="4" t="n"/>
      <c r="B366" s="5" t="n"/>
      <c r="C366" s="5" t="n"/>
      <c r="D366" s="5" t="n"/>
      <c r="E366" s="6">
        <f>IF(A366="","","B"&amp;TEXT(COUNT($A$2:A366),"00000"))</f>
        <v/>
      </c>
      <c r="F366" s="6">
        <f>IF(OR(C366="",D366=""),"",IFERROR(LOOKUP(2,1/(($C$1:C365=C366)*($D$1:D365=D366)*ISNUMBER($J$1:J365)),$J$1:J365),SUMIFS(Master!$G$2:$G$13,Master!$E$2:$E$13,C366,Master!$F$2:$F$13,D366)))</f>
        <v/>
      </c>
      <c r="G366" s="5" t="n"/>
      <c r="H366" s="5" t="n"/>
      <c r="I366" s="5" t="n"/>
      <c r="J366" s="6">
        <f>IF(OR(F366="",COUNT(G366:I366)&lt;3),"",F366+G366-H366-I366)</f>
        <v/>
      </c>
      <c r="K366" s="6">
        <f>IF(COUNTA(A366:D366,G366:I366)=0,"",IF(COUNTA(A366:D366,G366:I366)&lt;7,"LENGKAPI",IF(H366+I366&gt;N(F366)+G366,"ABNORMAL",IF(COUNTIFS($A$2:$A$2001,A366,$B$2:$B$2001,B366,$C$2:$C$2001,C366,$D$2:$D$2001,D366)&gt;1,"DUPLIKAT","OK"))))</f>
        <v/>
      </c>
    </row>
    <row r="367">
      <c r="A367" s="4" t="n"/>
      <c r="B367" s="5" t="n"/>
      <c r="C367" s="5" t="n"/>
      <c r="D367" s="5" t="n"/>
      <c r="E367" s="6">
        <f>IF(A367="","","B"&amp;TEXT(COUNT($A$2:A367),"00000"))</f>
        <v/>
      </c>
      <c r="F367" s="6">
        <f>IF(OR(C367="",D367=""),"",IFERROR(LOOKUP(2,1/(($C$1:C366=C367)*($D$1:D366=D367)*ISNUMBER($J$1:J366)),$J$1:J366),SUMIFS(Master!$G$2:$G$13,Master!$E$2:$E$13,C367,Master!$F$2:$F$13,D367)))</f>
        <v/>
      </c>
      <c r="G367" s="5" t="n"/>
      <c r="H367" s="5" t="n"/>
      <c r="I367" s="5" t="n"/>
      <c r="J367" s="6">
        <f>IF(OR(F367="",COUNT(G367:I367)&lt;3),"",F367+G367-H367-I367)</f>
        <v/>
      </c>
      <c r="K367" s="6">
        <f>IF(COUNTA(A367:D367,G367:I367)=0,"",IF(COUNTA(A367:D367,G367:I367)&lt;7,"LENGKAPI",IF(H367+I367&gt;N(F367)+G367,"ABNORMAL",IF(COUNTIFS($A$2:$A$2001,A367,$B$2:$B$2001,B367,$C$2:$C$2001,C367,$D$2:$D$2001,D367)&gt;1,"DUPLIKAT","OK"))))</f>
        <v/>
      </c>
    </row>
    <row r="368">
      <c r="A368" s="4" t="n"/>
      <c r="B368" s="5" t="n"/>
      <c r="C368" s="5" t="n"/>
      <c r="D368" s="5" t="n"/>
      <c r="E368" s="6">
        <f>IF(A368="","","B"&amp;TEXT(COUNT($A$2:A368),"00000"))</f>
        <v/>
      </c>
      <c r="F368" s="6">
        <f>IF(OR(C368="",D368=""),"",IFERROR(LOOKUP(2,1/(($C$1:C367=C368)*($D$1:D367=D368)*ISNUMBER($J$1:J367)),$J$1:J367),SUMIFS(Master!$G$2:$G$13,Master!$E$2:$E$13,C368,Master!$F$2:$F$13,D368)))</f>
        <v/>
      </c>
      <c r="G368" s="5" t="n"/>
      <c r="H368" s="5" t="n"/>
      <c r="I368" s="5" t="n"/>
      <c r="J368" s="6">
        <f>IF(OR(F368="",COUNT(G368:I368)&lt;3),"",F368+G368-H368-I368)</f>
        <v/>
      </c>
      <c r="K368" s="6">
        <f>IF(COUNTA(A368:D368,G368:I368)=0,"",IF(COUNTA(A368:D368,G368:I368)&lt;7,"LENGKAPI",IF(H368+I368&gt;N(F368)+G368,"ABNORMAL",IF(COUNTIFS($A$2:$A$2001,A368,$B$2:$B$2001,B368,$C$2:$C$2001,C368,$D$2:$D$2001,D368)&gt;1,"DUPLIKAT","OK"))))</f>
        <v/>
      </c>
    </row>
    <row r="369">
      <c r="A369" s="4" t="n"/>
      <c r="B369" s="5" t="n"/>
      <c r="C369" s="5" t="n"/>
      <c r="D369" s="5" t="n"/>
      <c r="E369" s="6">
        <f>IF(A369="","","B"&amp;TEXT(COUNT($A$2:A369),"00000"))</f>
        <v/>
      </c>
      <c r="F369" s="6">
        <f>IF(OR(C369="",D369=""),"",IFERROR(LOOKUP(2,1/(($C$1:C368=C369)*($D$1:D368=D369)*ISNUMBER($J$1:J368)),$J$1:J368),SUMIFS(Master!$G$2:$G$13,Master!$E$2:$E$13,C369,Master!$F$2:$F$13,D369)))</f>
        <v/>
      </c>
      <c r="G369" s="5" t="n"/>
      <c r="H369" s="5" t="n"/>
      <c r="I369" s="5" t="n"/>
      <c r="J369" s="6">
        <f>IF(OR(F369="",COUNT(G369:I369)&lt;3),"",F369+G369-H369-I369)</f>
        <v/>
      </c>
      <c r="K369" s="6">
        <f>IF(COUNTA(A369:D369,G369:I369)=0,"",IF(COUNTA(A369:D369,G369:I369)&lt;7,"LENGKAPI",IF(H369+I369&gt;N(F369)+G369,"ABNORMAL",IF(COUNTIFS($A$2:$A$2001,A369,$B$2:$B$2001,B369,$C$2:$C$2001,C369,$D$2:$D$2001,D369)&gt;1,"DUPLIKAT","OK"))))</f>
        <v/>
      </c>
    </row>
    <row r="370">
      <c r="A370" s="4" t="n"/>
      <c r="B370" s="5" t="n"/>
      <c r="C370" s="5" t="n"/>
      <c r="D370" s="5" t="n"/>
      <c r="E370" s="6">
        <f>IF(A370="","","B"&amp;TEXT(COUNT($A$2:A370),"00000"))</f>
        <v/>
      </c>
      <c r="F370" s="6">
        <f>IF(OR(C370="",D370=""),"",IFERROR(LOOKUP(2,1/(($C$1:C369=C370)*($D$1:D369=D370)*ISNUMBER($J$1:J369)),$J$1:J369),SUMIFS(Master!$G$2:$G$13,Master!$E$2:$E$13,C370,Master!$F$2:$F$13,D370)))</f>
        <v/>
      </c>
      <c r="G370" s="5" t="n"/>
      <c r="H370" s="5" t="n"/>
      <c r="I370" s="5" t="n"/>
      <c r="J370" s="6">
        <f>IF(OR(F370="",COUNT(G370:I370)&lt;3),"",F370+G370-H370-I370)</f>
        <v/>
      </c>
      <c r="K370" s="6">
        <f>IF(COUNTA(A370:D370,G370:I370)=0,"",IF(COUNTA(A370:D370,G370:I370)&lt;7,"LENGKAPI",IF(H370+I370&gt;N(F370)+G370,"ABNORMAL",IF(COUNTIFS($A$2:$A$2001,A370,$B$2:$B$2001,B370,$C$2:$C$2001,C370,$D$2:$D$2001,D370)&gt;1,"DUPLIKAT","OK"))))</f>
        <v/>
      </c>
    </row>
    <row r="371">
      <c r="A371" s="4" t="n"/>
      <c r="B371" s="5" t="n"/>
      <c r="C371" s="5" t="n"/>
      <c r="D371" s="5" t="n"/>
      <c r="E371" s="6">
        <f>IF(A371="","","B"&amp;TEXT(COUNT($A$2:A371),"00000"))</f>
        <v/>
      </c>
      <c r="F371" s="6">
        <f>IF(OR(C371="",D371=""),"",IFERROR(LOOKUP(2,1/(($C$1:C370=C371)*($D$1:D370=D371)*ISNUMBER($J$1:J370)),$J$1:J370),SUMIFS(Master!$G$2:$G$13,Master!$E$2:$E$13,C371,Master!$F$2:$F$13,D371)))</f>
        <v/>
      </c>
      <c r="G371" s="5" t="n"/>
      <c r="H371" s="5" t="n"/>
      <c r="I371" s="5" t="n"/>
      <c r="J371" s="6">
        <f>IF(OR(F371="",COUNT(G371:I371)&lt;3),"",F371+G371-H371-I371)</f>
        <v/>
      </c>
      <c r="K371" s="6">
        <f>IF(COUNTA(A371:D371,G371:I371)=0,"",IF(COUNTA(A371:D371,G371:I371)&lt;7,"LENGKAPI",IF(H371+I371&gt;N(F371)+G371,"ABNORMAL",IF(COUNTIFS($A$2:$A$2001,A371,$B$2:$B$2001,B371,$C$2:$C$2001,C371,$D$2:$D$2001,D371)&gt;1,"DUPLIKAT","OK"))))</f>
        <v/>
      </c>
    </row>
    <row r="372">
      <c r="A372" s="4" t="n"/>
      <c r="B372" s="5" t="n"/>
      <c r="C372" s="5" t="n"/>
      <c r="D372" s="5" t="n"/>
      <c r="E372" s="6">
        <f>IF(A372="","","B"&amp;TEXT(COUNT($A$2:A372),"00000"))</f>
        <v/>
      </c>
      <c r="F372" s="6">
        <f>IF(OR(C372="",D372=""),"",IFERROR(LOOKUP(2,1/(($C$1:C371=C372)*($D$1:D371=D372)*ISNUMBER($J$1:J371)),$J$1:J371),SUMIFS(Master!$G$2:$G$13,Master!$E$2:$E$13,C372,Master!$F$2:$F$13,D372)))</f>
        <v/>
      </c>
      <c r="G372" s="5" t="n"/>
      <c r="H372" s="5" t="n"/>
      <c r="I372" s="5" t="n"/>
      <c r="J372" s="6">
        <f>IF(OR(F372="",COUNT(G372:I372)&lt;3),"",F372+G372-H372-I372)</f>
        <v/>
      </c>
      <c r="K372" s="6">
        <f>IF(COUNTA(A372:D372,G372:I372)=0,"",IF(COUNTA(A372:D372,G372:I372)&lt;7,"LENGKAPI",IF(H372+I372&gt;N(F372)+G372,"ABNORMAL",IF(COUNTIFS($A$2:$A$2001,A372,$B$2:$B$2001,B372,$C$2:$C$2001,C372,$D$2:$D$2001,D372)&gt;1,"DUPLIKAT","OK"))))</f>
        <v/>
      </c>
    </row>
    <row r="373">
      <c r="A373" s="4" t="n"/>
      <c r="B373" s="5" t="n"/>
      <c r="C373" s="5" t="n"/>
      <c r="D373" s="5" t="n"/>
      <c r="E373" s="6">
        <f>IF(A373="","","B"&amp;TEXT(COUNT($A$2:A373),"00000"))</f>
        <v/>
      </c>
      <c r="F373" s="6">
        <f>IF(OR(C373="",D373=""),"",IFERROR(LOOKUP(2,1/(($C$1:C372=C373)*($D$1:D372=D373)*ISNUMBER($J$1:J372)),$J$1:J372),SUMIFS(Master!$G$2:$G$13,Master!$E$2:$E$13,C373,Master!$F$2:$F$13,D373)))</f>
        <v/>
      </c>
      <c r="G373" s="5" t="n"/>
      <c r="H373" s="5" t="n"/>
      <c r="I373" s="5" t="n"/>
      <c r="J373" s="6">
        <f>IF(OR(F373="",COUNT(G373:I373)&lt;3),"",F373+G373-H373-I373)</f>
        <v/>
      </c>
      <c r="K373" s="6">
        <f>IF(COUNTA(A373:D373,G373:I373)=0,"",IF(COUNTA(A373:D373,G373:I373)&lt;7,"LENGKAPI",IF(H373+I373&gt;N(F373)+G373,"ABNORMAL",IF(COUNTIFS($A$2:$A$2001,A373,$B$2:$B$2001,B373,$C$2:$C$2001,C373,$D$2:$D$2001,D373)&gt;1,"DUPLIKAT","OK"))))</f>
        <v/>
      </c>
    </row>
    <row r="374">
      <c r="A374" s="4" t="n"/>
      <c r="B374" s="5" t="n"/>
      <c r="C374" s="5" t="n"/>
      <c r="D374" s="5" t="n"/>
      <c r="E374" s="6">
        <f>IF(A374="","","B"&amp;TEXT(COUNT($A$2:A374),"00000"))</f>
        <v/>
      </c>
      <c r="F374" s="6">
        <f>IF(OR(C374="",D374=""),"",IFERROR(LOOKUP(2,1/(($C$1:C373=C374)*($D$1:D373=D374)*ISNUMBER($J$1:J373)),$J$1:J373),SUMIFS(Master!$G$2:$G$13,Master!$E$2:$E$13,C374,Master!$F$2:$F$13,D374)))</f>
        <v/>
      </c>
      <c r="G374" s="5" t="n"/>
      <c r="H374" s="5" t="n"/>
      <c r="I374" s="5" t="n"/>
      <c r="J374" s="6">
        <f>IF(OR(F374="",COUNT(G374:I374)&lt;3),"",F374+G374-H374-I374)</f>
        <v/>
      </c>
      <c r="K374" s="6">
        <f>IF(COUNTA(A374:D374,G374:I374)=0,"",IF(COUNTA(A374:D374,G374:I374)&lt;7,"LENGKAPI",IF(H374+I374&gt;N(F374)+G374,"ABNORMAL",IF(COUNTIFS($A$2:$A$2001,A374,$B$2:$B$2001,B374,$C$2:$C$2001,C374,$D$2:$D$2001,D374)&gt;1,"DUPLIKAT","OK"))))</f>
        <v/>
      </c>
    </row>
    <row r="375">
      <c r="A375" s="4" t="n"/>
      <c r="B375" s="5" t="n"/>
      <c r="C375" s="5" t="n"/>
      <c r="D375" s="5" t="n"/>
      <c r="E375" s="6">
        <f>IF(A375="","","B"&amp;TEXT(COUNT($A$2:A375),"00000"))</f>
        <v/>
      </c>
      <c r="F375" s="6">
        <f>IF(OR(C375="",D375=""),"",IFERROR(LOOKUP(2,1/(($C$1:C374=C375)*($D$1:D374=D375)*ISNUMBER($J$1:J374)),$J$1:J374),SUMIFS(Master!$G$2:$G$13,Master!$E$2:$E$13,C375,Master!$F$2:$F$13,D375)))</f>
        <v/>
      </c>
      <c r="G375" s="5" t="n"/>
      <c r="H375" s="5" t="n"/>
      <c r="I375" s="5" t="n"/>
      <c r="J375" s="6">
        <f>IF(OR(F375="",COUNT(G375:I375)&lt;3),"",F375+G375-H375-I375)</f>
        <v/>
      </c>
      <c r="K375" s="6">
        <f>IF(COUNTA(A375:D375,G375:I375)=0,"",IF(COUNTA(A375:D375,G375:I375)&lt;7,"LENGKAPI",IF(H375+I375&gt;N(F375)+G375,"ABNORMAL",IF(COUNTIFS($A$2:$A$2001,A375,$B$2:$B$2001,B375,$C$2:$C$2001,C375,$D$2:$D$2001,D375)&gt;1,"DUPLIKAT","OK"))))</f>
        <v/>
      </c>
    </row>
    <row r="376">
      <c r="A376" s="4" t="n"/>
      <c r="B376" s="5" t="n"/>
      <c r="C376" s="5" t="n"/>
      <c r="D376" s="5" t="n"/>
      <c r="E376" s="6">
        <f>IF(A376="","","B"&amp;TEXT(COUNT($A$2:A376),"00000"))</f>
        <v/>
      </c>
      <c r="F376" s="6">
        <f>IF(OR(C376="",D376=""),"",IFERROR(LOOKUP(2,1/(($C$1:C375=C376)*($D$1:D375=D376)*ISNUMBER($J$1:J375)),$J$1:J375),SUMIFS(Master!$G$2:$G$13,Master!$E$2:$E$13,C376,Master!$F$2:$F$13,D376)))</f>
        <v/>
      </c>
      <c r="G376" s="5" t="n"/>
      <c r="H376" s="5" t="n"/>
      <c r="I376" s="5" t="n"/>
      <c r="J376" s="6">
        <f>IF(OR(F376="",COUNT(G376:I376)&lt;3),"",F376+G376-H376-I376)</f>
        <v/>
      </c>
      <c r="K376" s="6">
        <f>IF(COUNTA(A376:D376,G376:I376)=0,"",IF(COUNTA(A376:D376,G376:I376)&lt;7,"LENGKAPI",IF(H376+I376&gt;N(F376)+G376,"ABNORMAL",IF(COUNTIFS($A$2:$A$2001,A376,$B$2:$B$2001,B376,$C$2:$C$2001,C376,$D$2:$D$2001,D376)&gt;1,"DUPLIKAT","OK"))))</f>
        <v/>
      </c>
    </row>
    <row r="377">
      <c r="A377" s="4" t="n"/>
      <c r="B377" s="5" t="n"/>
      <c r="C377" s="5" t="n"/>
      <c r="D377" s="5" t="n"/>
      <c r="E377" s="6">
        <f>IF(A377="","","B"&amp;TEXT(COUNT($A$2:A377),"00000"))</f>
        <v/>
      </c>
      <c r="F377" s="6">
        <f>IF(OR(C377="",D377=""),"",IFERROR(LOOKUP(2,1/(($C$1:C376=C377)*($D$1:D376=D377)*ISNUMBER($J$1:J376)),$J$1:J376),SUMIFS(Master!$G$2:$G$13,Master!$E$2:$E$13,C377,Master!$F$2:$F$13,D377)))</f>
        <v/>
      </c>
      <c r="G377" s="5" t="n"/>
      <c r="H377" s="5" t="n"/>
      <c r="I377" s="5" t="n"/>
      <c r="J377" s="6">
        <f>IF(OR(F377="",COUNT(G377:I377)&lt;3),"",F377+G377-H377-I377)</f>
        <v/>
      </c>
      <c r="K377" s="6">
        <f>IF(COUNTA(A377:D377,G377:I377)=0,"",IF(COUNTA(A377:D377,G377:I377)&lt;7,"LENGKAPI",IF(H377+I377&gt;N(F377)+G377,"ABNORMAL",IF(COUNTIFS($A$2:$A$2001,A377,$B$2:$B$2001,B377,$C$2:$C$2001,C377,$D$2:$D$2001,D377)&gt;1,"DUPLIKAT","OK"))))</f>
        <v/>
      </c>
    </row>
    <row r="378">
      <c r="A378" s="4" t="n"/>
      <c r="B378" s="5" t="n"/>
      <c r="C378" s="5" t="n"/>
      <c r="D378" s="5" t="n"/>
      <c r="E378" s="6">
        <f>IF(A378="","","B"&amp;TEXT(COUNT($A$2:A378),"00000"))</f>
        <v/>
      </c>
      <c r="F378" s="6">
        <f>IF(OR(C378="",D378=""),"",IFERROR(LOOKUP(2,1/(($C$1:C377=C378)*($D$1:D377=D378)*ISNUMBER($J$1:J377)),$J$1:J377),SUMIFS(Master!$G$2:$G$13,Master!$E$2:$E$13,C378,Master!$F$2:$F$13,D378)))</f>
        <v/>
      </c>
      <c r="G378" s="5" t="n"/>
      <c r="H378" s="5" t="n"/>
      <c r="I378" s="5" t="n"/>
      <c r="J378" s="6">
        <f>IF(OR(F378="",COUNT(G378:I378)&lt;3),"",F378+G378-H378-I378)</f>
        <v/>
      </c>
      <c r="K378" s="6">
        <f>IF(COUNTA(A378:D378,G378:I378)=0,"",IF(COUNTA(A378:D378,G378:I378)&lt;7,"LENGKAPI",IF(H378+I378&gt;N(F378)+G378,"ABNORMAL",IF(COUNTIFS($A$2:$A$2001,A378,$B$2:$B$2001,B378,$C$2:$C$2001,C378,$D$2:$D$2001,D378)&gt;1,"DUPLIKAT","OK"))))</f>
        <v/>
      </c>
    </row>
    <row r="379">
      <c r="A379" s="4" t="n"/>
      <c r="B379" s="5" t="n"/>
      <c r="C379" s="5" t="n"/>
      <c r="D379" s="5" t="n"/>
      <c r="E379" s="6">
        <f>IF(A379="","","B"&amp;TEXT(COUNT($A$2:A379),"00000"))</f>
        <v/>
      </c>
      <c r="F379" s="6">
        <f>IF(OR(C379="",D379=""),"",IFERROR(LOOKUP(2,1/(($C$1:C378=C379)*($D$1:D378=D379)*ISNUMBER($J$1:J378)),$J$1:J378),SUMIFS(Master!$G$2:$G$13,Master!$E$2:$E$13,C379,Master!$F$2:$F$13,D379)))</f>
        <v/>
      </c>
      <c r="G379" s="5" t="n"/>
      <c r="H379" s="5" t="n"/>
      <c r="I379" s="5" t="n"/>
      <c r="J379" s="6">
        <f>IF(OR(F379="",COUNT(G379:I379)&lt;3),"",F379+G379-H379-I379)</f>
        <v/>
      </c>
      <c r="K379" s="6">
        <f>IF(COUNTA(A379:D379,G379:I379)=0,"",IF(COUNTA(A379:D379,G379:I379)&lt;7,"LENGKAPI",IF(H379+I379&gt;N(F379)+G379,"ABNORMAL",IF(COUNTIFS($A$2:$A$2001,A379,$B$2:$B$2001,B379,$C$2:$C$2001,C379,$D$2:$D$2001,D379)&gt;1,"DUPLIKAT","OK"))))</f>
        <v/>
      </c>
    </row>
    <row r="380">
      <c r="A380" s="4" t="n"/>
      <c r="B380" s="5" t="n"/>
      <c r="C380" s="5" t="n"/>
      <c r="D380" s="5" t="n"/>
      <c r="E380" s="6">
        <f>IF(A380="","","B"&amp;TEXT(COUNT($A$2:A380),"00000"))</f>
        <v/>
      </c>
      <c r="F380" s="6">
        <f>IF(OR(C380="",D380=""),"",IFERROR(LOOKUP(2,1/(($C$1:C379=C380)*($D$1:D379=D380)*ISNUMBER($J$1:J379)),$J$1:J379),SUMIFS(Master!$G$2:$G$13,Master!$E$2:$E$13,C380,Master!$F$2:$F$13,D380)))</f>
        <v/>
      </c>
      <c r="G380" s="5" t="n"/>
      <c r="H380" s="5" t="n"/>
      <c r="I380" s="5" t="n"/>
      <c r="J380" s="6">
        <f>IF(OR(F380="",COUNT(G380:I380)&lt;3),"",F380+G380-H380-I380)</f>
        <v/>
      </c>
      <c r="K380" s="6">
        <f>IF(COUNTA(A380:D380,G380:I380)=0,"",IF(COUNTA(A380:D380,G380:I380)&lt;7,"LENGKAPI",IF(H380+I380&gt;N(F380)+G380,"ABNORMAL",IF(COUNTIFS($A$2:$A$2001,A380,$B$2:$B$2001,B380,$C$2:$C$2001,C380,$D$2:$D$2001,D380)&gt;1,"DUPLIKAT","OK"))))</f>
        <v/>
      </c>
    </row>
    <row r="381">
      <c r="A381" s="4" t="n"/>
      <c r="B381" s="5" t="n"/>
      <c r="C381" s="5" t="n"/>
      <c r="D381" s="5" t="n"/>
      <c r="E381" s="6">
        <f>IF(A381="","","B"&amp;TEXT(COUNT($A$2:A381),"00000"))</f>
        <v/>
      </c>
      <c r="F381" s="6">
        <f>IF(OR(C381="",D381=""),"",IFERROR(LOOKUP(2,1/(($C$1:C380=C381)*($D$1:D380=D381)*ISNUMBER($J$1:J380)),$J$1:J380),SUMIFS(Master!$G$2:$G$13,Master!$E$2:$E$13,C381,Master!$F$2:$F$13,D381)))</f>
        <v/>
      </c>
      <c r="G381" s="5" t="n"/>
      <c r="H381" s="5" t="n"/>
      <c r="I381" s="5" t="n"/>
      <c r="J381" s="6">
        <f>IF(OR(F381="",COUNT(G381:I381)&lt;3),"",F381+G381-H381-I381)</f>
        <v/>
      </c>
      <c r="K381" s="6">
        <f>IF(COUNTA(A381:D381,G381:I381)=0,"",IF(COUNTA(A381:D381,G381:I381)&lt;7,"LENGKAPI",IF(H381+I381&gt;N(F381)+G381,"ABNORMAL",IF(COUNTIFS($A$2:$A$2001,A381,$B$2:$B$2001,B381,$C$2:$C$2001,C381,$D$2:$D$2001,D381)&gt;1,"DUPLIKAT","OK"))))</f>
        <v/>
      </c>
    </row>
    <row r="382">
      <c r="A382" s="4" t="n"/>
      <c r="B382" s="5" t="n"/>
      <c r="C382" s="5" t="n"/>
      <c r="D382" s="5" t="n"/>
      <c r="E382" s="6">
        <f>IF(A382="","","B"&amp;TEXT(COUNT($A$2:A382),"00000"))</f>
        <v/>
      </c>
      <c r="F382" s="6">
        <f>IF(OR(C382="",D382=""),"",IFERROR(LOOKUP(2,1/(($C$1:C381=C382)*($D$1:D381=D382)*ISNUMBER($J$1:J381)),$J$1:J381),SUMIFS(Master!$G$2:$G$13,Master!$E$2:$E$13,C382,Master!$F$2:$F$13,D382)))</f>
        <v/>
      </c>
      <c r="G382" s="5" t="n"/>
      <c r="H382" s="5" t="n"/>
      <c r="I382" s="5" t="n"/>
      <c r="J382" s="6">
        <f>IF(OR(F382="",COUNT(G382:I382)&lt;3),"",F382+G382-H382-I382)</f>
        <v/>
      </c>
      <c r="K382" s="6">
        <f>IF(COUNTA(A382:D382,G382:I382)=0,"",IF(COUNTA(A382:D382,G382:I382)&lt;7,"LENGKAPI",IF(H382+I382&gt;N(F382)+G382,"ABNORMAL",IF(COUNTIFS($A$2:$A$2001,A382,$B$2:$B$2001,B382,$C$2:$C$2001,C382,$D$2:$D$2001,D382)&gt;1,"DUPLIKAT","OK"))))</f>
        <v/>
      </c>
    </row>
    <row r="383">
      <c r="A383" s="4" t="n"/>
      <c r="B383" s="5" t="n"/>
      <c r="C383" s="5" t="n"/>
      <c r="D383" s="5" t="n"/>
      <c r="E383" s="6">
        <f>IF(A383="","","B"&amp;TEXT(COUNT($A$2:A383),"00000"))</f>
        <v/>
      </c>
      <c r="F383" s="6">
        <f>IF(OR(C383="",D383=""),"",IFERROR(LOOKUP(2,1/(($C$1:C382=C383)*($D$1:D382=D383)*ISNUMBER($J$1:J382)),$J$1:J382),SUMIFS(Master!$G$2:$G$13,Master!$E$2:$E$13,C383,Master!$F$2:$F$13,D383)))</f>
        <v/>
      </c>
      <c r="G383" s="5" t="n"/>
      <c r="H383" s="5" t="n"/>
      <c r="I383" s="5" t="n"/>
      <c r="J383" s="6">
        <f>IF(OR(F383="",COUNT(G383:I383)&lt;3),"",F383+G383-H383-I383)</f>
        <v/>
      </c>
      <c r="K383" s="6">
        <f>IF(COUNTA(A383:D383,G383:I383)=0,"",IF(COUNTA(A383:D383,G383:I383)&lt;7,"LENGKAPI",IF(H383+I383&gt;N(F383)+G383,"ABNORMAL",IF(COUNTIFS($A$2:$A$2001,A383,$B$2:$B$2001,B383,$C$2:$C$2001,C383,$D$2:$D$2001,D383)&gt;1,"DUPLIKAT","OK"))))</f>
        <v/>
      </c>
    </row>
    <row r="384">
      <c r="A384" s="4" t="n"/>
      <c r="B384" s="5" t="n"/>
      <c r="C384" s="5" t="n"/>
      <c r="D384" s="5" t="n"/>
      <c r="E384" s="6">
        <f>IF(A384="","","B"&amp;TEXT(COUNT($A$2:A384),"00000"))</f>
        <v/>
      </c>
      <c r="F384" s="6">
        <f>IF(OR(C384="",D384=""),"",IFERROR(LOOKUP(2,1/(($C$1:C383=C384)*($D$1:D383=D384)*ISNUMBER($J$1:J383)),$J$1:J383),SUMIFS(Master!$G$2:$G$13,Master!$E$2:$E$13,C384,Master!$F$2:$F$13,D384)))</f>
        <v/>
      </c>
      <c r="G384" s="5" t="n"/>
      <c r="H384" s="5" t="n"/>
      <c r="I384" s="5" t="n"/>
      <c r="J384" s="6">
        <f>IF(OR(F384="",COUNT(G384:I384)&lt;3),"",F384+G384-H384-I384)</f>
        <v/>
      </c>
      <c r="K384" s="6">
        <f>IF(COUNTA(A384:D384,G384:I384)=0,"",IF(COUNTA(A384:D384,G384:I384)&lt;7,"LENGKAPI",IF(H384+I384&gt;N(F384)+G384,"ABNORMAL",IF(COUNTIFS($A$2:$A$2001,A384,$B$2:$B$2001,B384,$C$2:$C$2001,C384,$D$2:$D$2001,D384)&gt;1,"DUPLIKAT","OK"))))</f>
        <v/>
      </c>
    </row>
    <row r="385">
      <c r="A385" s="4" t="n"/>
      <c r="B385" s="5" t="n"/>
      <c r="C385" s="5" t="n"/>
      <c r="D385" s="5" t="n"/>
      <c r="E385" s="6">
        <f>IF(A385="","","B"&amp;TEXT(COUNT($A$2:A385),"00000"))</f>
        <v/>
      </c>
      <c r="F385" s="6">
        <f>IF(OR(C385="",D385=""),"",IFERROR(LOOKUP(2,1/(($C$1:C384=C385)*($D$1:D384=D385)*ISNUMBER($J$1:J384)),$J$1:J384),SUMIFS(Master!$G$2:$G$13,Master!$E$2:$E$13,C385,Master!$F$2:$F$13,D385)))</f>
        <v/>
      </c>
      <c r="G385" s="5" t="n"/>
      <c r="H385" s="5" t="n"/>
      <c r="I385" s="5" t="n"/>
      <c r="J385" s="6">
        <f>IF(OR(F385="",COUNT(G385:I385)&lt;3),"",F385+G385-H385-I385)</f>
        <v/>
      </c>
      <c r="K385" s="6">
        <f>IF(COUNTA(A385:D385,G385:I385)=0,"",IF(COUNTA(A385:D385,G385:I385)&lt;7,"LENGKAPI",IF(H385+I385&gt;N(F385)+G385,"ABNORMAL",IF(COUNTIFS($A$2:$A$2001,A385,$B$2:$B$2001,B385,$C$2:$C$2001,C385,$D$2:$D$2001,D385)&gt;1,"DUPLIKAT","OK"))))</f>
        <v/>
      </c>
    </row>
    <row r="386">
      <c r="A386" s="4" t="n"/>
      <c r="B386" s="5" t="n"/>
      <c r="C386" s="5" t="n"/>
      <c r="D386" s="5" t="n"/>
      <c r="E386" s="6">
        <f>IF(A386="","","B"&amp;TEXT(COUNT($A$2:A386),"00000"))</f>
        <v/>
      </c>
      <c r="F386" s="6">
        <f>IF(OR(C386="",D386=""),"",IFERROR(LOOKUP(2,1/(($C$1:C385=C386)*($D$1:D385=D386)*ISNUMBER($J$1:J385)),$J$1:J385),SUMIFS(Master!$G$2:$G$13,Master!$E$2:$E$13,C386,Master!$F$2:$F$13,D386)))</f>
        <v/>
      </c>
      <c r="G386" s="5" t="n"/>
      <c r="H386" s="5" t="n"/>
      <c r="I386" s="5" t="n"/>
      <c r="J386" s="6">
        <f>IF(OR(F386="",COUNT(G386:I386)&lt;3),"",F386+G386-H386-I386)</f>
        <v/>
      </c>
      <c r="K386" s="6">
        <f>IF(COUNTA(A386:D386,G386:I386)=0,"",IF(COUNTA(A386:D386,G386:I386)&lt;7,"LENGKAPI",IF(H386+I386&gt;N(F386)+G386,"ABNORMAL",IF(COUNTIFS($A$2:$A$2001,A386,$B$2:$B$2001,B386,$C$2:$C$2001,C386,$D$2:$D$2001,D386)&gt;1,"DUPLIKAT","OK"))))</f>
        <v/>
      </c>
    </row>
    <row r="387">
      <c r="A387" s="4" t="n"/>
      <c r="B387" s="5" t="n"/>
      <c r="C387" s="5" t="n"/>
      <c r="D387" s="5" t="n"/>
      <c r="E387" s="6">
        <f>IF(A387="","","B"&amp;TEXT(COUNT($A$2:A387),"00000"))</f>
        <v/>
      </c>
      <c r="F387" s="6">
        <f>IF(OR(C387="",D387=""),"",IFERROR(LOOKUP(2,1/(($C$1:C386=C387)*($D$1:D386=D387)*ISNUMBER($J$1:J386)),$J$1:J386),SUMIFS(Master!$G$2:$G$13,Master!$E$2:$E$13,C387,Master!$F$2:$F$13,D387)))</f>
        <v/>
      </c>
      <c r="G387" s="5" t="n"/>
      <c r="H387" s="5" t="n"/>
      <c r="I387" s="5" t="n"/>
      <c r="J387" s="6">
        <f>IF(OR(F387="",COUNT(G387:I387)&lt;3),"",F387+G387-H387-I387)</f>
        <v/>
      </c>
      <c r="K387" s="6">
        <f>IF(COUNTA(A387:D387,G387:I387)=0,"",IF(COUNTA(A387:D387,G387:I387)&lt;7,"LENGKAPI",IF(H387+I387&gt;N(F387)+G387,"ABNORMAL",IF(COUNTIFS($A$2:$A$2001,A387,$B$2:$B$2001,B387,$C$2:$C$2001,C387,$D$2:$D$2001,D387)&gt;1,"DUPLIKAT","OK"))))</f>
        <v/>
      </c>
    </row>
    <row r="388">
      <c r="A388" s="4" t="n"/>
      <c r="B388" s="5" t="n"/>
      <c r="C388" s="5" t="n"/>
      <c r="D388" s="5" t="n"/>
      <c r="E388" s="6">
        <f>IF(A388="","","B"&amp;TEXT(COUNT($A$2:A388),"00000"))</f>
        <v/>
      </c>
      <c r="F388" s="6">
        <f>IF(OR(C388="",D388=""),"",IFERROR(LOOKUP(2,1/(($C$1:C387=C388)*($D$1:D387=D388)*ISNUMBER($J$1:J387)),$J$1:J387),SUMIFS(Master!$G$2:$G$13,Master!$E$2:$E$13,C388,Master!$F$2:$F$13,D388)))</f>
        <v/>
      </c>
      <c r="G388" s="5" t="n"/>
      <c r="H388" s="5" t="n"/>
      <c r="I388" s="5" t="n"/>
      <c r="J388" s="6">
        <f>IF(OR(F388="",COUNT(G388:I388)&lt;3),"",F388+G388-H388-I388)</f>
        <v/>
      </c>
      <c r="K388" s="6">
        <f>IF(COUNTA(A388:D388,G388:I388)=0,"",IF(COUNTA(A388:D388,G388:I388)&lt;7,"LENGKAPI",IF(H388+I388&gt;N(F388)+G388,"ABNORMAL",IF(COUNTIFS($A$2:$A$2001,A388,$B$2:$B$2001,B388,$C$2:$C$2001,C388,$D$2:$D$2001,D388)&gt;1,"DUPLIKAT","OK"))))</f>
        <v/>
      </c>
    </row>
    <row r="389">
      <c r="A389" s="4" t="n"/>
      <c r="B389" s="5" t="n"/>
      <c r="C389" s="5" t="n"/>
      <c r="D389" s="5" t="n"/>
      <c r="E389" s="6">
        <f>IF(A389="","","B"&amp;TEXT(COUNT($A$2:A389),"00000"))</f>
        <v/>
      </c>
      <c r="F389" s="6">
        <f>IF(OR(C389="",D389=""),"",IFERROR(LOOKUP(2,1/(($C$1:C388=C389)*($D$1:D388=D389)*ISNUMBER($J$1:J388)),$J$1:J388),SUMIFS(Master!$G$2:$G$13,Master!$E$2:$E$13,C389,Master!$F$2:$F$13,D389)))</f>
        <v/>
      </c>
      <c r="G389" s="5" t="n"/>
      <c r="H389" s="5" t="n"/>
      <c r="I389" s="5" t="n"/>
      <c r="J389" s="6">
        <f>IF(OR(F389="",COUNT(G389:I389)&lt;3),"",F389+G389-H389-I389)</f>
        <v/>
      </c>
      <c r="K389" s="6">
        <f>IF(COUNTA(A389:D389,G389:I389)=0,"",IF(COUNTA(A389:D389,G389:I389)&lt;7,"LENGKAPI",IF(H389+I389&gt;N(F389)+G389,"ABNORMAL",IF(COUNTIFS($A$2:$A$2001,A389,$B$2:$B$2001,B389,$C$2:$C$2001,C389,$D$2:$D$2001,D389)&gt;1,"DUPLIKAT","OK"))))</f>
        <v/>
      </c>
    </row>
    <row r="390">
      <c r="A390" s="4" t="n"/>
      <c r="B390" s="5" t="n"/>
      <c r="C390" s="5" t="n"/>
      <c r="D390" s="5" t="n"/>
      <c r="E390" s="6">
        <f>IF(A390="","","B"&amp;TEXT(COUNT($A$2:A390),"00000"))</f>
        <v/>
      </c>
      <c r="F390" s="6">
        <f>IF(OR(C390="",D390=""),"",IFERROR(LOOKUP(2,1/(($C$1:C389=C390)*($D$1:D389=D390)*ISNUMBER($J$1:J389)),$J$1:J389),SUMIFS(Master!$G$2:$G$13,Master!$E$2:$E$13,C390,Master!$F$2:$F$13,D390)))</f>
        <v/>
      </c>
      <c r="G390" s="5" t="n"/>
      <c r="H390" s="5" t="n"/>
      <c r="I390" s="5" t="n"/>
      <c r="J390" s="6">
        <f>IF(OR(F390="",COUNT(G390:I390)&lt;3),"",F390+G390-H390-I390)</f>
        <v/>
      </c>
      <c r="K390" s="6">
        <f>IF(COUNTA(A390:D390,G390:I390)=0,"",IF(COUNTA(A390:D390,G390:I390)&lt;7,"LENGKAPI",IF(H390+I390&gt;N(F390)+G390,"ABNORMAL",IF(COUNTIFS($A$2:$A$2001,A390,$B$2:$B$2001,B390,$C$2:$C$2001,C390,$D$2:$D$2001,D390)&gt;1,"DUPLIKAT","OK"))))</f>
        <v/>
      </c>
    </row>
    <row r="391">
      <c r="A391" s="4" t="n"/>
      <c r="B391" s="5" t="n"/>
      <c r="C391" s="5" t="n"/>
      <c r="D391" s="5" t="n"/>
      <c r="E391" s="6">
        <f>IF(A391="","","B"&amp;TEXT(COUNT($A$2:A391),"00000"))</f>
        <v/>
      </c>
      <c r="F391" s="6">
        <f>IF(OR(C391="",D391=""),"",IFERROR(LOOKUP(2,1/(($C$1:C390=C391)*($D$1:D390=D391)*ISNUMBER($J$1:J390)),$J$1:J390),SUMIFS(Master!$G$2:$G$13,Master!$E$2:$E$13,C391,Master!$F$2:$F$13,D391)))</f>
        <v/>
      </c>
      <c r="G391" s="5" t="n"/>
      <c r="H391" s="5" t="n"/>
      <c r="I391" s="5" t="n"/>
      <c r="J391" s="6">
        <f>IF(OR(F391="",COUNT(G391:I391)&lt;3),"",F391+G391-H391-I391)</f>
        <v/>
      </c>
      <c r="K391" s="6">
        <f>IF(COUNTA(A391:D391,G391:I391)=0,"",IF(COUNTA(A391:D391,G391:I391)&lt;7,"LENGKAPI",IF(H391+I391&gt;N(F391)+G391,"ABNORMAL",IF(COUNTIFS($A$2:$A$2001,A391,$B$2:$B$2001,B391,$C$2:$C$2001,C391,$D$2:$D$2001,D391)&gt;1,"DUPLIKAT","OK"))))</f>
        <v/>
      </c>
    </row>
    <row r="392">
      <c r="A392" s="4" t="n"/>
      <c r="B392" s="5" t="n"/>
      <c r="C392" s="5" t="n"/>
      <c r="D392" s="5" t="n"/>
      <c r="E392" s="6">
        <f>IF(A392="","","B"&amp;TEXT(COUNT($A$2:A392),"00000"))</f>
        <v/>
      </c>
      <c r="F392" s="6">
        <f>IF(OR(C392="",D392=""),"",IFERROR(LOOKUP(2,1/(($C$1:C391=C392)*($D$1:D391=D392)*ISNUMBER($J$1:J391)),$J$1:J391),SUMIFS(Master!$G$2:$G$13,Master!$E$2:$E$13,C392,Master!$F$2:$F$13,D392)))</f>
        <v/>
      </c>
      <c r="G392" s="5" t="n"/>
      <c r="H392" s="5" t="n"/>
      <c r="I392" s="5" t="n"/>
      <c r="J392" s="6">
        <f>IF(OR(F392="",COUNT(G392:I392)&lt;3),"",F392+G392-H392-I392)</f>
        <v/>
      </c>
      <c r="K392" s="6">
        <f>IF(COUNTA(A392:D392,G392:I392)=0,"",IF(COUNTA(A392:D392,G392:I392)&lt;7,"LENGKAPI",IF(H392+I392&gt;N(F392)+G392,"ABNORMAL",IF(COUNTIFS($A$2:$A$2001,A392,$B$2:$B$2001,B392,$C$2:$C$2001,C392,$D$2:$D$2001,D392)&gt;1,"DUPLIKAT","OK"))))</f>
        <v/>
      </c>
    </row>
    <row r="393">
      <c r="A393" s="4" t="n"/>
      <c r="B393" s="5" t="n"/>
      <c r="C393" s="5" t="n"/>
      <c r="D393" s="5" t="n"/>
      <c r="E393" s="6">
        <f>IF(A393="","","B"&amp;TEXT(COUNT($A$2:A393),"00000"))</f>
        <v/>
      </c>
      <c r="F393" s="6">
        <f>IF(OR(C393="",D393=""),"",IFERROR(LOOKUP(2,1/(($C$1:C392=C393)*($D$1:D392=D393)*ISNUMBER($J$1:J392)),$J$1:J392),SUMIFS(Master!$G$2:$G$13,Master!$E$2:$E$13,C393,Master!$F$2:$F$13,D393)))</f>
        <v/>
      </c>
      <c r="G393" s="5" t="n"/>
      <c r="H393" s="5" t="n"/>
      <c r="I393" s="5" t="n"/>
      <c r="J393" s="6">
        <f>IF(OR(F393="",COUNT(G393:I393)&lt;3),"",F393+G393-H393-I393)</f>
        <v/>
      </c>
      <c r="K393" s="6">
        <f>IF(COUNTA(A393:D393,G393:I393)=0,"",IF(COUNTA(A393:D393,G393:I393)&lt;7,"LENGKAPI",IF(H393+I393&gt;N(F393)+G393,"ABNORMAL",IF(COUNTIFS($A$2:$A$2001,A393,$B$2:$B$2001,B393,$C$2:$C$2001,C393,$D$2:$D$2001,D393)&gt;1,"DUPLIKAT","OK"))))</f>
        <v/>
      </c>
    </row>
    <row r="394">
      <c r="A394" s="4" t="n"/>
      <c r="B394" s="5" t="n"/>
      <c r="C394" s="5" t="n"/>
      <c r="D394" s="5" t="n"/>
      <c r="E394" s="6">
        <f>IF(A394="","","B"&amp;TEXT(COUNT($A$2:A394),"00000"))</f>
        <v/>
      </c>
      <c r="F394" s="6">
        <f>IF(OR(C394="",D394=""),"",IFERROR(LOOKUP(2,1/(($C$1:C393=C394)*($D$1:D393=D394)*ISNUMBER($J$1:J393)),$J$1:J393),SUMIFS(Master!$G$2:$G$13,Master!$E$2:$E$13,C394,Master!$F$2:$F$13,D394)))</f>
        <v/>
      </c>
      <c r="G394" s="5" t="n"/>
      <c r="H394" s="5" t="n"/>
      <c r="I394" s="5" t="n"/>
      <c r="J394" s="6">
        <f>IF(OR(F394="",COUNT(G394:I394)&lt;3),"",F394+G394-H394-I394)</f>
        <v/>
      </c>
      <c r="K394" s="6">
        <f>IF(COUNTA(A394:D394,G394:I394)=0,"",IF(COUNTA(A394:D394,G394:I394)&lt;7,"LENGKAPI",IF(H394+I394&gt;N(F394)+G394,"ABNORMAL",IF(COUNTIFS($A$2:$A$2001,A394,$B$2:$B$2001,B394,$C$2:$C$2001,C394,$D$2:$D$2001,D394)&gt;1,"DUPLIKAT","OK"))))</f>
        <v/>
      </c>
    </row>
    <row r="395">
      <c r="A395" s="4" t="n"/>
      <c r="B395" s="5" t="n"/>
      <c r="C395" s="5" t="n"/>
      <c r="D395" s="5" t="n"/>
      <c r="E395" s="6">
        <f>IF(A395="","","B"&amp;TEXT(COUNT($A$2:A395),"00000"))</f>
        <v/>
      </c>
      <c r="F395" s="6">
        <f>IF(OR(C395="",D395=""),"",IFERROR(LOOKUP(2,1/(($C$1:C394=C395)*($D$1:D394=D395)*ISNUMBER($J$1:J394)),$J$1:J394),SUMIFS(Master!$G$2:$G$13,Master!$E$2:$E$13,C395,Master!$F$2:$F$13,D395)))</f>
        <v/>
      </c>
      <c r="G395" s="5" t="n"/>
      <c r="H395" s="5" t="n"/>
      <c r="I395" s="5" t="n"/>
      <c r="J395" s="6">
        <f>IF(OR(F395="",COUNT(G395:I395)&lt;3),"",F395+G395-H395-I395)</f>
        <v/>
      </c>
      <c r="K395" s="6">
        <f>IF(COUNTA(A395:D395,G395:I395)=0,"",IF(COUNTA(A395:D395,G395:I395)&lt;7,"LENGKAPI",IF(H395+I395&gt;N(F395)+G395,"ABNORMAL",IF(COUNTIFS($A$2:$A$2001,A395,$B$2:$B$2001,B395,$C$2:$C$2001,C395,$D$2:$D$2001,D395)&gt;1,"DUPLIKAT","OK"))))</f>
        <v/>
      </c>
    </row>
    <row r="396">
      <c r="A396" s="4" t="n"/>
      <c r="B396" s="5" t="n"/>
      <c r="C396" s="5" t="n"/>
      <c r="D396" s="5" t="n"/>
      <c r="E396" s="6">
        <f>IF(A396="","","B"&amp;TEXT(COUNT($A$2:A396),"00000"))</f>
        <v/>
      </c>
      <c r="F396" s="6">
        <f>IF(OR(C396="",D396=""),"",IFERROR(LOOKUP(2,1/(($C$1:C395=C396)*($D$1:D395=D396)*ISNUMBER($J$1:J395)),$J$1:J395),SUMIFS(Master!$G$2:$G$13,Master!$E$2:$E$13,C396,Master!$F$2:$F$13,D396)))</f>
        <v/>
      </c>
      <c r="G396" s="5" t="n"/>
      <c r="H396" s="5" t="n"/>
      <c r="I396" s="5" t="n"/>
      <c r="J396" s="6">
        <f>IF(OR(F396="",COUNT(G396:I396)&lt;3),"",F396+G396-H396-I396)</f>
        <v/>
      </c>
      <c r="K396" s="6">
        <f>IF(COUNTA(A396:D396,G396:I396)=0,"",IF(COUNTA(A396:D396,G396:I396)&lt;7,"LENGKAPI",IF(H396+I396&gt;N(F396)+G396,"ABNORMAL",IF(COUNTIFS($A$2:$A$2001,A396,$B$2:$B$2001,B396,$C$2:$C$2001,C396,$D$2:$D$2001,D396)&gt;1,"DUPLIKAT","OK"))))</f>
        <v/>
      </c>
    </row>
    <row r="397">
      <c r="A397" s="4" t="n"/>
      <c r="B397" s="5" t="n"/>
      <c r="C397" s="5" t="n"/>
      <c r="D397" s="5" t="n"/>
      <c r="E397" s="6">
        <f>IF(A397="","","B"&amp;TEXT(COUNT($A$2:A397),"00000"))</f>
        <v/>
      </c>
      <c r="F397" s="6">
        <f>IF(OR(C397="",D397=""),"",IFERROR(LOOKUP(2,1/(($C$1:C396=C397)*($D$1:D396=D397)*ISNUMBER($J$1:J396)),$J$1:J396),SUMIFS(Master!$G$2:$G$13,Master!$E$2:$E$13,C397,Master!$F$2:$F$13,D397)))</f>
        <v/>
      </c>
      <c r="G397" s="5" t="n"/>
      <c r="H397" s="5" t="n"/>
      <c r="I397" s="5" t="n"/>
      <c r="J397" s="6">
        <f>IF(OR(F397="",COUNT(G397:I397)&lt;3),"",F397+G397-H397-I397)</f>
        <v/>
      </c>
      <c r="K397" s="6">
        <f>IF(COUNTA(A397:D397,G397:I397)=0,"",IF(COUNTA(A397:D397,G397:I397)&lt;7,"LENGKAPI",IF(H397+I397&gt;N(F397)+G397,"ABNORMAL",IF(COUNTIFS($A$2:$A$2001,A397,$B$2:$B$2001,B397,$C$2:$C$2001,C397,$D$2:$D$2001,D397)&gt;1,"DUPLIKAT","OK"))))</f>
        <v/>
      </c>
    </row>
    <row r="398">
      <c r="A398" s="4" t="n"/>
      <c r="B398" s="5" t="n"/>
      <c r="C398" s="5" t="n"/>
      <c r="D398" s="5" t="n"/>
      <c r="E398" s="6">
        <f>IF(A398="","","B"&amp;TEXT(COUNT($A$2:A398),"00000"))</f>
        <v/>
      </c>
      <c r="F398" s="6">
        <f>IF(OR(C398="",D398=""),"",IFERROR(LOOKUP(2,1/(($C$1:C397=C398)*($D$1:D397=D398)*ISNUMBER($J$1:J397)),$J$1:J397),SUMIFS(Master!$G$2:$G$13,Master!$E$2:$E$13,C398,Master!$F$2:$F$13,D398)))</f>
        <v/>
      </c>
      <c r="G398" s="5" t="n"/>
      <c r="H398" s="5" t="n"/>
      <c r="I398" s="5" t="n"/>
      <c r="J398" s="6">
        <f>IF(OR(F398="",COUNT(G398:I398)&lt;3),"",F398+G398-H398-I398)</f>
        <v/>
      </c>
      <c r="K398" s="6">
        <f>IF(COUNTA(A398:D398,G398:I398)=0,"",IF(COUNTA(A398:D398,G398:I398)&lt;7,"LENGKAPI",IF(H398+I398&gt;N(F398)+G398,"ABNORMAL",IF(COUNTIFS($A$2:$A$2001,A398,$B$2:$B$2001,B398,$C$2:$C$2001,C398,$D$2:$D$2001,D398)&gt;1,"DUPLIKAT","OK"))))</f>
        <v/>
      </c>
    </row>
    <row r="399">
      <c r="A399" s="4" t="n"/>
      <c r="B399" s="5" t="n"/>
      <c r="C399" s="5" t="n"/>
      <c r="D399" s="5" t="n"/>
      <c r="E399" s="6">
        <f>IF(A399="","","B"&amp;TEXT(COUNT($A$2:A399),"00000"))</f>
        <v/>
      </c>
      <c r="F399" s="6">
        <f>IF(OR(C399="",D399=""),"",IFERROR(LOOKUP(2,1/(($C$1:C398=C399)*($D$1:D398=D399)*ISNUMBER($J$1:J398)),$J$1:J398),SUMIFS(Master!$G$2:$G$13,Master!$E$2:$E$13,C399,Master!$F$2:$F$13,D399)))</f>
        <v/>
      </c>
      <c r="G399" s="5" t="n"/>
      <c r="H399" s="5" t="n"/>
      <c r="I399" s="5" t="n"/>
      <c r="J399" s="6">
        <f>IF(OR(F399="",COUNT(G399:I399)&lt;3),"",F399+G399-H399-I399)</f>
        <v/>
      </c>
      <c r="K399" s="6">
        <f>IF(COUNTA(A399:D399,G399:I399)=0,"",IF(COUNTA(A399:D399,G399:I399)&lt;7,"LENGKAPI",IF(H399+I399&gt;N(F399)+G399,"ABNORMAL",IF(COUNTIFS($A$2:$A$2001,A399,$B$2:$B$2001,B399,$C$2:$C$2001,C399,$D$2:$D$2001,D399)&gt;1,"DUPLIKAT","OK"))))</f>
        <v/>
      </c>
    </row>
    <row r="400">
      <c r="A400" s="4" t="n"/>
      <c r="B400" s="5" t="n"/>
      <c r="C400" s="5" t="n"/>
      <c r="D400" s="5" t="n"/>
      <c r="E400" s="6">
        <f>IF(A400="","","B"&amp;TEXT(COUNT($A$2:A400),"00000"))</f>
        <v/>
      </c>
      <c r="F400" s="6">
        <f>IF(OR(C400="",D400=""),"",IFERROR(LOOKUP(2,1/(($C$1:C399=C400)*($D$1:D399=D400)*ISNUMBER($J$1:J399)),$J$1:J399),SUMIFS(Master!$G$2:$G$13,Master!$E$2:$E$13,C400,Master!$F$2:$F$13,D400)))</f>
        <v/>
      </c>
      <c r="G400" s="5" t="n"/>
      <c r="H400" s="5" t="n"/>
      <c r="I400" s="5" t="n"/>
      <c r="J400" s="6">
        <f>IF(OR(F400="",COUNT(G400:I400)&lt;3),"",F400+G400-H400-I400)</f>
        <v/>
      </c>
      <c r="K400" s="6">
        <f>IF(COUNTA(A400:D400,G400:I400)=0,"",IF(COUNTA(A400:D400,G400:I400)&lt;7,"LENGKAPI",IF(H400+I400&gt;N(F400)+G400,"ABNORMAL",IF(COUNTIFS($A$2:$A$2001,A400,$B$2:$B$2001,B400,$C$2:$C$2001,C400,$D$2:$D$2001,D400)&gt;1,"DUPLIKAT","OK"))))</f>
        <v/>
      </c>
    </row>
    <row r="401">
      <c r="A401" s="4" t="n"/>
      <c r="B401" s="5" t="n"/>
      <c r="C401" s="5" t="n"/>
      <c r="D401" s="5" t="n"/>
      <c r="E401" s="6">
        <f>IF(A401="","","B"&amp;TEXT(COUNT($A$2:A401),"00000"))</f>
        <v/>
      </c>
      <c r="F401" s="6">
        <f>IF(OR(C401="",D401=""),"",IFERROR(LOOKUP(2,1/(($C$1:C400=C401)*($D$1:D400=D401)*ISNUMBER($J$1:J400)),$J$1:J400),SUMIFS(Master!$G$2:$G$13,Master!$E$2:$E$13,C401,Master!$F$2:$F$13,D401)))</f>
        <v/>
      </c>
      <c r="G401" s="5" t="n"/>
      <c r="H401" s="5" t="n"/>
      <c r="I401" s="5" t="n"/>
      <c r="J401" s="6">
        <f>IF(OR(F401="",COUNT(G401:I401)&lt;3),"",F401+G401-H401-I401)</f>
        <v/>
      </c>
      <c r="K401" s="6">
        <f>IF(COUNTA(A401:D401,G401:I401)=0,"",IF(COUNTA(A401:D401,G401:I401)&lt;7,"LENGKAPI",IF(H401+I401&gt;N(F401)+G401,"ABNORMAL",IF(COUNTIFS($A$2:$A$2001,A401,$B$2:$B$2001,B401,$C$2:$C$2001,C401,$D$2:$D$2001,D401)&gt;1,"DUPLIKAT","OK"))))</f>
        <v/>
      </c>
    </row>
    <row r="402">
      <c r="A402" s="4" t="n"/>
      <c r="B402" s="5" t="n"/>
      <c r="C402" s="5" t="n"/>
      <c r="D402" s="5" t="n"/>
      <c r="E402" s="6">
        <f>IF(A402="","","B"&amp;TEXT(COUNT($A$2:A402),"00000"))</f>
        <v/>
      </c>
      <c r="F402" s="6">
        <f>IF(OR(C402="",D402=""),"",IFERROR(LOOKUP(2,1/(($C$1:C401=C402)*($D$1:D401=D402)*ISNUMBER($J$1:J401)),$J$1:J401),SUMIFS(Master!$G$2:$G$13,Master!$E$2:$E$13,C402,Master!$F$2:$F$13,D402)))</f>
        <v/>
      </c>
      <c r="G402" s="5" t="n"/>
      <c r="H402" s="5" t="n"/>
      <c r="I402" s="5" t="n"/>
      <c r="J402" s="6">
        <f>IF(OR(F402="",COUNT(G402:I402)&lt;3),"",F402+G402-H402-I402)</f>
        <v/>
      </c>
      <c r="K402" s="6">
        <f>IF(COUNTA(A402:D402,G402:I402)=0,"",IF(COUNTA(A402:D402,G402:I402)&lt;7,"LENGKAPI",IF(H402+I402&gt;N(F402)+G402,"ABNORMAL",IF(COUNTIFS($A$2:$A$2001,A402,$B$2:$B$2001,B402,$C$2:$C$2001,C402,$D$2:$D$2001,D402)&gt;1,"DUPLIKAT","OK"))))</f>
        <v/>
      </c>
    </row>
    <row r="403">
      <c r="A403" s="4" t="n"/>
      <c r="B403" s="5" t="n"/>
      <c r="C403" s="5" t="n"/>
      <c r="D403" s="5" t="n"/>
      <c r="E403" s="6">
        <f>IF(A403="","","B"&amp;TEXT(COUNT($A$2:A403),"00000"))</f>
        <v/>
      </c>
      <c r="F403" s="6">
        <f>IF(OR(C403="",D403=""),"",IFERROR(LOOKUP(2,1/(($C$1:C402=C403)*($D$1:D402=D403)*ISNUMBER($J$1:J402)),$J$1:J402),SUMIFS(Master!$G$2:$G$13,Master!$E$2:$E$13,C403,Master!$F$2:$F$13,D403)))</f>
        <v/>
      </c>
      <c r="G403" s="5" t="n"/>
      <c r="H403" s="5" t="n"/>
      <c r="I403" s="5" t="n"/>
      <c r="J403" s="6">
        <f>IF(OR(F403="",COUNT(G403:I403)&lt;3),"",F403+G403-H403-I403)</f>
        <v/>
      </c>
      <c r="K403" s="6">
        <f>IF(COUNTA(A403:D403,G403:I403)=0,"",IF(COUNTA(A403:D403,G403:I403)&lt;7,"LENGKAPI",IF(H403+I403&gt;N(F403)+G403,"ABNORMAL",IF(COUNTIFS($A$2:$A$2001,A403,$B$2:$B$2001,B403,$C$2:$C$2001,C403,$D$2:$D$2001,D403)&gt;1,"DUPLIKAT","OK"))))</f>
        <v/>
      </c>
    </row>
    <row r="404">
      <c r="A404" s="4" t="n"/>
      <c r="B404" s="5" t="n"/>
      <c r="C404" s="5" t="n"/>
      <c r="D404" s="5" t="n"/>
      <c r="E404" s="6">
        <f>IF(A404="","","B"&amp;TEXT(COUNT($A$2:A404),"00000"))</f>
        <v/>
      </c>
      <c r="F404" s="6">
        <f>IF(OR(C404="",D404=""),"",IFERROR(LOOKUP(2,1/(($C$1:C403=C404)*($D$1:D403=D404)*ISNUMBER($J$1:J403)),$J$1:J403),SUMIFS(Master!$G$2:$G$13,Master!$E$2:$E$13,C404,Master!$F$2:$F$13,D404)))</f>
        <v/>
      </c>
      <c r="G404" s="5" t="n"/>
      <c r="H404" s="5" t="n"/>
      <c r="I404" s="5" t="n"/>
      <c r="J404" s="6">
        <f>IF(OR(F404="",COUNT(G404:I404)&lt;3),"",F404+G404-H404-I404)</f>
        <v/>
      </c>
      <c r="K404" s="6">
        <f>IF(COUNTA(A404:D404,G404:I404)=0,"",IF(COUNTA(A404:D404,G404:I404)&lt;7,"LENGKAPI",IF(H404+I404&gt;N(F404)+G404,"ABNORMAL",IF(COUNTIFS($A$2:$A$2001,A404,$B$2:$B$2001,B404,$C$2:$C$2001,C404,$D$2:$D$2001,D404)&gt;1,"DUPLIKAT","OK"))))</f>
        <v/>
      </c>
    </row>
    <row r="405">
      <c r="A405" s="4" t="n"/>
      <c r="B405" s="5" t="n"/>
      <c r="C405" s="5" t="n"/>
      <c r="D405" s="5" t="n"/>
      <c r="E405" s="6">
        <f>IF(A405="","","B"&amp;TEXT(COUNT($A$2:A405),"00000"))</f>
        <v/>
      </c>
      <c r="F405" s="6">
        <f>IF(OR(C405="",D405=""),"",IFERROR(LOOKUP(2,1/(($C$1:C404=C405)*($D$1:D404=D405)*ISNUMBER($J$1:J404)),$J$1:J404),SUMIFS(Master!$G$2:$G$13,Master!$E$2:$E$13,C405,Master!$F$2:$F$13,D405)))</f>
        <v/>
      </c>
      <c r="G405" s="5" t="n"/>
      <c r="H405" s="5" t="n"/>
      <c r="I405" s="5" t="n"/>
      <c r="J405" s="6">
        <f>IF(OR(F405="",COUNT(G405:I405)&lt;3),"",F405+G405-H405-I405)</f>
        <v/>
      </c>
      <c r="K405" s="6">
        <f>IF(COUNTA(A405:D405,G405:I405)=0,"",IF(COUNTA(A405:D405,G405:I405)&lt;7,"LENGKAPI",IF(H405+I405&gt;N(F405)+G405,"ABNORMAL",IF(COUNTIFS($A$2:$A$2001,A405,$B$2:$B$2001,B405,$C$2:$C$2001,C405,$D$2:$D$2001,D405)&gt;1,"DUPLIKAT","OK"))))</f>
        <v/>
      </c>
    </row>
    <row r="406">
      <c r="A406" s="4" t="n"/>
      <c r="B406" s="5" t="n"/>
      <c r="C406" s="5" t="n"/>
      <c r="D406" s="5" t="n"/>
      <c r="E406" s="6">
        <f>IF(A406="","","B"&amp;TEXT(COUNT($A$2:A406),"00000"))</f>
        <v/>
      </c>
      <c r="F406" s="6">
        <f>IF(OR(C406="",D406=""),"",IFERROR(LOOKUP(2,1/(($C$1:C405=C406)*($D$1:D405=D406)*ISNUMBER($J$1:J405)),$J$1:J405),SUMIFS(Master!$G$2:$G$13,Master!$E$2:$E$13,C406,Master!$F$2:$F$13,D406)))</f>
        <v/>
      </c>
      <c r="G406" s="5" t="n"/>
      <c r="H406" s="5" t="n"/>
      <c r="I406" s="5" t="n"/>
      <c r="J406" s="6">
        <f>IF(OR(F406="",COUNT(G406:I406)&lt;3),"",F406+G406-H406-I406)</f>
        <v/>
      </c>
      <c r="K406" s="6">
        <f>IF(COUNTA(A406:D406,G406:I406)=0,"",IF(COUNTA(A406:D406,G406:I406)&lt;7,"LENGKAPI",IF(H406+I406&gt;N(F406)+G406,"ABNORMAL",IF(COUNTIFS($A$2:$A$2001,A406,$B$2:$B$2001,B406,$C$2:$C$2001,C406,$D$2:$D$2001,D406)&gt;1,"DUPLIKAT","OK"))))</f>
        <v/>
      </c>
    </row>
    <row r="407">
      <c r="A407" s="4" t="n"/>
      <c r="B407" s="5" t="n"/>
      <c r="C407" s="5" t="n"/>
      <c r="D407" s="5" t="n"/>
      <c r="E407" s="6">
        <f>IF(A407="","","B"&amp;TEXT(COUNT($A$2:A407),"00000"))</f>
        <v/>
      </c>
      <c r="F407" s="6">
        <f>IF(OR(C407="",D407=""),"",IFERROR(LOOKUP(2,1/(($C$1:C406=C407)*($D$1:D406=D407)*ISNUMBER($J$1:J406)),$J$1:J406),SUMIFS(Master!$G$2:$G$13,Master!$E$2:$E$13,C407,Master!$F$2:$F$13,D407)))</f>
        <v/>
      </c>
      <c r="G407" s="5" t="n"/>
      <c r="H407" s="5" t="n"/>
      <c r="I407" s="5" t="n"/>
      <c r="J407" s="6">
        <f>IF(OR(F407="",COUNT(G407:I407)&lt;3),"",F407+G407-H407-I407)</f>
        <v/>
      </c>
      <c r="K407" s="6">
        <f>IF(COUNTA(A407:D407,G407:I407)=0,"",IF(COUNTA(A407:D407,G407:I407)&lt;7,"LENGKAPI",IF(H407+I407&gt;N(F407)+G407,"ABNORMAL",IF(COUNTIFS($A$2:$A$2001,A407,$B$2:$B$2001,B407,$C$2:$C$2001,C407,$D$2:$D$2001,D407)&gt;1,"DUPLIKAT","OK"))))</f>
        <v/>
      </c>
    </row>
    <row r="408">
      <c r="A408" s="4" t="n"/>
      <c r="B408" s="5" t="n"/>
      <c r="C408" s="5" t="n"/>
      <c r="D408" s="5" t="n"/>
      <c r="E408" s="6">
        <f>IF(A408="","","B"&amp;TEXT(COUNT($A$2:A408),"00000"))</f>
        <v/>
      </c>
      <c r="F408" s="6">
        <f>IF(OR(C408="",D408=""),"",IFERROR(LOOKUP(2,1/(($C$1:C407=C408)*($D$1:D407=D408)*ISNUMBER($J$1:J407)),$J$1:J407),SUMIFS(Master!$G$2:$G$13,Master!$E$2:$E$13,C408,Master!$F$2:$F$13,D408)))</f>
        <v/>
      </c>
      <c r="G408" s="5" t="n"/>
      <c r="H408" s="5" t="n"/>
      <c r="I408" s="5" t="n"/>
      <c r="J408" s="6">
        <f>IF(OR(F408="",COUNT(G408:I408)&lt;3),"",F408+G408-H408-I408)</f>
        <v/>
      </c>
      <c r="K408" s="6">
        <f>IF(COUNTA(A408:D408,G408:I408)=0,"",IF(COUNTA(A408:D408,G408:I408)&lt;7,"LENGKAPI",IF(H408+I408&gt;N(F408)+G408,"ABNORMAL",IF(COUNTIFS($A$2:$A$2001,A408,$B$2:$B$2001,B408,$C$2:$C$2001,C408,$D$2:$D$2001,D408)&gt;1,"DUPLIKAT","OK"))))</f>
        <v/>
      </c>
    </row>
    <row r="409">
      <c r="A409" s="4" t="n"/>
      <c r="B409" s="5" t="n"/>
      <c r="C409" s="5" t="n"/>
      <c r="D409" s="5" t="n"/>
      <c r="E409" s="6">
        <f>IF(A409="","","B"&amp;TEXT(COUNT($A$2:A409),"00000"))</f>
        <v/>
      </c>
      <c r="F409" s="6">
        <f>IF(OR(C409="",D409=""),"",IFERROR(LOOKUP(2,1/(($C$1:C408=C409)*($D$1:D408=D409)*ISNUMBER($J$1:J408)),$J$1:J408),SUMIFS(Master!$G$2:$G$13,Master!$E$2:$E$13,C409,Master!$F$2:$F$13,D409)))</f>
        <v/>
      </c>
      <c r="G409" s="5" t="n"/>
      <c r="H409" s="5" t="n"/>
      <c r="I409" s="5" t="n"/>
      <c r="J409" s="6">
        <f>IF(OR(F409="",COUNT(G409:I409)&lt;3),"",F409+G409-H409-I409)</f>
        <v/>
      </c>
      <c r="K409" s="6">
        <f>IF(COUNTA(A409:D409,G409:I409)=0,"",IF(COUNTA(A409:D409,G409:I409)&lt;7,"LENGKAPI",IF(H409+I409&gt;N(F409)+G409,"ABNORMAL",IF(COUNTIFS($A$2:$A$2001,A409,$B$2:$B$2001,B409,$C$2:$C$2001,C409,$D$2:$D$2001,D409)&gt;1,"DUPLIKAT","OK"))))</f>
        <v/>
      </c>
    </row>
    <row r="410">
      <c r="A410" s="4" t="n"/>
      <c r="B410" s="5" t="n"/>
      <c r="C410" s="5" t="n"/>
      <c r="D410" s="5" t="n"/>
      <c r="E410" s="6">
        <f>IF(A410="","","B"&amp;TEXT(COUNT($A$2:A410),"00000"))</f>
        <v/>
      </c>
      <c r="F410" s="6">
        <f>IF(OR(C410="",D410=""),"",IFERROR(LOOKUP(2,1/(($C$1:C409=C410)*($D$1:D409=D410)*ISNUMBER($J$1:J409)),$J$1:J409),SUMIFS(Master!$G$2:$G$13,Master!$E$2:$E$13,C410,Master!$F$2:$F$13,D410)))</f>
        <v/>
      </c>
      <c r="G410" s="5" t="n"/>
      <c r="H410" s="5" t="n"/>
      <c r="I410" s="5" t="n"/>
      <c r="J410" s="6">
        <f>IF(OR(F410="",COUNT(G410:I410)&lt;3),"",F410+G410-H410-I410)</f>
        <v/>
      </c>
      <c r="K410" s="6">
        <f>IF(COUNTA(A410:D410,G410:I410)=0,"",IF(COUNTA(A410:D410,G410:I410)&lt;7,"LENGKAPI",IF(H410+I410&gt;N(F410)+G410,"ABNORMAL",IF(COUNTIFS($A$2:$A$2001,A410,$B$2:$B$2001,B410,$C$2:$C$2001,C410,$D$2:$D$2001,D410)&gt;1,"DUPLIKAT","OK"))))</f>
        <v/>
      </c>
    </row>
    <row r="411">
      <c r="A411" s="4" t="n"/>
      <c r="B411" s="5" t="n"/>
      <c r="C411" s="5" t="n"/>
      <c r="D411" s="5" t="n"/>
      <c r="E411" s="6">
        <f>IF(A411="","","B"&amp;TEXT(COUNT($A$2:A411),"00000"))</f>
        <v/>
      </c>
      <c r="F411" s="6">
        <f>IF(OR(C411="",D411=""),"",IFERROR(LOOKUP(2,1/(($C$1:C410=C411)*($D$1:D410=D411)*ISNUMBER($J$1:J410)),$J$1:J410),SUMIFS(Master!$G$2:$G$13,Master!$E$2:$E$13,C411,Master!$F$2:$F$13,D411)))</f>
        <v/>
      </c>
      <c r="G411" s="5" t="n"/>
      <c r="H411" s="5" t="n"/>
      <c r="I411" s="5" t="n"/>
      <c r="J411" s="6">
        <f>IF(OR(F411="",COUNT(G411:I411)&lt;3),"",F411+G411-H411-I411)</f>
        <v/>
      </c>
      <c r="K411" s="6">
        <f>IF(COUNTA(A411:D411,G411:I411)=0,"",IF(COUNTA(A411:D411,G411:I411)&lt;7,"LENGKAPI",IF(H411+I411&gt;N(F411)+G411,"ABNORMAL",IF(COUNTIFS($A$2:$A$2001,A411,$B$2:$B$2001,B411,$C$2:$C$2001,C411,$D$2:$D$2001,D411)&gt;1,"DUPLIKAT","OK"))))</f>
        <v/>
      </c>
    </row>
    <row r="412">
      <c r="A412" s="4" t="n"/>
      <c r="B412" s="5" t="n"/>
      <c r="C412" s="5" t="n"/>
      <c r="D412" s="5" t="n"/>
      <c r="E412" s="6">
        <f>IF(A412="","","B"&amp;TEXT(COUNT($A$2:A412),"00000"))</f>
        <v/>
      </c>
      <c r="F412" s="6">
        <f>IF(OR(C412="",D412=""),"",IFERROR(LOOKUP(2,1/(($C$1:C411=C412)*($D$1:D411=D412)*ISNUMBER($J$1:J411)),$J$1:J411),SUMIFS(Master!$G$2:$G$13,Master!$E$2:$E$13,C412,Master!$F$2:$F$13,D412)))</f>
        <v/>
      </c>
      <c r="G412" s="5" t="n"/>
      <c r="H412" s="5" t="n"/>
      <c r="I412" s="5" t="n"/>
      <c r="J412" s="6">
        <f>IF(OR(F412="",COUNT(G412:I412)&lt;3),"",F412+G412-H412-I412)</f>
        <v/>
      </c>
      <c r="K412" s="6">
        <f>IF(COUNTA(A412:D412,G412:I412)=0,"",IF(COUNTA(A412:D412,G412:I412)&lt;7,"LENGKAPI",IF(H412+I412&gt;N(F412)+G412,"ABNORMAL",IF(COUNTIFS($A$2:$A$2001,A412,$B$2:$B$2001,B412,$C$2:$C$2001,C412,$D$2:$D$2001,D412)&gt;1,"DUPLIKAT","OK"))))</f>
        <v/>
      </c>
    </row>
    <row r="413">
      <c r="A413" s="4" t="n"/>
      <c r="B413" s="5" t="n"/>
      <c r="C413" s="5" t="n"/>
      <c r="D413" s="5" t="n"/>
      <c r="E413" s="6">
        <f>IF(A413="","","B"&amp;TEXT(COUNT($A$2:A413),"00000"))</f>
        <v/>
      </c>
      <c r="F413" s="6">
        <f>IF(OR(C413="",D413=""),"",IFERROR(LOOKUP(2,1/(($C$1:C412=C413)*($D$1:D412=D413)*ISNUMBER($J$1:J412)),$J$1:J412),SUMIFS(Master!$G$2:$G$13,Master!$E$2:$E$13,C413,Master!$F$2:$F$13,D413)))</f>
        <v/>
      </c>
      <c r="G413" s="5" t="n"/>
      <c r="H413" s="5" t="n"/>
      <c r="I413" s="5" t="n"/>
      <c r="J413" s="6">
        <f>IF(OR(F413="",COUNT(G413:I413)&lt;3),"",F413+G413-H413-I413)</f>
        <v/>
      </c>
      <c r="K413" s="6">
        <f>IF(COUNTA(A413:D413,G413:I413)=0,"",IF(COUNTA(A413:D413,G413:I413)&lt;7,"LENGKAPI",IF(H413+I413&gt;N(F413)+G413,"ABNORMAL",IF(COUNTIFS($A$2:$A$2001,A413,$B$2:$B$2001,B413,$C$2:$C$2001,C413,$D$2:$D$2001,D413)&gt;1,"DUPLIKAT","OK"))))</f>
        <v/>
      </c>
    </row>
    <row r="414">
      <c r="A414" s="4" t="n"/>
      <c r="B414" s="5" t="n"/>
      <c r="C414" s="5" t="n"/>
      <c r="D414" s="5" t="n"/>
      <c r="E414" s="6">
        <f>IF(A414="","","B"&amp;TEXT(COUNT($A$2:A414),"00000"))</f>
        <v/>
      </c>
      <c r="F414" s="6">
        <f>IF(OR(C414="",D414=""),"",IFERROR(LOOKUP(2,1/(($C$1:C413=C414)*($D$1:D413=D414)*ISNUMBER($J$1:J413)),$J$1:J413),SUMIFS(Master!$G$2:$G$13,Master!$E$2:$E$13,C414,Master!$F$2:$F$13,D414)))</f>
        <v/>
      </c>
      <c r="G414" s="5" t="n"/>
      <c r="H414" s="5" t="n"/>
      <c r="I414" s="5" t="n"/>
      <c r="J414" s="6">
        <f>IF(OR(F414="",COUNT(G414:I414)&lt;3),"",F414+G414-H414-I414)</f>
        <v/>
      </c>
      <c r="K414" s="6">
        <f>IF(COUNTA(A414:D414,G414:I414)=0,"",IF(COUNTA(A414:D414,G414:I414)&lt;7,"LENGKAPI",IF(H414+I414&gt;N(F414)+G414,"ABNORMAL",IF(COUNTIFS($A$2:$A$2001,A414,$B$2:$B$2001,B414,$C$2:$C$2001,C414,$D$2:$D$2001,D414)&gt;1,"DUPLIKAT","OK"))))</f>
        <v/>
      </c>
    </row>
    <row r="415">
      <c r="A415" s="4" t="n"/>
      <c r="B415" s="5" t="n"/>
      <c r="C415" s="5" t="n"/>
      <c r="D415" s="5" t="n"/>
      <c r="E415" s="6">
        <f>IF(A415="","","B"&amp;TEXT(COUNT($A$2:A415),"00000"))</f>
        <v/>
      </c>
      <c r="F415" s="6">
        <f>IF(OR(C415="",D415=""),"",IFERROR(LOOKUP(2,1/(($C$1:C414=C415)*($D$1:D414=D415)*ISNUMBER($J$1:J414)),$J$1:J414),SUMIFS(Master!$G$2:$G$13,Master!$E$2:$E$13,C415,Master!$F$2:$F$13,D415)))</f>
        <v/>
      </c>
      <c r="G415" s="5" t="n"/>
      <c r="H415" s="5" t="n"/>
      <c r="I415" s="5" t="n"/>
      <c r="J415" s="6">
        <f>IF(OR(F415="",COUNT(G415:I415)&lt;3),"",F415+G415-H415-I415)</f>
        <v/>
      </c>
      <c r="K415" s="6">
        <f>IF(COUNTA(A415:D415,G415:I415)=0,"",IF(COUNTA(A415:D415,G415:I415)&lt;7,"LENGKAPI",IF(H415+I415&gt;N(F415)+G415,"ABNORMAL",IF(COUNTIFS($A$2:$A$2001,A415,$B$2:$B$2001,B415,$C$2:$C$2001,C415,$D$2:$D$2001,D415)&gt;1,"DUPLIKAT","OK"))))</f>
        <v/>
      </c>
    </row>
    <row r="416">
      <c r="A416" s="4" t="n"/>
      <c r="B416" s="5" t="n"/>
      <c r="C416" s="5" t="n"/>
      <c r="D416" s="5" t="n"/>
      <c r="E416" s="6">
        <f>IF(A416="","","B"&amp;TEXT(COUNT($A$2:A416),"00000"))</f>
        <v/>
      </c>
      <c r="F416" s="6">
        <f>IF(OR(C416="",D416=""),"",IFERROR(LOOKUP(2,1/(($C$1:C415=C416)*($D$1:D415=D416)*ISNUMBER($J$1:J415)),$J$1:J415),SUMIFS(Master!$G$2:$G$13,Master!$E$2:$E$13,C416,Master!$F$2:$F$13,D416)))</f>
        <v/>
      </c>
      <c r="G416" s="5" t="n"/>
      <c r="H416" s="5" t="n"/>
      <c r="I416" s="5" t="n"/>
      <c r="J416" s="6">
        <f>IF(OR(F416="",COUNT(G416:I416)&lt;3),"",F416+G416-H416-I416)</f>
        <v/>
      </c>
      <c r="K416" s="6">
        <f>IF(COUNTA(A416:D416,G416:I416)=0,"",IF(COUNTA(A416:D416,G416:I416)&lt;7,"LENGKAPI",IF(H416+I416&gt;N(F416)+G416,"ABNORMAL",IF(COUNTIFS($A$2:$A$2001,A416,$B$2:$B$2001,B416,$C$2:$C$2001,C416,$D$2:$D$2001,D416)&gt;1,"DUPLIKAT","OK"))))</f>
        <v/>
      </c>
    </row>
    <row r="417">
      <c r="A417" s="4" t="n"/>
      <c r="B417" s="5" t="n"/>
      <c r="C417" s="5" t="n"/>
      <c r="D417" s="5" t="n"/>
      <c r="E417" s="6">
        <f>IF(A417="","","B"&amp;TEXT(COUNT($A$2:A417),"00000"))</f>
        <v/>
      </c>
      <c r="F417" s="6">
        <f>IF(OR(C417="",D417=""),"",IFERROR(LOOKUP(2,1/(($C$1:C416=C417)*($D$1:D416=D417)*ISNUMBER($J$1:J416)),$J$1:J416),SUMIFS(Master!$G$2:$G$13,Master!$E$2:$E$13,C417,Master!$F$2:$F$13,D417)))</f>
        <v/>
      </c>
      <c r="G417" s="5" t="n"/>
      <c r="H417" s="5" t="n"/>
      <c r="I417" s="5" t="n"/>
      <c r="J417" s="6">
        <f>IF(OR(F417="",COUNT(G417:I417)&lt;3),"",F417+G417-H417-I417)</f>
        <v/>
      </c>
      <c r="K417" s="6">
        <f>IF(COUNTA(A417:D417,G417:I417)=0,"",IF(COUNTA(A417:D417,G417:I417)&lt;7,"LENGKAPI",IF(H417+I417&gt;N(F417)+G417,"ABNORMAL",IF(COUNTIFS($A$2:$A$2001,A417,$B$2:$B$2001,B417,$C$2:$C$2001,C417,$D$2:$D$2001,D417)&gt;1,"DUPLIKAT","OK"))))</f>
        <v/>
      </c>
    </row>
    <row r="418">
      <c r="A418" s="4" t="n"/>
      <c r="B418" s="5" t="n"/>
      <c r="C418" s="5" t="n"/>
      <c r="D418" s="5" t="n"/>
      <c r="E418" s="6">
        <f>IF(A418="","","B"&amp;TEXT(COUNT($A$2:A418),"00000"))</f>
        <v/>
      </c>
      <c r="F418" s="6">
        <f>IF(OR(C418="",D418=""),"",IFERROR(LOOKUP(2,1/(($C$1:C417=C418)*($D$1:D417=D418)*ISNUMBER($J$1:J417)),$J$1:J417),SUMIFS(Master!$G$2:$G$13,Master!$E$2:$E$13,C418,Master!$F$2:$F$13,D418)))</f>
        <v/>
      </c>
      <c r="G418" s="5" t="n"/>
      <c r="H418" s="5" t="n"/>
      <c r="I418" s="5" t="n"/>
      <c r="J418" s="6">
        <f>IF(OR(F418="",COUNT(G418:I418)&lt;3),"",F418+G418-H418-I418)</f>
        <v/>
      </c>
      <c r="K418" s="6">
        <f>IF(COUNTA(A418:D418,G418:I418)=0,"",IF(COUNTA(A418:D418,G418:I418)&lt;7,"LENGKAPI",IF(H418+I418&gt;N(F418)+G418,"ABNORMAL",IF(COUNTIFS($A$2:$A$2001,A418,$B$2:$B$2001,B418,$C$2:$C$2001,C418,$D$2:$D$2001,D418)&gt;1,"DUPLIKAT","OK"))))</f>
        <v/>
      </c>
    </row>
    <row r="419">
      <c r="A419" s="4" t="n"/>
      <c r="B419" s="5" t="n"/>
      <c r="C419" s="5" t="n"/>
      <c r="D419" s="5" t="n"/>
      <c r="E419" s="6">
        <f>IF(A419="","","B"&amp;TEXT(COUNT($A$2:A419),"00000"))</f>
        <v/>
      </c>
      <c r="F419" s="6">
        <f>IF(OR(C419="",D419=""),"",IFERROR(LOOKUP(2,1/(($C$1:C418=C419)*($D$1:D418=D419)*ISNUMBER($J$1:J418)),$J$1:J418),SUMIFS(Master!$G$2:$G$13,Master!$E$2:$E$13,C419,Master!$F$2:$F$13,D419)))</f>
        <v/>
      </c>
      <c r="G419" s="5" t="n"/>
      <c r="H419" s="5" t="n"/>
      <c r="I419" s="5" t="n"/>
      <c r="J419" s="6">
        <f>IF(OR(F419="",COUNT(G419:I419)&lt;3),"",F419+G419-H419-I419)</f>
        <v/>
      </c>
      <c r="K419" s="6">
        <f>IF(COUNTA(A419:D419,G419:I419)=0,"",IF(COUNTA(A419:D419,G419:I419)&lt;7,"LENGKAPI",IF(H419+I419&gt;N(F419)+G419,"ABNORMAL",IF(COUNTIFS($A$2:$A$2001,A419,$B$2:$B$2001,B419,$C$2:$C$2001,C419,$D$2:$D$2001,D419)&gt;1,"DUPLIKAT","OK"))))</f>
        <v/>
      </c>
    </row>
    <row r="420">
      <c r="A420" s="4" t="n"/>
      <c r="B420" s="5" t="n"/>
      <c r="C420" s="5" t="n"/>
      <c r="D420" s="5" t="n"/>
      <c r="E420" s="6">
        <f>IF(A420="","","B"&amp;TEXT(COUNT($A$2:A420),"00000"))</f>
        <v/>
      </c>
      <c r="F420" s="6">
        <f>IF(OR(C420="",D420=""),"",IFERROR(LOOKUP(2,1/(($C$1:C419=C420)*($D$1:D419=D420)*ISNUMBER($J$1:J419)),$J$1:J419),SUMIFS(Master!$G$2:$G$13,Master!$E$2:$E$13,C420,Master!$F$2:$F$13,D420)))</f>
        <v/>
      </c>
      <c r="G420" s="5" t="n"/>
      <c r="H420" s="5" t="n"/>
      <c r="I420" s="5" t="n"/>
      <c r="J420" s="6">
        <f>IF(OR(F420="",COUNT(G420:I420)&lt;3),"",F420+G420-H420-I420)</f>
        <v/>
      </c>
      <c r="K420" s="6">
        <f>IF(COUNTA(A420:D420,G420:I420)=0,"",IF(COUNTA(A420:D420,G420:I420)&lt;7,"LENGKAPI",IF(H420+I420&gt;N(F420)+G420,"ABNORMAL",IF(COUNTIFS($A$2:$A$2001,A420,$B$2:$B$2001,B420,$C$2:$C$2001,C420,$D$2:$D$2001,D420)&gt;1,"DUPLIKAT","OK"))))</f>
        <v/>
      </c>
    </row>
    <row r="421">
      <c r="A421" s="4" t="n"/>
      <c r="B421" s="5" t="n"/>
      <c r="C421" s="5" t="n"/>
      <c r="D421" s="5" t="n"/>
      <c r="E421" s="6">
        <f>IF(A421="","","B"&amp;TEXT(COUNT($A$2:A421),"00000"))</f>
        <v/>
      </c>
      <c r="F421" s="6">
        <f>IF(OR(C421="",D421=""),"",IFERROR(LOOKUP(2,1/(($C$1:C420=C421)*($D$1:D420=D421)*ISNUMBER($J$1:J420)),$J$1:J420),SUMIFS(Master!$G$2:$G$13,Master!$E$2:$E$13,C421,Master!$F$2:$F$13,D421)))</f>
        <v/>
      </c>
      <c r="G421" s="5" t="n"/>
      <c r="H421" s="5" t="n"/>
      <c r="I421" s="5" t="n"/>
      <c r="J421" s="6">
        <f>IF(OR(F421="",COUNT(G421:I421)&lt;3),"",F421+G421-H421-I421)</f>
        <v/>
      </c>
      <c r="K421" s="6">
        <f>IF(COUNTA(A421:D421,G421:I421)=0,"",IF(COUNTA(A421:D421,G421:I421)&lt;7,"LENGKAPI",IF(H421+I421&gt;N(F421)+G421,"ABNORMAL",IF(COUNTIFS($A$2:$A$2001,A421,$B$2:$B$2001,B421,$C$2:$C$2001,C421,$D$2:$D$2001,D421)&gt;1,"DUPLIKAT","OK"))))</f>
        <v/>
      </c>
    </row>
    <row r="422">
      <c r="A422" s="4" t="n"/>
      <c r="B422" s="5" t="n"/>
      <c r="C422" s="5" t="n"/>
      <c r="D422" s="5" t="n"/>
      <c r="E422" s="6">
        <f>IF(A422="","","B"&amp;TEXT(COUNT($A$2:A422),"00000"))</f>
        <v/>
      </c>
      <c r="F422" s="6">
        <f>IF(OR(C422="",D422=""),"",IFERROR(LOOKUP(2,1/(($C$1:C421=C422)*($D$1:D421=D422)*ISNUMBER($J$1:J421)),$J$1:J421),SUMIFS(Master!$G$2:$G$13,Master!$E$2:$E$13,C422,Master!$F$2:$F$13,D422)))</f>
        <v/>
      </c>
      <c r="G422" s="5" t="n"/>
      <c r="H422" s="5" t="n"/>
      <c r="I422" s="5" t="n"/>
      <c r="J422" s="6">
        <f>IF(OR(F422="",COUNT(G422:I422)&lt;3),"",F422+G422-H422-I422)</f>
        <v/>
      </c>
      <c r="K422" s="6">
        <f>IF(COUNTA(A422:D422,G422:I422)=0,"",IF(COUNTA(A422:D422,G422:I422)&lt;7,"LENGKAPI",IF(H422+I422&gt;N(F422)+G422,"ABNORMAL",IF(COUNTIFS($A$2:$A$2001,A422,$B$2:$B$2001,B422,$C$2:$C$2001,C422,$D$2:$D$2001,D422)&gt;1,"DUPLIKAT","OK"))))</f>
        <v/>
      </c>
    </row>
    <row r="423">
      <c r="A423" s="4" t="n"/>
      <c r="B423" s="5" t="n"/>
      <c r="C423" s="5" t="n"/>
      <c r="D423" s="5" t="n"/>
      <c r="E423" s="6">
        <f>IF(A423="","","B"&amp;TEXT(COUNT($A$2:A423),"00000"))</f>
        <v/>
      </c>
      <c r="F423" s="6">
        <f>IF(OR(C423="",D423=""),"",IFERROR(LOOKUP(2,1/(($C$1:C422=C423)*($D$1:D422=D423)*ISNUMBER($J$1:J422)),$J$1:J422),SUMIFS(Master!$G$2:$G$13,Master!$E$2:$E$13,C423,Master!$F$2:$F$13,D423)))</f>
        <v/>
      </c>
      <c r="G423" s="5" t="n"/>
      <c r="H423" s="5" t="n"/>
      <c r="I423" s="5" t="n"/>
      <c r="J423" s="6">
        <f>IF(OR(F423="",COUNT(G423:I423)&lt;3),"",F423+G423-H423-I423)</f>
        <v/>
      </c>
      <c r="K423" s="6">
        <f>IF(COUNTA(A423:D423,G423:I423)=0,"",IF(COUNTA(A423:D423,G423:I423)&lt;7,"LENGKAPI",IF(H423+I423&gt;N(F423)+G423,"ABNORMAL",IF(COUNTIFS($A$2:$A$2001,A423,$B$2:$B$2001,B423,$C$2:$C$2001,C423,$D$2:$D$2001,D423)&gt;1,"DUPLIKAT","OK"))))</f>
        <v/>
      </c>
    </row>
    <row r="424">
      <c r="A424" s="4" t="n"/>
      <c r="B424" s="5" t="n"/>
      <c r="C424" s="5" t="n"/>
      <c r="D424" s="5" t="n"/>
      <c r="E424" s="6">
        <f>IF(A424="","","B"&amp;TEXT(COUNT($A$2:A424),"00000"))</f>
        <v/>
      </c>
      <c r="F424" s="6">
        <f>IF(OR(C424="",D424=""),"",IFERROR(LOOKUP(2,1/(($C$1:C423=C424)*($D$1:D423=D424)*ISNUMBER($J$1:J423)),$J$1:J423),SUMIFS(Master!$G$2:$G$13,Master!$E$2:$E$13,C424,Master!$F$2:$F$13,D424)))</f>
        <v/>
      </c>
      <c r="G424" s="5" t="n"/>
      <c r="H424" s="5" t="n"/>
      <c r="I424" s="5" t="n"/>
      <c r="J424" s="6">
        <f>IF(OR(F424="",COUNT(G424:I424)&lt;3),"",F424+G424-H424-I424)</f>
        <v/>
      </c>
      <c r="K424" s="6">
        <f>IF(COUNTA(A424:D424,G424:I424)=0,"",IF(COUNTA(A424:D424,G424:I424)&lt;7,"LENGKAPI",IF(H424+I424&gt;N(F424)+G424,"ABNORMAL",IF(COUNTIFS($A$2:$A$2001,A424,$B$2:$B$2001,B424,$C$2:$C$2001,C424,$D$2:$D$2001,D424)&gt;1,"DUPLIKAT","OK"))))</f>
        <v/>
      </c>
    </row>
    <row r="425">
      <c r="A425" s="4" t="n"/>
      <c r="B425" s="5" t="n"/>
      <c r="C425" s="5" t="n"/>
      <c r="D425" s="5" t="n"/>
      <c r="E425" s="6">
        <f>IF(A425="","","B"&amp;TEXT(COUNT($A$2:A425),"00000"))</f>
        <v/>
      </c>
      <c r="F425" s="6">
        <f>IF(OR(C425="",D425=""),"",IFERROR(LOOKUP(2,1/(($C$1:C424=C425)*($D$1:D424=D425)*ISNUMBER($J$1:J424)),$J$1:J424),SUMIFS(Master!$G$2:$G$13,Master!$E$2:$E$13,C425,Master!$F$2:$F$13,D425)))</f>
        <v/>
      </c>
      <c r="G425" s="5" t="n"/>
      <c r="H425" s="5" t="n"/>
      <c r="I425" s="5" t="n"/>
      <c r="J425" s="6">
        <f>IF(OR(F425="",COUNT(G425:I425)&lt;3),"",F425+G425-H425-I425)</f>
        <v/>
      </c>
      <c r="K425" s="6">
        <f>IF(COUNTA(A425:D425,G425:I425)=0,"",IF(COUNTA(A425:D425,G425:I425)&lt;7,"LENGKAPI",IF(H425+I425&gt;N(F425)+G425,"ABNORMAL",IF(COUNTIFS($A$2:$A$2001,A425,$B$2:$B$2001,B425,$C$2:$C$2001,C425,$D$2:$D$2001,D425)&gt;1,"DUPLIKAT","OK"))))</f>
        <v/>
      </c>
    </row>
    <row r="426">
      <c r="A426" s="4" t="n"/>
      <c r="B426" s="5" t="n"/>
      <c r="C426" s="5" t="n"/>
      <c r="D426" s="5" t="n"/>
      <c r="E426" s="6">
        <f>IF(A426="","","B"&amp;TEXT(COUNT($A$2:A426),"00000"))</f>
        <v/>
      </c>
      <c r="F426" s="6">
        <f>IF(OR(C426="",D426=""),"",IFERROR(LOOKUP(2,1/(($C$1:C425=C426)*($D$1:D425=D426)*ISNUMBER($J$1:J425)),$J$1:J425),SUMIFS(Master!$G$2:$G$13,Master!$E$2:$E$13,C426,Master!$F$2:$F$13,D426)))</f>
        <v/>
      </c>
      <c r="G426" s="5" t="n"/>
      <c r="H426" s="5" t="n"/>
      <c r="I426" s="5" t="n"/>
      <c r="J426" s="6">
        <f>IF(OR(F426="",COUNT(G426:I426)&lt;3),"",F426+G426-H426-I426)</f>
        <v/>
      </c>
      <c r="K426" s="6">
        <f>IF(COUNTA(A426:D426,G426:I426)=0,"",IF(COUNTA(A426:D426,G426:I426)&lt;7,"LENGKAPI",IF(H426+I426&gt;N(F426)+G426,"ABNORMAL",IF(COUNTIFS($A$2:$A$2001,A426,$B$2:$B$2001,B426,$C$2:$C$2001,C426,$D$2:$D$2001,D426)&gt;1,"DUPLIKAT","OK"))))</f>
        <v/>
      </c>
    </row>
    <row r="427">
      <c r="A427" s="4" t="n"/>
      <c r="B427" s="5" t="n"/>
      <c r="C427" s="5" t="n"/>
      <c r="D427" s="5" t="n"/>
      <c r="E427" s="6">
        <f>IF(A427="","","B"&amp;TEXT(COUNT($A$2:A427),"00000"))</f>
        <v/>
      </c>
      <c r="F427" s="6">
        <f>IF(OR(C427="",D427=""),"",IFERROR(LOOKUP(2,1/(($C$1:C426=C427)*($D$1:D426=D427)*ISNUMBER($J$1:J426)),$J$1:J426),SUMIFS(Master!$G$2:$G$13,Master!$E$2:$E$13,C427,Master!$F$2:$F$13,D427)))</f>
        <v/>
      </c>
      <c r="G427" s="5" t="n"/>
      <c r="H427" s="5" t="n"/>
      <c r="I427" s="5" t="n"/>
      <c r="J427" s="6">
        <f>IF(OR(F427="",COUNT(G427:I427)&lt;3),"",F427+G427-H427-I427)</f>
        <v/>
      </c>
      <c r="K427" s="6">
        <f>IF(COUNTA(A427:D427,G427:I427)=0,"",IF(COUNTA(A427:D427,G427:I427)&lt;7,"LENGKAPI",IF(H427+I427&gt;N(F427)+G427,"ABNORMAL",IF(COUNTIFS($A$2:$A$2001,A427,$B$2:$B$2001,B427,$C$2:$C$2001,C427,$D$2:$D$2001,D427)&gt;1,"DUPLIKAT","OK"))))</f>
        <v/>
      </c>
    </row>
    <row r="428">
      <c r="A428" s="4" t="n"/>
      <c r="B428" s="5" t="n"/>
      <c r="C428" s="5" t="n"/>
      <c r="D428" s="5" t="n"/>
      <c r="E428" s="6">
        <f>IF(A428="","","B"&amp;TEXT(COUNT($A$2:A428),"00000"))</f>
        <v/>
      </c>
      <c r="F428" s="6">
        <f>IF(OR(C428="",D428=""),"",IFERROR(LOOKUP(2,1/(($C$1:C427=C428)*($D$1:D427=D428)*ISNUMBER($J$1:J427)),$J$1:J427),SUMIFS(Master!$G$2:$G$13,Master!$E$2:$E$13,C428,Master!$F$2:$F$13,D428)))</f>
        <v/>
      </c>
      <c r="G428" s="5" t="n"/>
      <c r="H428" s="5" t="n"/>
      <c r="I428" s="5" t="n"/>
      <c r="J428" s="6">
        <f>IF(OR(F428="",COUNT(G428:I428)&lt;3),"",F428+G428-H428-I428)</f>
        <v/>
      </c>
      <c r="K428" s="6">
        <f>IF(COUNTA(A428:D428,G428:I428)=0,"",IF(COUNTA(A428:D428,G428:I428)&lt;7,"LENGKAPI",IF(H428+I428&gt;N(F428)+G428,"ABNORMAL",IF(COUNTIFS($A$2:$A$2001,A428,$B$2:$B$2001,B428,$C$2:$C$2001,C428,$D$2:$D$2001,D428)&gt;1,"DUPLIKAT","OK"))))</f>
        <v/>
      </c>
    </row>
    <row r="429">
      <c r="A429" s="4" t="n"/>
      <c r="B429" s="5" t="n"/>
      <c r="C429" s="5" t="n"/>
      <c r="D429" s="5" t="n"/>
      <c r="E429" s="6">
        <f>IF(A429="","","B"&amp;TEXT(COUNT($A$2:A429),"00000"))</f>
        <v/>
      </c>
      <c r="F429" s="6">
        <f>IF(OR(C429="",D429=""),"",IFERROR(LOOKUP(2,1/(($C$1:C428=C429)*($D$1:D428=D429)*ISNUMBER($J$1:J428)),$J$1:J428),SUMIFS(Master!$G$2:$G$13,Master!$E$2:$E$13,C429,Master!$F$2:$F$13,D429)))</f>
        <v/>
      </c>
      <c r="G429" s="5" t="n"/>
      <c r="H429" s="5" t="n"/>
      <c r="I429" s="5" t="n"/>
      <c r="J429" s="6">
        <f>IF(OR(F429="",COUNT(G429:I429)&lt;3),"",F429+G429-H429-I429)</f>
        <v/>
      </c>
      <c r="K429" s="6">
        <f>IF(COUNTA(A429:D429,G429:I429)=0,"",IF(COUNTA(A429:D429,G429:I429)&lt;7,"LENGKAPI",IF(H429+I429&gt;N(F429)+G429,"ABNORMAL",IF(COUNTIFS($A$2:$A$2001,A429,$B$2:$B$2001,B429,$C$2:$C$2001,C429,$D$2:$D$2001,D429)&gt;1,"DUPLIKAT","OK"))))</f>
        <v/>
      </c>
    </row>
    <row r="430">
      <c r="A430" s="4" t="n"/>
      <c r="B430" s="5" t="n"/>
      <c r="C430" s="5" t="n"/>
      <c r="D430" s="5" t="n"/>
      <c r="E430" s="6">
        <f>IF(A430="","","B"&amp;TEXT(COUNT($A$2:A430),"00000"))</f>
        <v/>
      </c>
      <c r="F430" s="6">
        <f>IF(OR(C430="",D430=""),"",IFERROR(LOOKUP(2,1/(($C$1:C429=C430)*($D$1:D429=D430)*ISNUMBER($J$1:J429)),$J$1:J429),SUMIFS(Master!$G$2:$G$13,Master!$E$2:$E$13,C430,Master!$F$2:$F$13,D430)))</f>
        <v/>
      </c>
      <c r="G430" s="5" t="n"/>
      <c r="H430" s="5" t="n"/>
      <c r="I430" s="5" t="n"/>
      <c r="J430" s="6">
        <f>IF(OR(F430="",COUNT(G430:I430)&lt;3),"",F430+G430-H430-I430)</f>
        <v/>
      </c>
      <c r="K430" s="6">
        <f>IF(COUNTA(A430:D430,G430:I430)=0,"",IF(COUNTA(A430:D430,G430:I430)&lt;7,"LENGKAPI",IF(H430+I430&gt;N(F430)+G430,"ABNORMAL",IF(COUNTIFS($A$2:$A$2001,A430,$B$2:$B$2001,B430,$C$2:$C$2001,C430,$D$2:$D$2001,D430)&gt;1,"DUPLIKAT","OK"))))</f>
        <v/>
      </c>
    </row>
    <row r="431">
      <c r="A431" s="4" t="n"/>
      <c r="B431" s="5" t="n"/>
      <c r="C431" s="5" t="n"/>
      <c r="D431" s="5" t="n"/>
      <c r="E431" s="6">
        <f>IF(A431="","","B"&amp;TEXT(COUNT($A$2:A431),"00000"))</f>
        <v/>
      </c>
      <c r="F431" s="6">
        <f>IF(OR(C431="",D431=""),"",IFERROR(LOOKUP(2,1/(($C$1:C430=C431)*($D$1:D430=D431)*ISNUMBER($J$1:J430)),$J$1:J430),SUMIFS(Master!$G$2:$G$13,Master!$E$2:$E$13,C431,Master!$F$2:$F$13,D431)))</f>
        <v/>
      </c>
      <c r="G431" s="5" t="n"/>
      <c r="H431" s="5" t="n"/>
      <c r="I431" s="5" t="n"/>
      <c r="J431" s="6">
        <f>IF(OR(F431="",COUNT(G431:I431)&lt;3),"",F431+G431-H431-I431)</f>
        <v/>
      </c>
      <c r="K431" s="6">
        <f>IF(COUNTA(A431:D431,G431:I431)=0,"",IF(COUNTA(A431:D431,G431:I431)&lt;7,"LENGKAPI",IF(H431+I431&gt;N(F431)+G431,"ABNORMAL",IF(COUNTIFS($A$2:$A$2001,A431,$B$2:$B$2001,B431,$C$2:$C$2001,C431,$D$2:$D$2001,D431)&gt;1,"DUPLIKAT","OK"))))</f>
        <v/>
      </c>
    </row>
    <row r="432">
      <c r="A432" s="4" t="n"/>
      <c r="B432" s="5" t="n"/>
      <c r="C432" s="5" t="n"/>
      <c r="D432" s="5" t="n"/>
      <c r="E432" s="6">
        <f>IF(A432="","","B"&amp;TEXT(COUNT($A$2:A432),"00000"))</f>
        <v/>
      </c>
      <c r="F432" s="6">
        <f>IF(OR(C432="",D432=""),"",IFERROR(LOOKUP(2,1/(($C$1:C431=C432)*($D$1:D431=D432)*ISNUMBER($J$1:J431)),$J$1:J431),SUMIFS(Master!$G$2:$G$13,Master!$E$2:$E$13,C432,Master!$F$2:$F$13,D432)))</f>
        <v/>
      </c>
      <c r="G432" s="5" t="n"/>
      <c r="H432" s="5" t="n"/>
      <c r="I432" s="5" t="n"/>
      <c r="J432" s="6">
        <f>IF(OR(F432="",COUNT(G432:I432)&lt;3),"",F432+G432-H432-I432)</f>
        <v/>
      </c>
      <c r="K432" s="6">
        <f>IF(COUNTA(A432:D432,G432:I432)=0,"",IF(COUNTA(A432:D432,G432:I432)&lt;7,"LENGKAPI",IF(H432+I432&gt;N(F432)+G432,"ABNORMAL",IF(COUNTIFS($A$2:$A$2001,A432,$B$2:$B$2001,B432,$C$2:$C$2001,C432,$D$2:$D$2001,D432)&gt;1,"DUPLIKAT","OK"))))</f>
        <v/>
      </c>
    </row>
    <row r="433">
      <c r="A433" s="4" t="n"/>
      <c r="B433" s="5" t="n"/>
      <c r="C433" s="5" t="n"/>
      <c r="D433" s="5" t="n"/>
      <c r="E433" s="6">
        <f>IF(A433="","","B"&amp;TEXT(COUNT($A$2:A433),"00000"))</f>
        <v/>
      </c>
      <c r="F433" s="6">
        <f>IF(OR(C433="",D433=""),"",IFERROR(LOOKUP(2,1/(($C$1:C432=C433)*($D$1:D432=D433)*ISNUMBER($J$1:J432)),$J$1:J432),SUMIFS(Master!$G$2:$G$13,Master!$E$2:$E$13,C433,Master!$F$2:$F$13,D433)))</f>
        <v/>
      </c>
      <c r="G433" s="5" t="n"/>
      <c r="H433" s="5" t="n"/>
      <c r="I433" s="5" t="n"/>
      <c r="J433" s="6">
        <f>IF(OR(F433="",COUNT(G433:I433)&lt;3),"",F433+G433-H433-I433)</f>
        <v/>
      </c>
      <c r="K433" s="6">
        <f>IF(COUNTA(A433:D433,G433:I433)=0,"",IF(COUNTA(A433:D433,G433:I433)&lt;7,"LENGKAPI",IF(H433+I433&gt;N(F433)+G433,"ABNORMAL",IF(COUNTIFS($A$2:$A$2001,A433,$B$2:$B$2001,B433,$C$2:$C$2001,C433,$D$2:$D$2001,D433)&gt;1,"DUPLIKAT","OK"))))</f>
        <v/>
      </c>
    </row>
    <row r="434">
      <c r="A434" s="4" t="n"/>
      <c r="B434" s="5" t="n"/>
      <c r="C434" s="5" t="n"/>
      <c r="D434" s="5" t="n"/>
      <c r="E434" s="6">
        <f>IF(A434="","","B"&amp;TEXT(COUNT($A$2:A434),"00000"))</f>
        <v/>
      </c>
      <c r="F434" s="6">
        <f>IF(OR(C434="",D434=""),"",IFERROR(LOOKUP(2,1/(($C$1:C433=C434)*($D$1:D433=D434)*ISNUMBER($J$1:J433)),$J$1:J433),SUMIFS(Master!$G$2:$G$13,Master!$E$2:$E$13,C434,Master!$F$2:$F$13,D434)))</f>
        <v/>
      </c>
      <c r="G434" s="5" t="n"/>
      <c r="H434" s="5" t="n"/>
      <c r="I434" s="5" t="n"/>
      <c r="J434" s="6">
        <f>IF(OR(F434="",COUNT(G434:I434)&lt;3),"",F434+G434-H434-I434)</f>
        <v/>
      </c>
      <c r="K434" s="6">
        <f>IF(COUNTA(A434:D434,G434:I434)=0,"",IF(COUNTA(A434:D434,G434:I434)&lt;7,"LENGKAPI",IF(H434+I434&gt;N(F434)+G434,"ABNORMAL",IF(COUNTIFS($A$2:$A$2001,A434,$B$2:$B$2001,B434,$C$2:$C$2001,C434,$D$2:$D$2001,D434)&gt;1,"DUPLIKAT","OK"))))</f>
        <v/>
      </c>
    </row>
    <row r="435">
      <c r="A435" s="4" t="n"/>
      <c r="B435" s="5" t="n"/>
      <c r="C435" s="5" t="n"/>
      <c r="D435" s="5" t="n"/>
      <c r="E435" s="6">
        <f>IF(A435="","","B"&amp;TEXT(COUNT($A$2:A435),"00000"))</f>
        <v/>
      </c>
      <c r="F435" s="6">
        <f>IF(OR(C435="",D435=""),"",IFERROR(LOOKUP(2,1/(($C$1:C434=C435)*($D$1:D434=D435)*ISNUMBER($J$1:J434)),$J$1:J434),SUMIFS(Master!$G$2:$G$13,Master!$E$2:$E$13,C435,Master!$F$2:$F$13,D435)))</f>
        <v/>
      </c>
      <c r="G435" s="5" t="n"/>
      <c r="H435" s="5" t="n"/>
      <c r="I435" s="5" t="n"/>
      <c r="J435" s="6">
        <f>IF(OR(F435="",COUNT(G435:I435)&lt;3),"",F435+G435-H435-I435)</f>
        <v/>
      </c>
      <c r="K435" s="6">
        <f>IF(COUNTA(A435:D435,G435:I435)=0,"",IF(COUNTA(A435:D435,G435:I435)&lt;7,"LENGKAPI",IF(H435+I435&gt;N(F435)+G435,"ABNORMAL",IF(COUNTIFS($A$2:$A$2001,A435,$B$2:$B$2001,B435,$C$2:$C$2001,C435,$D$2:$D$2001,D435)&gt;1,"DUPLIKAT","OK"))))</f>
        <v/>
      </c>
    </row>
    <row r="436">
      <c r="A436" s="4" t="n"/>
      <c r="B436" s="5" t="n"/>
      <c r="C436" s="5" t="n"/>
      <c r="D436" s="5" t="n"/>
      <c r="E436" s="6">
        <f>IF(A436="","","B"&amp;TEXT(COUNT($A$2:A436),"00000"))</f>
        <v/>
      </c>
      <c r="F436" s="6">
        <f>IF(OR(C436="",D436=""),"",IFERROR(LOOKUP(2,1/(($C$1:C435=C436)*($D$1:D435=D436)*ISNUMBER($J$1:J435)),$J$1:J435),SUMIFS(Master!$G$2:$G$13,Master!$E$2:$E$13,C436,Master!$F$2:$F$13,D436)))</f>
        <v/>
      </c>
      <c r="G436" s="5" t="n"/>
      <c r="H436" s="5" t="n"/>
      <c r="I436" s="5" t="n"/>
      <c r="J436" s="6">
        <f>IF(OR(F436="",COUNT(G436:I436)&lt;3),"",F436+G436-H436-I436)</f>
        <v/>
      </c>
      <c r="K436" s="6">
        <f>IF(COUNTA(A436:D436,G436:I436)=0,"",IF(COUNTA(A436:D436,G436:I436)&lt;7,"LENGKAPI",IF(H436+I436&gt;N(F436)+G436,"ABNORMAL",IF(COUNTIFS($A$2:$A$2001,A436,$B$2:$B$2001,B436,$C$2:$C$2001,C436,$D$2:$D$2001,D436)&gt;1,"DUPLIKAT","OK"))))</f>
        <v/>
      </c>
    </row>
    <row r="437">
      <c r="A437" s="4" t="n"/>
      <c r="B437" s="5" t="n"/>
      <c r="C437" s="5" t="n"/>
      <c r="D437" s="5" t="n"/>
      <c r="E437" s="6">
        <f>IF(A437="","","B"&amp;TEXT(COUNT($A$2:A437),"00000"))</f>
        <v/>
      </c>
      <c r="F437" s="6">
        <f>IF(OR(C437="",D437=""),"",IFERROR(LOOKUP(2,1/(($C$1:C436=C437)*($D$1:D436=D437)*ISNUMBER($J$1:J436)),$J$1:J436),SUMIFS(Master!$G$2:$G$13,Master!$E$2:$E$13,C437,Master!$F$2:$F$13,D437)))</f>
        <v/>
      </c>
      <c r="G437" s="5" t="n"/>
      <c r="H437" s="5" t="n"/>
      <c r="I437" s="5" t="n"/>
      <c r="J437" s="6">
        <f>IF(OR(F437="",COUNT(G437:I437)&lt;3),"",F437+G437-H437-I437)</f>
        <v/>
      </c>
      <c r="K437" s="6">
        <f>IF(COUNTA(A437:D437,G437:I437)=0,"",IF(COUNTA(A437:D437,G437:I437)&lt;7,"LENGKAPI",IF(H437+I437&gt;N(F437)+G437,"ABNORMAL",IF(COUNTIFS($A$2:$A$2001,A437,$B$2:$B$2001,B437,$C$2:$C$2001,C437,$D$2:$D$2001,D437)&gt;1,"DUPLIKAT","OK"))))</f>
        <v/>
      </c>
    </row>
    <row r="438">
      <c r="A438" s="4" t="n"/>
      <c r="B438" s="5" t="n"/>
      <c r="C438" s="5" t="n"/>
      <c r="D438" s="5" t="n"/>
      <c r="E438" s="6">
        <f>IF(A438="","","B"&amp;TEXT(COUNT($A$2:A438),"00000"))</f>
        <v/>
      </c>
      <c r="F438" s="6">
        <f>IF(OR(C438="",D438=""),"",IFERROR(LOOKUP(2,1/(($C$1:C437=C438)*($D$1:D437=D438)*ISNUMBER($J$1:J437)),$J$1:J437),SUMIFS(Master!$G$2:$G$13,Master!$E$2:$E$13,C438,Master!$F$2:$F$13,D438)))</f>
        <v/>
      </c>
      <c r="G438" s="5" t="n"/>
      <c r="H438" s="5" t="n"/>
      <c r="I438" s="5" t="n"/>
      <c r="J438" s="6">
        <f>IF(OR(F438="",COUNT(G438:I438)&lt;3),"",F438+G438-H438-I438)</f>
        <v/>
      </c>
      <c r="K438" s="6">
        <f>IF(COUNTA(A438:D438,G438:I438)=0,"",IF(COUNTA(A438:D438,G438:I438)&lt;7,"LENGKAPI",IF(H438+I438&gt;N(F438)+G438,"ABNORMAL",IF(COUNTIFS($A$2:$A$2001,A438,$B$2:$B$2001,B438,$C$2:$C$2001,C438,$D$2:$D$2001,D438)&gt;1,"DUPLIKAT","OK"))))</f>
        <v/>
      </c>
    </row>
    <row r="439">
      <c r="A439" s="4" t="n"/>
      <c r="B439" s="5" t="n"/>
      <c r="C439" s="5" t="n"/>
      <c r="D439" s="5" t="n"/>
      <c r="E439" s="6">
        <f>IF(A439="","","B"&amp;TEXT(COUNT($A$2:A439),"00000"))</f>
        <v/>
      </c>
      <c r="F439" s="6">
        <f>IF(OR(C439="",D439=""),"",IFERROR(LOOKUP(2,1/(($C$1:C438=C439)*($D$1:D438=D439)*ISNUMBER($J$1:J438)),$J$1:J438),SUMIFS(Master!$G$2:$G$13,Master!$E$2:$E$13,C439,Master!$F$2:$F$13,D439)))</f>
        <v/>
      </c>
      <c r="G439" s="5" t="n"/>
      <c r="H439" s="5" t="n"/>
      <c r="I439" s="5" t="n"/>
      <c r="J439" s="6">
        <f>IF(OR(F439="",COUNT(G439:I439)&lt;3),"",F439+G439-H439-I439)</f>
        <v/>
      </c>
      <c r="K439" s="6">
        <f>IF(COUNTA(A439:D439,G439:I439)=0,"",IF(COUNTA(A439:D439,G439:I439)&lt;7,"LENGKAPI",IF(H439+I439&gt;N(F439)+G439,"ABNORMAL",IF(COUNTIFS($A$2:$A$2001,A439,$B$2:$B$2001,B439,$C$2:$C$2001,C439,$D$2:$D$2001,D439)&gt;1,"DUPLIKAT","OK"))))</f>
        <v/>
      </c>
    </row>
    <row r="440">
      <c r="A440" s="4" t="n"/>
      <c r="B440" s="5" t="n"/>
      <c r="C440" s="5" t="n"/>
      <c r="D440" s="5" t="n"/>
      <c r="E440" s="6">
        <f>IF(A440="","","B"&amp;TEXT(COUNT($A$2:A440),"00000"))</f>
        <v/>
      </c>
      <c r="F440" s="6">
        <f>IF(OR(C440="",D440=""),"",IFERROR(LOOKUP(2,1/(($C$1:C439=C440)*($D$1:D439=D440)*ISNUMBER($J$1:J439)),$J$1:J439),SUMIFS(Master!$G$2:$G$13,Master!$E$2:$E$13,C440,Master!$F$2:$F$13,D440)))</f>
        <v/>
      </c>
      <c r="G440" s="5" t="n"/>
      <c r="H440" s="5" t="n"/>
      <c r="I440" s="5" t="n"/>
      <c r="J440" s="6">
        <f>IF(OR(F440="",COUNT(G440:I440)&lt;3),"",F440+G440-H440-I440)</f>
        <v/>
      </c>
      <c r="K440" s="6">
        <f>IF(COUNTA(A440:D440,G440:I440)=0,"",IF(COUNTA(A440:D440,G440:I440)&lt;7,"LENGKAPI",IF(H440+I440&gt;N(F440)+G440,"ABNORMAL",IF(COUNTIFS($A$2:$A$2001,A440,$B$2:$B$2001,B440,$C$2:$C$2001,C440,$D$2:$D$2001,D440)&gt;1,"DUPLIKAT","OK"))))</f>
        <v/>
      </c>
    </row>
    <row r="441">
      <c r="A441" s="4" t="n"/>
      <c r="B441" s="5" t="n"/>
      <c r="C441" s="5" t="n"/>
      <c r="D441" s="5" t="n"/>
      <c r="E441" s="6">
        <f>IF(A441="","","B"&amp;TEXT(COUNT($A$2:A441),"00000"))</f>
        <v/>
      </c>
      <c r="F441" s="6">
        <f>IF(OR(C441="",D441=""),"",IFERROR(LOOKUP(2,1/(($C$1:C440=C441)*($D$1:D440=D441)*ISNUMBER($J$1:J440)),$J$1:J440),SUMIFS(Master!$G$2:$G$13,Master!$E$2:$E$13,C441,Master!$F$2:$F$13,D441)))</f>
        <v/>
      </c>
      <c r="G441" s="5" t="n"/>
      <c r="H441" s="5" t="n"/>
      <c r="I441" s="5" t="n"/>
      <c r="J441" s="6">
        <f>IF(OR(F441="",COUNT(G441:I441)&lt;3),"",F441+G441-H441-I441)</f>
        <v/>
      </c>
      <c r="K441" s="6">
        <f>IF(COUNTA(A441:D441,G441:I441)=0,"",IF(COUNTA(A441:D441,G441:I441)&lt;7,"LENGKAPI",IF(H441+I441&gt;N(F441)+G441,"ABNORMAL",IF(COUNTIFS($A$2:$A$2001,A441,$B$2:$B$2001,B441,$C$2:$C$2001,C441,$D$2:$D$2001,D441)&gt;1,"DUPLIKAT","OK"))))</f>
        <v/>
      </c>
    </row>
    <row r="442">
      <c r="A442" s="4" t="n"/>
      <c r="B442" s="5" t="n"/>
      <c r="C442" s="5" t="n"/>
      <c r="D442" s="5" t="n"/>
      <c r="E442" s="6">
        <f>IF(A442="","","B"&amp;TEXT(COUNT($A$2:A442),"00000"))</f>
        <v/>
      </c>
      <c r="F442" s="6">
        <f>IF(OR(C442="",D442=""),"",IFERROR(LOOKUP(2,1/(($C$1:C441=C442)*($D$1:D441=D442)*ISNUMBER($J$1:J441)),$J$1:J441),SUMIFS(Master!$G$2:$G$13,Master!$E$2:$E$13,C442,Master!$F$2:$F$13,D442)))</f>
        <v/>
      </c>
      <c r="G442" s="5" t="n"/>
      <c r="H442" s="5" t="n"/>
      <c r="I442" s="5" t="n"/>
      <c r="J442" s="6">
        <f>IF(OR(F442="",COUNT(G442:I442)&lt;3),"",F442+G442-H442-I442)</f>
        <v/>
      </c>
      <c r="K442" s="6">
        <f>IF(COUNTA(A442:D442,G442:I442)=0,"",IF(COUNTA(A442:D442,G442:I442)&lt;7,"LENGKAPI",IF(H442+I442&gt;N(F442)+G442,"ABNORMAL",IF(COUNTIFS($A$2:$A$2001,A442,$B$2:$B$2001,B442,$C$2:$C$2001,C442,$D$2:$D$2001,D442)&gt;1,"DUPLIKAT","OK"))))</f>
        <v/>
      </c>
    </row>
    <row r="443">
      <c r="A443" s="4" t="n"/>
      <c r="B443" s="5" t="n"/>
      <c r="C443" s="5" t="n"/>
      <c r="D443" s="5" t="n"/>
      <c r="E443" s="6">
        <f>IF(A443="","","B"&amp;TEXT(COUNT($A$2:A443),"00000"))</f>
        <v/>
      </c>
      <c r="F443" s="6">
        <f>IF(OR(C443="",D443=""),"",IFERROR(LOOKUP(2,1/(($C$1:C442=C443)*($D$1:D442=D443)*ISNUMBER($J$1:J442)),$J$1:J442),SUMIFS(Master!$G$2:$G$13,Master!$E$2:$E$13,C443,Master!$F$2:$F$13,D443)))</f>
        <v/>
      </c>
      <c r="G443" s="5" t="n"/>
      <c r="H443" s="5" t="n"/>
      <c r="I443" s="5" t="n"/>
      <c r="J443" s="6">
        <f>IF(OR(F443="",COUNT(G443:I443)&lt;3),"",F443+G443-H443-I443)</f>
        <v/>
      </c>
      <c r="K443" s="6">
        <f>IF(COUNTA(A443:D443,G443:I443)=0,"",IF(COUNTA(A443:D443,G443:I443)&lt;7,"LENGKAPI",IF(H443+I443&gt;N(F443)+G443,"ABNORMAL",IF(COUNTIFS($A$2:$A$2001,A443,$B$2:$B$2001,B443,$C$2:$C$2001,C443,$D$2:$D$2001,D443)&gt;1,"DUPLIKAT","OK"))))</f>
        <v/>
      </c>
    </row>
    <row r="444">
      <c r="A444" s="4" t="n"/>
      <c r="B444" s="5" t="n"/>
      <c r="C444" s="5" t="n"/>
      <c r="D444" s="5" t="n"/>
      <c r="E444" s="6">
        <f>IF(A444="","","B"&amp;TEXT(COUNT($A$2:A444),"00000"))</f>
        <v/>
      </c>
      <c r="F444" s="6">
        <f>IF(OR(C444="",D444=""),"",IFERROR(LOOKUP(2,1/(($C$1:C443=C444)*($D$1:D443=D444)*ISNUMBER($J$1:J443)),$J$1:J443),SUMIFS(Master!$G$2:$G$13,Master!$E$2:$E$13,C444,Master!$F$2:$F$13,D444)))</f>
        <v/>
      </c>
      <c r="G444" s="5" t="n"/>
      <c r="H444" s="5" t="n"/>
      <c r="I444" s="5" t="n"/>
      <c r="J444" s="6">
        <f>IF(OR(F444="",COUNT(G444:I444)&lt;3),"",F444+G444-H444-I444)</f>
        <v/>
      </c>
      <c r="K444" s="6">
        <f>IF(COUNTA(A444:D444,G444:I444)=0,"",IF(COUNTA(A444:D444,G444:I444)&lt;7,"LENGKAPI",IF(H444+I444&gt;N(F444)+G444,"ABNORMAL",IF(COUNTIFS($A$2:$A$2001,A444,$B$2:$B$2001,B444,$C$2:$C$2001,C444,$D$2:$D$2001,D444)&gt;1,"DUPLIKAT","OK"))))</f>
        <v/>
      </c>
    </row>
    <row r="445">
      <c r="A445" s="4" t="n"/>
      <c r="B445" s="5" t="n"/>
      <c r="C445" s="5" t="n"/>
      <c r="D445" s="5" t="n"/>
      <c r="E445" s="6">
        <f>IF(A445="","","B"&amp;TEXT(COUNT($A$2:A445),"00000"))</f>
        <v/>
      </c>
      <c r="F445" s="6">
        <f>IF(OR(C445="",D445=""),"",IFERROR(LOOKUP(2,1/(($C$1:C444=C445)*($D$1:D444=D445)*ISNUMBER($J$1:J444)),$J$1:J444),SUMIFS(Master!$G$2:$G$13,Master!$E$2:$E$13,C445,Master!$F$2:$F$13,D445)))</f>
        <v/>
      </c>
      <c r="G445" s="5" t="n"/>
      <c r="H445" s="5" t="n"/>
      <c r="I445" s="5" t="n"/>
      <c r="J445" s="6">
        <f>IF(OR(F445="",COUNT(G445:I445)&lt;3),"",F445+G445-H445-I445)</f>
        <v/>
      </c>
      <c r="K445" s="6">
        <f>IF(COUNTA(A445:D445,G445:I445)=0,"",IF(COUNTA(A445:D445,G445:I445)&lt;7,"LENGKAPI",IF(H445+I445&gt;N(F445)+G445,"ABNORMAL",IF(COUNTIFS($A$2:$A$2001,A445,$B$2:$B$2001,B445,$C$2:$C$2001,C445,$D$2:$D$2001,D445)&gt;1,"DUPLIKAT","OK"))))</f>
        <v/>
      </c>
    </row>
    <row r="446">
      <c r="A446" s="4" t="n"/>
      <c r="B446" s="5" t="n"/>
      <c r="C446" s="5" t="n"/>
      <c r="D446" s="5" t="n"/>
      <c r="E446" s="6">
        <f>IF(A446="","","B"&amp;TEXT(COUNT($A$2:A446),"00000"))</f>
        <v/>
      </c>
      <c r="F446" s="6">
        <f>IF(OR(C446="",D446=""),"",IFERROR(LOOKUP(2,1/(($C$1:C445=C446)*($D$1:D445=D446)*ISNUMBER($J$1:J445)),$J$1:J445),SUMIFS(Master!$G$2:$G$13,Master!$E$2:$E$13,C446,Master!$F$2:$F$13,D446)))</f>
        <v/>
      </c>
      <c r="G446" s="5" t="n"/>
      <c r="H446" s="5" t="n"/>
      <c r="I446" s="5" t="n"/>
      <c r="J446" s="6">
        <f>IF(OR(F446="",COUNT(G446:I446)&lt;3),"",F446+G446-H446-I446)</f>
        <v/>
      </c>
      <c r="K446" s="6">
        <f>IF(COUNTA(A446:D446,G446:I446)=0,"",IF(COUNTA(A446:D446,G446:I446)&lt;7,"LENGKAPI",IF(H446+I446&gt;N(F446)+G446,"ABNORMAL",IF(COUNTIFS($A$2:$A$2001,A446,$B$2:$B$2001,B446,$C$2:$C$2001,C446,$D$2:$D$2001,D446)&gt;1,"DUPLIKAT","OK"))))</f>
        <v/>
      </c>
    </row>
    <row r="447">
      <c r="A447" s="4" t="n"/>
      <c r="B447" s="5" t="n"/>
      <c r="C447" s="5" t="n"/>
      <c r="D447" s="5" t="n"/>
      <c r="E447" s="6">
        <f>IF(A447="","","B"&amp;TEXT(COUNT($A$2:A447),"00000"))</f>
        <v/>
      </c>
      <c r="F447" s="6">
        <f>IF(OR(C447="",D447=""),"",IFERROR(LOOKUP(2,1/(($C$1:C446=C447)*($D$1:D446=D447)*ISNUMBER($J$1:J446)),$J$1:J446),SUMIFS(Master!$G$2:$G$13,Master!$E$2:$E$13,C447,Master!$F$2:$F$13,D447)))</f>
        <v/>
      </c>
      <c r="G447" s="5" t="n"/>
      <c r="H447" s="5" t="n"/>
      <c r="I447" s="5" t="n"/>
      <c r="J447" s="6">
        <f>IF(OR(F447="",COUNT(G447:I447)&lt;3),"",F447+G447-H447-I447)</f>
        <v/>
      </c>
      <c r="K447" s="6">
        <f>IF(COUNTA(A447:D447,G447:I447)=0,"",IF(COUNTA(A447:D447,G447:I447)&lt;7,"LENGKAPI",IF(H447+I447&gt;N(F447)+G447,"ABNORMAL",IF(COUNTIFS($A$2:$A$2001,A447,$B$2:$B$2001,B447,$C$2:$C$2001,C447,$D$2:$D$2001,D447)&gt;1,"DUPLIKAT","OK"))))</f>
        <v/>
      </c>
    </row>
    <row r="448">
      <c r="A448" s="4" t="n"/>
      <c r="B448" s="5" t="n"/>
      <c r="C448" s="5" t="n"/>
      <c r="D448" s="5" t="n"/>
      <c r="E448" s="6">
        <f>IF(A448="","","B"&amp;TEXT(COUNT($A$2:A448),"00000"))</f>
        <v/>
      </c>
      <c r="F448" s="6">
        <f>IF(OR(C448="",D448=""),"",IFERROR(LOOKUP(2,1/(($C$1:C447=C448)*($D$1:D447=D448)*ISNUMBER($J$1:J447)),$J$1:J447),SUMIFS(Master!$G$2:$G$13,Master!$E$2:$E$13,C448,Master!$F$2:$F$13,D448)))</f>
        <v/>
      </c>
      <c r="G448" s="5" t="n"/>
      <c r="H448" s="5" t="n"/>
      <c r="I448" s="5" t="n"/>
      <c r="J448" s="6">
        <f>IF(OR(F448="",COUNT(G448:I448)&lt;3),"",F448+G448-H448-I448)</f>
        <v/>
      </c>
      <c r="K448" s="6">
        <f>IF(COUNTA(A448:D448,G448:I448)=0,"",IF(COUNTA(A448:D448,G448:I448)&lt;7,"LENGKAPI",IF(H448+I448&gt;N(F448)+G448,"ABNORMAL",IF(COUNTIFS($A$2:$A$2001,A448,$B$2:$B$2001,B448,$C$2:$C$2001,C448,$D$2:$D$2001,D448)&gt;1,"DUPLIKAT","OK"))))</f>
        <v/>
      </c>
    </row>
    <row r="449">
      <c r="A449" s="4" t="n"/>
      <c r="B449" s="5" t="n"/>
      <c r="C449" s="5" t="n"/>
      <c r="D449" s="5" t="n"/>
      <c r="E449" s="6">
        <f>IF(A449="","","B"&amp;TEXT(COUNT($A$2:A449),"00000"))</f>
        <v/>
      </c>
      <c r="F449" s="6">
        <f>IF(OR(C449="",D449=""),"",IFERROR(LOOKUP(2,1/(($C$1:C448=C449)*($D$1:D448=D449)*ISNUMBER($J$1:J448)),$J$1:J448),SUMIFS(Master!$G$2:$G$13,Master!$E$2:$E$13,C449,Master!$F$2:$F$13,D449)))</f>
        <v/>
      </c>
      <c r="G449" s="5" t="n"/>
      <c r="H449" s="5" t="n"/>
      <c r="I449" s="5" t="n"/>
      <c r="J449" s="6">
        <f>IF(OR(F449="",COUNT(G449:I449)&lt;3),"",F449+G449-H449-I449)</f>
        <v/>
      </c>
      <c r="K449" s="6">
        <f>IF(COUNTA(A449:D449,G449:I449)=0,"",IF(COUNTA(A449:D449,G449:I449)&lt;7,"LENGKAPI",IF(H449+I449&gt;N(F449)+G449,"ABNORMAL",IF(COUNTIFS($A$2:$A$2001,A449,$B$2:$B$2001,B449,$C$2:$C$2001,C449,$D$2:$D$2001,D449)&gt;1,"DUPLIKAT","OK"))))</f>
        <v/>
      </c>
    </row>
    <row r="450">
      <c r="A450" s="4" t="n"/>
      <c r="B450" s="5" t="n"/>
      <c r="C450" s="5" t="n"/>
      <c r="D450" s="5" t="n"/>
      <c r="E450" s="6">
        <f>IF(A450="","","B"&amp;TEXT(COUNT($A$2:A450),"00000"))</f>
        <v/>
      </c>
      <c r="F450" s="6">
        <f>IF(OR(C450="",D450=""),"",IFERROR(LOOKUP(2,1/(($C$1:C449=C450)*($D$1:D449=D450)*ISNUMBER($J$1:J449)),$J$1:J449),SUMIFS(Master!$G$2:$G$13,Master!$E$2:$E$13,C450,Master!$F$2:$F$13,D450)))</f>
        <v/>
      </c>
      <c r="G450" s="5" t="n"/>
      <c r="H450" s="5" t="n"/>
      <c r="I450" s="5" t="n"/>
      <c r="J450" s="6">
        <f>IF(OR(F450="",COUNT(G450:I450)&lt;3),"",F450+G450-H450-I450)</f>
        <v/>
      </c>
      <c r="K450" s="6">
        <f>IF(COUNTA(A450:D450,G450:I450)=0,"",IF(COUNTA(A450:D450,G450:I450)&lt;7,"LENGKAPI",IF(H450+I450&gt;N(F450)+G450,"ABNORMAL",IF(COUNTIFS($A$2:$A$2001,A450,$B$2:$B$2001,B450,$C$2:$C$2001,C450,$D$2:$D$2001,D450)&gt;1,"DUPLIKAT","OK"))))</f>
        <v/>
      </c>
    </row>
    <row r="451">
      <c r="A451" s="4" t="n"/>
      <c r="B451" s="5" t="n"/>
      <c r="C451" s="5" t="n"/>
      <c r="D451" s="5" t="n"/>
      <c r="E451" s="6">
        <f>IF(A451="","","B"&amp;TEXT(COUNT($A$2:A451),"00000"))</f>
        <v/>
      </c>
      <c r="F451" s="6">
        <f>IF(OR(C451="",D451=""),"",IFERROR(LOOKUP(2,1/(($C$1:C450=C451)*($D$1:D450=D451)*ISNUMBER($J$1:J450)),$J$1:J450),SUMIFS(Master!$G$2:$G$13,Master!$E$2:$E$13,C451,Master!$F$2:$F$13,D451)))</f>
        <v/>
      </c>
      <c r="G451" s="5" t="n"/>
      <c r="H451" s="5" t="n"/>
      <c r="I451" s="5" t="n"/>
      <c r="J451" s="6">
        <f>IF(OR(F451="",COUNT(G451:I451)&lt;3),"",F451+G451-H451-I451)</f>
        <v/>
      </c>
      <c r="K451" s="6">
        <f>IF(COUNTA(A451:D451,G451:I451)=0,"",IF(COUNTA(A451:D451,G451:I451)&lt;7,"LENGKAPI",IF(H451+I451&gt;N(F451)+G451,"ABNORMAL",IF(COUNTIFS($A$2:$A$2001,A451,$B$2:$B$2001,B451,$C$2:$C$2001,C451,$D$2:$D$2001,D451)&gt;1,"DUPLIKAT","OK"))))</f>
        <v/>
      </c>
    </row>
    <row r="452">
      <c r="A452" s="4" t="n"/>
      <c r="B452" s="5" t="n"/>
      <c r="C452" s="5" t="n"/>
      <c r="D452" s="5" t="n"/>
      <c r="E452" s="6">
        <f>IF(A452="","","B"&amp;TEXT(COUNT($A$2:A452),"00000"))</f>
        <v/>
      </c>
      <c r="F452" s="6">
        <f>IF(OR(C452="",D452=""),"",IFERROR(LOOKUP(2,1/(($C$1:C451=C452)*($D$1:D451=D452)*ISNUMBER($J$1:J451)),$J$1:J451),SUMIFS(Master!$G$2:$G$13,Master!$E$2:$E$13,C452,Master!$F$2:$F$13,D452)))</f>
        <v/>
      </c>
      <c r="G452" s="5" t="n"/>
      <c r="H452" s="5" t="n"/>
      <c r="I452" s="5" t="n"/>
      <c r="J452" s="6">
        <f>IF(OR(F452="",COUNT(G452:I452)&lt;3),"",F452+G452-H452-I452)</f>
        <v/>
      </c>
      <c r="K452" s="6">
        <f>IF(COUNTA(A452:D452,G452:I452)=0,"",IF(COUNTA(A452:D452,G452:I452)&lt;7,"LENGKAPI",IF(H452+I452&gt;N(F452)+G452,"ABNORMAL",IF(COUNTIFS($A$2:$A$2001,A452,$B$2:$B$2001,B452,$C$2:$C$2001,C452,$D$2:$D$2001,D452)&gt;1,"DUPLIKAT","OK"))))</f>
        <v/>
      </c>
    </row>
    <row r="453">
      <c r="A453" s="4" t="n"/>
      <c r="B453" s="5" t="n"/>
      <c r="C453" s="5" t="n"/>
      <c r="D453" s="5" t="n"/>
      <c r="E453" s="6">
        <f>IF(A453="","","B"&amp;TEXT(COUNT($A$2:A453),"00000"))</f>
        <v/>
      </c>
      <c r="F453" s="6">
        <f>IF(OR(C453="",D453=""),"",IFERROR(LOOKUP(2,1/(($C$1:C452=C453)*($D$1:D452=D453)*ISNUMBER($J$1:J452)),$J$1:J452),SUMIFS(Master!$G$2:$G$13,Master!$E$2:$E$13,C453,Master!$F$2:$F$13,D453)))</f>
        <v/>
      </c>
      <c r="G453" s="5" t="n"/>
      <c r="H453" s="5" t="n"/>
      <c r="I453" s="5" t="n"/>
      <c r="J453" s="6">
        <f>IF(OR(F453="",COUNT(G453:I453)&lt;3),"",F453+G453-H453-I453)</f>
        <v/>
      </c>
      <c r="K453" s="6">
        <f>IF(COUNTA(A453:D453,G453:I453)=0,"",IF(COUNTA(A453:D453,G453:I453)&lt;7,"LENGKAPI",IF(H453+I453&gt;N(F453)+G453,"ABNORMAL",IF(COUNTIFS($A$2:$A$2001,A453,$B$2:$B$2001,B453,$C$2:$C$2001,C453,$D$2:$D$2001,D453)&gt;1,"DUPLIKAT","OK"))))</f>
        <v/>
      </c>
    </row>
    <row r="454">
      <c r="A454" s="4" t="n"/>
      <c r="B454" s="5" t="n"/>
      <c r="C454" s="5" t="n"/>
      <c r="D454" s="5" t="n"/>
      <c r="E454" s="6">
        <f>IF(A454="","","B"&amp;TEXT(COUNT($A$2:A454),"00000"))</f>
        <v/>
      </c>
      <c r="F454" s="6">
        <f>IF(OR(C454="",D454=""),"",IFERROR(LOOKUP(2,1/(($C$1:C453=C454)*($D$1:D453=D454)*ISNUMBER($J$1:J453)),$J$1:J453),SUMIFS(Master!$G$2:$G$13,Master!$E$2:$E$13,C454,Master!$F$2:$F$13,D454)))</f>
        <v/>
      </c>
      <c r="G454" s="5" t="n"/>
      <c r="H454" s="5" t="n"/>
      <c r="I454" s="5" t="n"/>
      <c r="J454" s="6">
        <f>IF(OR(F454="",COUNT(G454:I454)&lt;3),"",F454+G454-H454-I454)</f>
        <v/>
      </c>
      <c r="K454" s="6">
        <f>IF(COUNTA(A454:D454,G454:I454)=0,"",IF(COUNTA(A454:D454,G454:I454)&lt;7,"LENGKAPI",IF(H454+I454&gt;N(F454)+G454,"ABNORMAL",IF(COUNTIFS($A$2:$A$2001,A454,$B$2:$B$2001,B454,$C$2:$C$2001,C454,$D$2:$D$2001,D454)&gt;1,"DUPLIKAT","OK"))))</f>
        <v/>
      </c>
    </row>
    <row r="455">
      <c r="A455" s="4" t="n"/>
      <c r="B455" s="5" t="n"/>
      <c r="C455" s="5" t="n"/>
      <c r="D455" s="5" t="n"/>
      <c r="E455" s="6">
        <f>IF(A455="","","B"&amp;TEXT(COUNT($A$2:A455),"00000"))</f>
        <v/>
      </c>
      <c r="F455" s="6">
        <f>IF(OR(C455="",D455=""),"",IFERROR(LOOKUP(2,1/(($C$1:C454=C455)*($D$1:D454=D455)*ISNUMBER($J$1:J454)),$J$1:J454),SUMIFS(Master!$G$2:$G$13,Master!$E$2:$E$13,C455,Master!$F$2:$F$13,D455)))</f>
        <v/>
      </c>
      <c r="G455" s="5" t="n"/>
      <c r="H455" s="5" t="n"/>
      <c r="I455" s="5" t="n"/>
      <c r="J455" s="6">
        <f>IF(OR(F455="",COUNT(G455:I455)&lt;3),"",F455+G455-H455-I455)</f>
        <v/>
      </c>
      <c r="K455" s="6">
        <f>IF(COUNTA(A455:D455,G455:I455)=0,"",IF(COUNTA(A455:D455,G455:I455)&lt;7,"LENGKAPI",IF(H455+I455&gt;N(F455)+G455,"ABNORMAL",IF(COUNTIFS($A$2:$A$2001,A455,$B$2:$B$2001,B455,$C$2:$C$2001,C455,$D$2:$D$2001,D455)&gt;1,"DUPLIKAT","OK"))))</f>
        <v/>
      </c>
    </row>
    <row r="456">
      <c r="A456" s="4" t="n"/>
      <c r="B456" s="5" t="n"/>
      <c r="C456" s="5" t="n"/>
      <c r="D456" s="5" t="n"/>
      <c r="E456" s="6">
        <f>IF(A456="","","B"&amp;TEXT(COUNT($A$2:A456),"00000"))</f>
        <v/>
      </c>
      <c r="F456" s="6">
        <f>IF(OR(C456="",D456=""),"",IFERROR(LOOKUP(2,1/(($C$1:C455=C456)*($D$1:D455=D456)*ISNUMBER($J$1:J455)),$J$1:J455),SUMIFS(Master!$G$2:$G$13,Master!$E$2:$E$13,C456,Master!$F$2:$F$13,D456)))</f>
        <v/>
      </c>
      <c r="G456" s="5" t="n"/>
      <c r="H456" s="5" t="n"/>
      <c r="I456" s="5" t="n"/>
      <c r="J456" s="6">
        <f>IF(OR(F456="",COUNT(G456:I456)&lt;3),"",F456+G456-H456-I456)</f>
        <v/>
      </c>
      <c r="K456" s="6">
        <f>IF(COUNTA(A456:D456,G456:I456)=0,"",IF(COUNTA(A456:D456,G456:I456)&lt;7,"LENGKAPI",IF(H456+I456&gt;N(F456)+G456,"ABNORMAL",IF(COUNTIFS($A$2:$A$2001,A456,$B$2:$B$2001,B456,$C$2:$C$2001,C456,$D$2:$D$2001,D456)&gt;1,"DUPLIKAT","OK"))))</f>
        <v/>
      </c>
    </row>
    <row r="457">
      <c r="A457" s="4" t="n"/>
      <c r="B457" s="5" t="n"/>
      <c r="C457" s="5" t="n"/>
      <c r="D457" s="5" t="n"/>
      <c r="E457" s="6">
        <f>IF(A457="","","B"&amp;TEXT(COUNT($A$2:A457),"00000"))</f>
        <v/>
      </c>
      <c r="F457" s="6">
        <f>IF(OR(C457="",D457=""),"",IFERROR(LOOKUP(2,1/(($C$1:C456=C457)*($D$1:D456=D457)*ISNUMBER($J$1:J456)),$J$1:J456),SUMIFS(Master!$G$2:$G$13,Master!$E$2:$E$13,C457,Master!$F$2:$F$13,D457)))</f>
        <v/>
      </c>
      <c r="G457" s="5" t="n"/>
      <c r="H457" s="5" t="n"/>
      <c r="I457" s="5" t="n"/>
      <c r="J457" s="6">
        <f>IF(OR(F457="",COUNT(G457:I457)&lt;3),"",F457+G457-H457-I457)</f>
        <v/>
      </c>
      <c r="K457" s="6">
        <f>IF(COUNTA(A457:D457,G457:I457)=0,"",IF(COUNTA(A457:D457,G457:I457)&lt;7,"LENGKAPI",IF(H457+I457&gt;N(F457)+G457,"ABNORMAL",IF(COUNTIFS($A$2:$A$2001,A457,$B$2:$B$2001,B457,$C$2:$C$2001,C457,$D$2:$D$2001,D457)&gt;1,"DUPLIKAT","OK"))))</f>
        <v/>
      </c>
    </row>
    <row r="458">
      <c r="A458" s="4" t="n"/>
      <c r="B458" s="5" t="n"/>
      <c r="C458" s="5" t="n"/>
      <c r="D458" s="5" t="n"/>
      <c r="E458" s="6">
        <f>IF(A458="","","B"&amp;TEXT(COUNT($A$2:A458),"00000"))</f>
        <v/>
      </c>
      <c r="F458" s="6">
        <f>IF(OR(C458="",D458=""),"",IFERROR(LOOKUP(2,1/(($C$1:C457=C458)*($D$1:D457=D458)*ISNUMBER($J$1:J457)),$J$1:J457),SUMIFS(Master!$G$2:$G$13,Master!$E$2:$E$13,C458,Master!$F$2:$F$13,D458)))</f>
        <v/>
      </c>
      <c r="G458" s="5" t="n"/>
      <c r="H458" s="5" t="n"/>
      <c r="I458" s="5" t="n"/>
      <c r="J458" s="6">
        <f>IF(OR(F458="",COUNT(G458:I458)&lt;3),"",F458+G458-H458-I458)</f>
        <v/>
      </c>
      <c r="K458" s="6">
        <f>IF(COUNTA(A458:D458,G458:I458)=0,"",IF(COUNTA(A458:D458,G458:I458)&lt;7,"LENGKAPI",IF(H458+I458&gt;N(F458)+G458,"ABNORMAL",IF(COUNTIFS($A$2:$A$2001,A458,$B$2:$B$2001,B458,$C$2:$C$2001,C458,$D$2:$D$2001,D458)&gt;1,"DUPLIKAT","OK"))))</f>
        <v/>
      </c>
    </row>
    <row r="459">
      <c r="A459" s="4" t="n"/>
      <c r="B459" s="5" t="n"/>
      <c r="C459" s="5" t="n"/>
      <c r="D459" s="5" t="n"/>
      <c r="E459" s="6">
        <f>IF(A459="","","B"&amp;TEXT(COUNT($A$2:A459),"00000"))</f>
        <v/>
      </c>
      <c r="F459" s="6">
        <f>IF(OR(C459="",D459=""),"",IFERROR(LOOKUP(2,1/(($C$1:C458=C459)*($D$1:D458=D459)*ISNUMBER($J$1:J458)),$J$1:J458),SUMIFS(Master!$G$2:$G$13,Master!$E$2:$E$13,C459,Master!$F$2:$F$13,D459)))</f>
        <v/>
      </c>
      <c r="G459" s="5" t="n"/>
      <c r="H459" s="5" t="n"/>
      <c r="I459" s="5" t="n"/>
      <c r="J459" s="6">
        <f>IF(OR(F459="",COUNT(G459:I459)&lt;3),"",F459+G459-H459-I459)</f>
        <v/>
      </c>
      <c r="K459" s="6">
        <f>IF(COUNTA(A459:D459,G459:I459)=0,"",IF(COUNTA(A459:D459,G459:I459)&lt;7,"LENGKAPI",IF(H459+I459&gt;N(F459)+G459,"ABNORMAL",IF(COUNTIFS($A$2:$A$2001,A459,$B$2:$B$2001,B459,$C$2:$C$2001,C459,$D$2:$D$2001,D459)&gt;1,"DUPLIKAT","OK"))))</f>
        <v/>
      </c>
    </row>
    <row r="460">
      <c r="A460" s="4" t="n"/>
      <c r="B460" s="5" t="n"/>
      <c r="C460" s="5" t="n"/>
      <c r="D460" s="5" t="n"/>
      <c r="E460" s="6">
        <f>IF(A460="","","B"&amp;TEXT(COUNT($A$2:A460),"00000"))</f>
        <v/>
      </c>
      <c r="F460" s="6">
        <f>IF(OR(C460="",D460=""),"",IFERROR(LOOKUP(2,1/(($C$1:C459=C460)*($D$1:D459=D460)*ISNUMBER($J$1:J459)),$J$1:J459),SUMIFS(Master!$G$2:$G$13,Master!$E$2:$E$13,C460,Master!$F$2:$F$13,D460)))</f>
        <v/>
      </c>
      <c r="G460" s="5" t="n"/>
      <c r="H460" s="5" t="n"/>
      <c r="I460" s="5" t="n"/>
      <c r="J460" s="6">
        <f>IF(OR(F460="",COUNT(G460:I460)&lt;3),"",F460+G460-H460-I460)</f>
        <v/>
      </c>
      <c r="K460" s="6">
        <f>IF(COUNTA(A460:D460,G460:I460)=0,"",IF(COUNTA(A460:D460,G460:I460)&lt;7,"LENGKAPI",IF(H460+I460&gt;N(F460)+G460,"ABNORMAL",IF(COUNTIFS($A$2:$A$2001,A460,$B$2:$B$2001,B460,$C$2:$C$2001,C460,$D$2:$D$2001,D460)&gt;1,"DUPLIKAT","OK"))))</f>
        <v/>
      </c>
    </row>
    <row r="461">
      <c r="A461" s="4" t="n"/>
      <c r="B461" s="5" t="n"/>
      <c r="C461" s="5" t="n"/>
      <c r="D461" s="5" t="n"/>
      <c r="E461" s="6">
        <f>IF(A461="","","B"&amp;TEXT(COUNT($A$2:A461),"00000"))</f>
        <v/>
      </c>
      <c r="F461" s="6">
        <f>IF(OR(C461="",D461=""),"",IFERROR(LOOKUP(2,1/(($C$1:C460=C461)*($D$1:D460=D461)*ISNUMBER($J$1:J460)),$J$1:J460),SUMIFS(Master!$G$2:$G$13,Master!$E$2:$E$13,C461,Master!$F$2:$F$13,D461)))</f>
        <v/>
      </c>
      <c r="G461" s="5" t="n"/>
      <c r="H461" s="5" t="n"/>
      <c r="I461" s="5" t="n"/>
      <c r="J461" s="6">
        <f>IF(OR(F461="",COUNT(G461:I461)&lt;3),"",F461+G461-H461-I461)</f>
        <v/>
      </c>
      <c r="K461" s="6">
        <f>IF(COUNTA(A461:D461,G461:I461)=0,"",IF(COUNTA(A461:D461,G461:I461)&lt;7,"LENGKAPI",IF(H461+I461&gt;N(F461)+G461,"ABNORMAL",IF(COUNTIFS($A$2:$A$2001,A461,$B$2:$B$2001,B461,$C$2:$C$2001,C461,$D$2:$D$2001,D461)&gt;1,"DUPLIKAT","OK"))))</f>
        <v/>
      </c>
    </row>
    <row r="462">
      <c r="A462" s="4" t="n"/>
      <c r="B462" s="5" t="n"/>
      <c r="C462" s="5" t="n"/>
      <c r="D462" s="5" t="n"/>
      <c r="E462" s="6">
        <f>IF(A462="","","B"&amp;TEXT(COUNT($A$2:A462),"00000"))</f>
        <v/>
      </c>
      <c r="F462" s="6">
        <f>IF(OR(C462="",D462=""),"",IFERROR(LOOKUP(2,1/(($C$1:C461=C462)*($D$1:D461=D462)*ISNUMBER($J$1:J461)),$J$1:J461),SUMIFS(Master!$G$2:$G$13,Master!$E$2:$E$13,C462,Master!$F$2:$F$13,D462)))</f>
        <v/>
      </c>
      <c r="G462" s="5" t="n"/>
      <c r="H462" s="5" t="n"/>
      <c r="I462" s="5" t="n"/>
      <c r="J462" s="6">
        <f>IF(OR(F462="",COUNT(G462:I462)&lt;3),"",F462+G462-H462-I462)</f>
        <v/>
      </c>
      <c r="K462" s="6">
        <f>IF(COUNTA(A462:D462,G462:I462)=0,"",IF(COUNTA(A462:D462,G462:I462)&lt;7,"LENGKAPI",IF(H462+I462&gt;N(F462)+G462,"ABNORMAL",IF(COUNTIFS($A$2:$A$2001,A462,$B$2:$B$2001,B462,$C$2:$C$2001,C462,$D$2:$D$2001,D462)&gt;1,"DUPLIKAT","OK"))))</f>
        <v/>
      </c>
    </row>
    <row r="463">
      <c r="A463" s="4" t="n"/>
      <c r="B463" s="5" t="n"/>
      <c r="C463" s="5" t="n"/>
      <c r="D463" s="5" t="n"/>
      <c r="E463" s="6">
        <f>IF(A463="","","B"&amp;TEXT(COUNT($A$2:A463),"00000"))</f>
        <v/>
      </c>
      <c r="F463" s="6">
        <f>IF(OR(C463="",D463=""),"",IFERROR(LOOKUP(2,1/(($C$1:C462=C463)*($D$1:D462=D463)*ISNUMBER($J$1:J462)),$J$1:J462),SUMIFS(Master!$G$2:$G$13,Master!$E$2:$E$13,C463,Master!$F$2:$F$13,D463)))</f>
        <v/>
      </c>
      <c r="G463" s="5" t="n"/>
      <c r="H463" s="5" t="n"/>
      <c r="I463" s="5" t="n"/>
      <c r="J463" s="6">
        <f>IF(OR(F463="",COUNT(G463:I463)&lt;3),"",F463+G463-H463-I463)</f>
        <v/>
      </c>
      <c r="K463" s="6">
        <f>IF(COUNTA(A463:D463,G463:I463)=0,"",IF(COUNTA(A463:D463,G463:I463)&lt;7,"LENGKAPI",IF(H463+I463&gt;N(F463)+G463,"ABNORMAL",IF(COUNTIFS($A$2:$A$2001,A463,$B$2:$B$2001,B463,$C$2:$C$2001,C463,$D$2:$D$2001,D463)&gt;1,"DUPLIKAT","OK"))))</f>
        <v/>
      </c>
    </row>
    <row r="464">
      <c r="A464" s="4" t="n"/>
      <c r="B464" s="5" t="n"/>
      <c r="C464" s="5" t="n"/>
      <c r="D464" s="5" t="n"/>
      <c r="E464" s="6">
        <f>IF(A464="","","B"&amp;TEXT(COUNT($A$2:A464),"00000"))</f>
        <v/>
      </c>
      <c r="F464" s="6">
        <f>IF(OR(C464="",D464=""),"",IFERROR(LOOKUP(2,1/(($C$1:C463=C464)*($D$1:D463=D464)*ISNUMBER($J$1:J463)),$J$1:J463),SUMIFS(Master!$G$2:$G$13,Master!$E$2:$E$13,C464,Master!$F$2:$F$13,D464)))</f>
        <v/>
      </c>
      <c r="G464" s="5" t="n"/>
      <c r="H464" s="5" t="n"/>
      <c r="I464" s="5" t="n"/>
      <c r="J464" s="6">
        <f>IF(OR(F464="",COUNT(G464:I464)&lt;3),"",F464+G464-H464-I464)</f>
        <v/>
      </c>
      <c r="K464" s="6">
        <f>IF(COUNTA(A464:D464,G464:I464)=0,"",IF(COUNTA(A464:D464,G464:I464)&lt;7,"LENGKAPI",IF(H464+I464&gt;N(F464)+G464,"ABNORMAL",IF(COUNTIFS($A$2:$A$2001,A464,$B$2:$B$2001,B464,$C$2:$C$2001,C464,$D$2:$D$2001,D464)&gt;1,"DUPLIKAT","OK"))))</f>
        <v/>
      </c>
    </row>
    <row r="465">
      <c r="A465" s="4" t="n"/>
      <c r="B465" s="5" t="n"/>
      <c r="C465" s="5" t="n"/>
      <c r="D465" s="5" t="n"/>
      <c r="E465" s="6">
        <f>IF(A465="","","B"&amp;TEXT(COUNT($A$2:A465),"00000"))</f>
        <v/>
      </c>
      <c r="F465" s="6">
        <f>IF(OR(C465="",D465=""),"",IFERROR(LOOKUP(2,1/(($C$1:C464=C465)*($D$1:D464=D465)*ISNUMBER($J$1:J464)),$J$1:J464),SUMIFS(Master!$G$2:$G$13,Master!$E$2:$E$13,C465,Master!$F$2:$F$13,D465)))</f>
        <v/>
      </c>
      <c r="G465" s="5" t="n"/>
      <c r="H465" s="5" t="n"/>
      <c r="I465" s="5" t="n"/>
      <c r="J465" s="6">
        <f>IF(OR(F465="",COUNT(G465:I465)&lt;3),"",F465+G465-H465-I465)</f>
        <v/>
      </c>
      <c r="K465" s="6">
        <f>IF(COUNTA(A465:D465,G465:I465)=0,"",IF(COUNTA(A465:D465,G465:I465)&lt;7,"LENGKAPI",IF(H465+I465&gt;N(F465)+G465,"ABNORMAL",IF(COUNTIFS($A$2:$A$2001,A465,$B$2:$B$2001,B465,$C$2:$C$2001,C465,$D$2:$D$2001,D465)&gt;1,"DUPLIKAT","OK"))))</f>
        <v/>
      </c>
    </row>
    <row r="466">
      <c r="A466" s="4" t="n"/>
      <c r="B466" s="5" t="n"/>
      <c r="C466" s="5" t="n"/>
      <c r="D466" s="5" t="n"/>
      <c r="E466" s="6">
        <f>IF(A466="","","B"&amp;TEXT(COUNT($A$2:A466),"00000"))</f>
        <v/>
      </c>
      <c r="F466" s="6">
        <f>IF(OR(C466="",D466=""),"",IFERROR(LOOKUP(2,1/(($C$1:C465=C466)*($D$1:D465=D466)*ISNUMBER($J$1:J465)),$J$1:J465),SUMIFS(Master!$G$2:$G$13,Master!$E$2:$E$13,C466,Master!$F$2:$F$13,D466)))</f>
        <v/>
      </c>
      <c r="G466" s="5" t="n"/>
      <c r="H466" s="5" t="n"/>
      <c r="I466" s="5" t="n"/>
      <c r="J466" s="6">
        <f>IF(OR(F466="",COUNT(G466:I466)&lt;3),"",F466+G466-H466-I466)</f>
        <v/>
      </c>
      <c r="K466" s="6">
        <f>IF(COUNTA(A466:D466,G466:I466)=0,"",IF(COUNTA(A466:D466,G466:I466)&lt;7,"LENGKAPI",IF(H466+I466&gt;N(F466)+G466,"ABNORMAL",IF(COUNTIFS($A$2:$A$2001,A466,$B$2:$B$2001,B466,$C$2:$C$2001,C466,$D$2:$D$2001,D466)&gt;1,"DUPLIKAT","OK"))))</f>
        <v/>
      </c>
    </row>
    <row r="467">
      <c r="A467" s="4" t="n"/>
      <c r="B467" s="5" t="n"/>
      <c r="C467" s="5" t="n"/>
      <c r="D467" s="5" t="n"/>
      <c r="E467" s="6">
        <f>IF(A467="","","B"&amp;TEXT(COUNT($A$2:A467),"00000"))</f>
        <v/>
      </c>
      <c r="F467" s="6">
        <f>IF(OR(C467="",D467=""),"",IFERROR(LOOKUP(2,1/(($C$1:C466=C467)*($D$1:D466=D467)*ISNUMBER($J$1:J466)),$J$1:J466),SUMIFS(Master!$G$2:$G$13,Master!$E$2:$E$13,C467,Master!$F$2:$F$13,D467)))</f>
        <v/>
      </c>
      <c r="G467" s="5" t="n"/>
      <c r="H467" s="5" t="n"/>
      <c r="I467" s="5" t="n"/>
      <c r="J467" s="6">
        <f>IF(OR(F467="",COUNT(G467:I467)&lt;3),"",F467+G467-H467-I467)</f>
        <v/>
      </c>
      <c r="K467" s="6">
        <f>IF(COUNTA(A467:D467,G467:I467)=0,"",IF(COUNTA(A467:D467,G467:I467)&lt;7,"LENGKAPI",IF(H467+I467&gt;N(F467)+G467,"ABNORMAL",IF(COUNTIFS($A$2:$A$2001,A467,$B$2:$B$2001,B467,$C$2:$C$2001,C467,$D$2:$D$2001,D467)&gt;1,"DUPLIKAT","OK"))))</f>
        <v/>
      </c>
    </row>
    <row r="468">
      <c r="A468" s="4" t="n"/>
      <c r="B468" s="5" t="n"/>
      <c r="C468" s="5" t="n"/>
      <c r="D468" s="5" t="n"/>
      <c r="E468" s="6">
        <f>IF(A468="","","B"&amp;TEXT(COUNT($A$2:A468),"00000"))</f>
        <v/>
      </c>
      <c r="F468" s="6">
        <f>IF(OR(C468="",D468=""),"",IFERROR(LOOKUP(2,1/(($C$1:C467=C468)*($D$1:D467=D468)*ISNUMBER($J$1:J467)),$J$1:J467),SUMIFS(Master!$G$2:$G$13,Master!$E$2:$E$13,C468,Master!$F$2:$F$13,D468)))</f>
        <v/>
      </c>
      <c r="G468" s="5" t="n"/>
      <c r="H468" s="5" t="n"/>
      <c r="I468" s="5" t="n"/>
      <c r="J468" s="6">
        <f>IF(OR(F468="",COUNT(G468:I468)&lt;3),"",F468+G468-H468-I468)</f>
        <v/>
      </c>
      <c r="K468" s="6">
        <f>IF(COUNTA(A468:D468,G468:I468)=0,"",IF(COUNTA(A468:D468,G468:I468)&lt;7,"LENGKAPI",IF(H468+I468&gt;N(F468)+G468,"ABNORMAL",IF(COUNTIFS($A$2:$A$2001,A468,$B$2:$B$2001,B468,$C$2:$C$2001,C468,$D$2:$D$2001,D468)&gt;1,"DUPLIKAT","OK"))))</f>
        <v/>
      </c>
    </row>
    <row r="469">
      <c r="A469" s="4" t="n"/>
      <c r="B469" s="5" t="n"/>
      <c r="C469" s="5" t="n"/>
      <c r="D469" s="5" t="n"/>
      <c r="E469" s="6">
        <f>IF(A469="","","B"&amp;TEXT(COUNT($A$2:A469),"00000"))</f>
        <v/>
      </c>
      <c r="F469" s="6">
        <f>IF(OR(C469="",D469=""),"",IFERROR(LOOKUP(2,1/(($C$1:C468=C469)*($D$1:D468=D469)*ISNUMBER($J$1:J468)),$J$1:J468),SUMIFS(Master!$G$2:$G$13,Master!$E$2:$E$13,C469,Master!$F$2:$F$13,D469)))</f>
        <v/>
      </c>
      <c r="G469" s="5" t="n"/>
      <c r="H469" s="5" t="n"/>
      <c r="I469" s="5" t="n"/>
      <c r="J469" s="6">
        <f>IF(OR(F469="",COUNT(G469:I469)&lt;3),"",F469+G469-H469-I469)</f>
        <v/>
      </c>
      <c r="K469" s="6">
        <f>IF(COUNTA(A469:D469,G469:I469)=0,"",IF(COUNTA(A469:D469,G469:I469)&lt;7,"LENGKAPI",IF(H469+I469&gt;N(F469)+G469,"ABNORMAL",IF(COUNTIFS($A$2:$A$2001,A469,$B$2:$B$2001,B469,$C$2:$C$2001,C469,$D$2:$D$2001,D469)&gt;1,"DUPLIKAT","OK"))))</f>
        <v/>
      </c>
    </row>
    <row r="470">
      <c r="A470" s="4" t="n"/>
      <c r="B470" s="5" t="n"/>
      <c r="C470" s="5" t="n"/>
      <c r="D470" s="5" t="n"/>
      <c r="E470" s="6">
        <f>IF(A470="","","B"&amp;TEXT(COUNT($A$2:A470),"00000"))</f>
        <v/>
      </c>
      <c r="F470" s="6">
        <f>IF(OR(C470="",D470=""),"",IFERROR(LOOKUP(2,1/(($C$1:C469=C470)*($D$1:D469=D470)*ISNUMBER($J$1:J469)),$J$1:J469),SUMIFS(Master!$G$2:$G$13,Master!$E$2:$E$13,C470,Master!$F$2:$F$13,D470)))</f>
        <v/>
      </c>
      <c r="G470" s="5" t="n"/>
      <c r="H470" s="5" t="n"/>
      <c r="I470" s="5" t="n"/>
      <c r="J470" s="6">
        <f>IF(OR(F470="",COUNT(G470:I470)&lt;3),"",F470+G470-H470-I470)</f>
        <v/>
      </c>
      <c r="K470" s="6">
        <f>IF(COUNTA(A470:D470,G470:I470)=0,"",IF(COUNTA(A470:D470,G470:I470)&lt;7,"LENGKAPI",IF(H470+I470&gt;N(F470)+G470,"ABNORMAL",IF(COUNTIFS($A$2:$A$2001,A470,$B$2:$B$2001,B470,$C$2:$C$2001,C470,$D$2:$D$2001,D470)&gt;1,"DUPLIKAT","OK"))))</f>
        <v/>
      </c>
    </row>
    <row r="471">
      <c r="A471" s="4" t="n"/>
      <c r="B471" s="5" t="n"/>
      <c r="C471" s="5" t="n"/>
      <c r="D471" s="5" t="n"/>
      <c r="E471" s="6">
        <f>IF(A471="","","B"&amp;TEXT(COUNT($A$2:A471),"00000"))</f>
        <v/>
      </c>
      <c r="F471" s="6">
        <f>IF(OR(C471="",D471=""),"",IFERROR(LOOKUP(2,1/(($C$1:C470=C471)*($D$1:D470=D471)*ISNUMBER($J$1:J470)),$J$1:J470),SUMIFS(Master!$G$2:$G$13,Master!$E$2:$E$13,C471,Master!$F$2:$F$13,D471)))</f>
        <v/>
      </c>
      <c r="G471" s="5" t="n"/>
      <c r="H471" s="5" t="n"/>
      <c r="I471" s="5" t="n"/>
      <c r="J471" s="6">
        <f>IF(OR(F471="",COUNT(G471:I471)&lt;3),"",F471+G471-H471-I471)</f>
        <v/>
      </c>
      <c r="K471" s="6">
        <f>IF(COUNTA(A471:D471,G471:I471)=0,"",IF(COUNTA(A471:D471,G471:I471)&lt;7,"LENGKAPI",IF(H471+I471&gt;N(F471)+G471,"ABNORMAL",IF(COUNTIFS($A$2:$A$2001,A471,$B$2:$B$2001,B471,$C$2:$C$2001,C471,$D$2:$D$2001,D471)&gt;1,"DUPLIKAT","OK"))))</f>
        <v/>
      </c>
    </row>
    <row r="472">
      <c r="A472" s="4" t="n"/>
      <c r="B472" s="5" t="n"/>
      <c r="C472" s="5" t="n"/>
      <c r="D472" s="5" t="n"/>
      <c r="E472" s="6">
        <f>IF(A472="","","B"&amp;TEXT(COUNT($A$2:A472),"00000"))</f>
        <v/>
      </c>
      <c r="F472" s="6">
        <f>IF(OR(C472="",D472=""),"",IFERROR(LOOKUP(2,1/(($C$1:C471=C472)*($D$1:D471=D472)*ISNUMBER($J$1:J471)),$J$1:J471),SUMIFS(Master!$G$2:$G$13,Master!$E$2:$E$13,C472,Master!$F$2:$F$13,D472)))</f>
        <v/>
      </c>
      <c r="G472" s="5" t="n"/>
      <c r="H472" s="5" t="n"/>
      <c r="I472" s="5" t="n"/>
      <c r="J472" s="6">
        <f>IF(OR(F472="",COUNT(G472:I472)&lt;3),"",F472+G472-H472-I472)</f>
        <v/>
      </c>
      <c r="K472" s="6">
        <f>IF(COUNTA(A472:D472,G472:I472)=0,"",IF(COUNTA(A472:D472,G472:I472)&lt;7,"LENGKAPI",IF(H472+I472&gt;N(F472)+G472,"ABNORMAL",IF(COUNTIFS($A$2:$A$2001,A472,$B$2:$B$2001,B472,$C$2:$C$2001,C472,$D$2:$D$2001,D472)&gt;1,"DUPLIKAT","OK"))))</f>
        <v/>
      </c>
    </row>
    <row r="473">
      <c r="A473" s="4" t="n"/>
      <c r="B473" s="5" t="n"/>
      <c r="C473" s="5" t="n"/>
      <c r="D473" s="5" t="n"/>
      <c r="E473" s="6">
        <f>IF(A473="","","B"&amp;TEXT(COUNT($A$2:A473),"00000"))</f>
        <v/>
      </c>
      <c r="F473" s="6">
        <f>IF(OR(C473="",D473=""),"",IFERROR(LOOKUP(2,1/(($C$1:C472=C473)*($D$1:D472=D473)*ISNUMBER($J$1:J472)),$J$1:J472),SUMIFS(Master!$G$2:$G$13,Master!$E$2:$E$13,C473,Master!$F$2:$F$13,D473)))</f>
        <v/>
      </c>
      <c r="G473" s="5" t="n"/>
      <c r="H473" s="5" t="n"/>
      <c r="I473" s="5" t="n"/>
      <c r="J473" s="6">
        <f>IF(OR(F473="",COUNT(G473:I473)&lt;3),"",F473+G473-H473-I473)</f>
        <v/>
      </c>
      <c r="K473" s="6">
        <f>IF(COUNTA(A473:D473,G473:I473)=0,"",IF(COUNTA(A473:D473,G473:I473)&lt;7,"LENGKAPI",IF(H473+I473&gt;N(F473)+G473,"ABNORMAL",IF(COUNTIFS($A$2:$A$2001,A473,$B$2:$B$2001,B473,$C$2:$C$2001,C473,$D$2:$D$2001,D473)&gt;1,"DUPLIKAT","OK"))))</f>
        <v/>
      </c>
    </row>
    <row r="474">
      <c r="A474" s="4" t="n"/>
      <c r="B474" s="5" t="n"/>
      <c r="C474" s="5" t="n"/>
      <c r="D474" s="5" t="n"/>
      <c r="E474" s="6">
        <f>IF(A474="","","B"&amp;TEXT(COUNT($A$2:A474),"00000"))</f>
        <v/>
      </c>
      <c r="F474" s="6">
        <f>IF(OR(C474="",D474=""),"",IFERROR(LOOKUP(2,1/(($C$1:C473=C474)*($D$1:D473=D474)*ISNUMBER($J$1:J473)),$J$1:J473),SUMIFS(Master!$G$2:$G$13,Master!$E$2:$E$13,C474,Master!$F$2:$F$13,D474)))</f>
        <v/>
      </c>
      <c r="G474" s="5" t="n"/>
      <c r="H474" s="5" t="n"/>
      <c r="I474" s="5" t="n"/>
      <c r="J474" s="6">
        <f>IF(OR(F474="",COUNT(G474:I474)&lt;3),"",F474+G474-H474-I474)</f>
        <v/>
      </c>
      <c r="K474" s="6">
        <f>IF(COUNTA(A474:D474,G474:I474)=0,"",IF(COUNTA(A474:D474,G474:I474)&lt;7,"LENGKAPI",IF(H474+I474&gt;N(F474)+G474,"ABNORMAL",IF(COUNTIFS($A$2:$A$2001,A474,$B$2:$B$2001,B474,$C$2:$C$2001,C474,$D$2:$D$2001,D474)&gt;1,"DUPLIKAT","OK"))))</f>
        <v/>
      </c>
    </row>
    <row r="475">
      <c r="A475" s="4" t="n"/>
      <c r="B475" s="5" t="n"/>
      <c r="C475" s="5" t="n"/>
      <c r="D475" s="5" t="n"/>
      <c r="E475" s="6">
        <f>IF(A475="","","B"&amp;TEXT(COUNT($A$2:A475),"00000"))</f>
        <v/>
      </c>
      <c r="F475" s="6">
        <f>IF(OR(C475="",D475=""),"",IFERROR(LOOKUP(2,1/(($C$1:C474=C475)*($D$1:D474=D475)*ISNUMBER($J$1:J474)),$J$1:J474),SUMIFS(Master!$G$2:$G$13,Master!$E$2:$E$13,C475,Master!$F$2:$F$13,D475)))</f>
        <v/>
      </c>
      <c r="G475" s="5" t="n"/>
      <c r="H475" s="5" t="n"/>
      <c r="I475" s="5" t="n"/>
      <c r="J475" s="6">
        <f>IF(OR(F475="",COUNT(G475:I475)&lt;3),"",F475+G475-H475-I475)</f>
        <v/>
      </c>
      <c r="K475" s="6">
        <f>IF(COUNTA(A475:D475,G475:I475)=0,"",IF(COUNTA(A475:D475,G475:I475)&lt;7,"LENGKAPI",IF(H475+I475&gt;N(F475)+G475,"ABNORMAL",IF(COUNTIFS($A$2:$A$2001,A475,$B$2:$B$2001,B475,$C$2:$C$2001,C475,$D$2:$D$2001,D475)&gt;1,"DUPLIKAT","OK"))))</f>
        <v/>
      </c>
    </row>
    <row r="476">
      <c r="A476" s="4" t="n"/>
      <c r="B476" s="5" t="n"/>
      <c r="C476" s="5" t="n"/>
      <c r="D476" s="5" t="n"/>
      <c r="E476" s="6">
        <f>IF(A476="","","B"&amp;TEXT(COUNT($A$2:A476),"00000"))</f>
        <v/>
      </c>
      <c r="F476" s="6">
        <f>IF(OR(C476="",D476=""),"",IFERROR(LOOKUP(2,1/(($C$1:C475=C476)*($D$1:D475=D476)*ISNUMBER($J$1:J475)),$J$1:J475),SUMIFS(Master!$G$2:$G$13,Master!$E$2:$E$13,C476,Master!$F$2:$F$13,D476)))</f>
        <v/>
      </c>
      <c r="G476" s="5" t="n"/>
      <c r="H476" s="5" t="n"/>
      <c r="I476" s="5" t="n"/>
      <c r="J476" s="6">
        <f>IF(OR(F476="",COUNT(G476:I476)&lt;3),"",F476+G476-H476-I476)</f>
        <v/>
      </c>
      <c r="K476" s="6">
        <f>IF(COUNTA(A476:D476,G476:I476)=0,"",IF(COUNTA(A476:D476,G476:I476)&lt;7,"LENGKAPI",IF(H476+I476&gt;N(F476)+G476,"ABNORMAL",IF(COUNTIFS($A$2:$A$2001,A476,$B$2:$B$2001,B476,$C$2:$C$2001,C476,$D$2:$D$2001,D476)&gt;1,"DUPLIKAT","OK"))))</f>
        <v/>
      </c>
    </row>
    <row r="477">
      <c r="A477" s="4" t="n"/>
      <c r="B477" s="5" t="n"/>
      <c r="C477" s="5" t="n"/>
      <c r="D477" s="5" t="n"/>
      <c r="E477" s="6">
        <f>IF(A477="","","B"&amp;TEXT(COUNT($A$2:A477),"00000"))</f>
        <v/>
      </c>
      <c r="F477" s="6">
        <f>IF(OR(C477="",D477=""),"",IFERROR(LOOKUP(2,1/(($C$1:C476=C477)*($D$1:D476=D477)*ISNUMBER($J$1:J476)),$J$1:J476),SUMIFS(Master!$G$2:$G$13,Master!$E$2:$E$13,C477,Master!$F$2:$F$13,D477)))</f>
        <v/>
      </c>
      <c r="G477" s="5" t="n"/>
      <c r="H477" s="5" t="n"/>
      <c r="I477" s="5" t="n"/>
      <c r="J477" s="6">
        <f>IF(OR(F477="",COUNT(G477:I477)&lt;3),"",F477+G477-H477-I477)</f>
        <v/>
      </c>
      <c r="K477" s="6">
        <f>IF(COUNTA(A477:D477,G477:I477)=0,"",IF(COUNTA(A477:D477,G477:I477)&lt;7,"LENGKAPI",IF(H477+I477&gt;N(F477)+G477,"ABNORMAL",IF(COUNTIFS($A$2:$A$2001,A477,$B$2:$B$2001,B477,$C$2:$C$2001,C477,$D$2:$D$2001,D477)&gt;1,"DUPLIKAT","OK"))))</f>
        <v/>
      </c>
    </row>
    <row r="478">
      <c r="A478" s="4" t="n"/>
      <c r="B478" s="5" t="n"/>
      <c r="C478" s="5" t="n"/>
      <c r="D478" s="5" t="n"/>
      <c r="E478" s="6">
        <f>IF(A478="","","B"&amp;TEXT(COUNT($A$2:A478),"00000"))</f>
        <v/>
      </c>
      <c r="F478" s="6">
        <f>IF(OR(C478="",D478=""),"",IFERROR(LOOKUP(2,1/(($C$1:C477=C478)*($D$1:D477=D478)*ISNUMBER($J$1:J477)),$J$1:J477),SUMIFS(Master!$G$2:$G$13,Master!$E$2:$E$13,C478,Master!$F$2:$F$13,D478)))</f>
        <v/>
      </c>
      <c r="G478" s="5" t="n"/>
      <c r="H478" s="5" t="n"/>
      <c r="I478" s="5" t="n"/>
      <c r="J478" s="6">
        <f>IF(OR(F478="",COUNT(G478:I478)&lt;3),"",F478+G478-H478-I478)</f>
        <v/>
      </c>
      <c r="K478" s="6">
        <f>IF(COUNTA(A478:D478,G478:I478)=0,"",IF(COUNTA(A478:D478,G478:I478)&lt;7,"LENGKAPI",IF(H478+I478&gt;N(F478)+G478,"ABNORMAL",IF(COUNTIFS($A$2:$A$2001,A478,$B$2:$B$2001,B478,$C$2:$C$2001,C478,$D$2:$D$2001,D478)&gt;1,"DUPLIKAT","OK"))))</f>
        <v/>
      </c>
    </row>
    <row r="479">
      <c r="A479" s="4" t="n"/>
      <c r="B479" s="5" t="n"/>
      <c r="C479" s="5" t="n"/>
      <c r="D479" s="5" t="n"/>
      <c r="E479" s="6">
        <f>IF(A479="","","B"&amp;TEXT(COUNT($A$2:A479),"00000"))</f>
        <v/>
      </c>
      <c r="F479" s="6">
        <f>IF(OR(C479="",D479=""),"",IFERROR(LOOKUP(2,1/(($C$1:C478=C479)*($D$1:D478=D479)*ISNUMBER($J$1:J478)),$J$1:J478),SUMIFS(Master!$G$2:$G$13,Master!$E$2:$E$13,C479,Master!$F$2:$F$13,D479)))</f>
        <v/>
      </c>
      <c r="G479" s="5" t="n"/>
      <c r="H479" s="5" t="n"/>
      <c r="I479" s="5" t="n"/>
      <c r="J479" s="6">
        <f>IF(OR(F479="",COUNT(G479:I479)&lt;3),"",F479+G479-H479-I479)</f>
        <v/>
      </c>
      <c r="K479" s="6">
        <f>IF(COUNTA(A479:D479,G479:I479)=0,"",IF(COUNTA(A479:D479,G479:I479)&lt;7,"LENGKAPI",IF(H479+I479&gt;N(F479)+G479,"ABNORMAL",IF(COUNTIFS($A$2:$A$2001,A479,$B$2:$B$2001,B479,$C$2:$C$2001,C479,$D$2:$D$2001,D479)&gt;1,"DUPLIKAT","OK"))))</f>
        <v/>
      </c>
    </row>
    <row r="480">
      <c r="A480" s="4" t="n"/>
      <c r="B480" s="5" t="n"/>
      <c r="C480" s="5" t="n"/>
      <c r="D480" s="5" t="n"/>
      <c r="E480" s="6">
        <f>IF(A480="","","B"&amp;TEXT(COUNT($A$2:A480),"00000"))</f>
        <v/>
      </c>
      <c r="F480" s="6">
        <f>IF(OR(C480="",D480=""),"",IFERROR(LOOKUP(2,1/(($C$1:C479=C480)*($D$1:D479=D480)*ISNUMBER($J$1:J479)),$J$1:J479),SUMIFS(Master!$G$2:$G$13,Master!$E$2:$E$13,C480,Master!$F$2:$F$13,D480)))</f>
        <v/>
      </c>
      <c r="G480" s="5" t="n"/>
      <c r="H480" s="5" t="n"/>
      <c r="I480" s="5" t="n"/>
      <c r="J480" s="6">
        <f>IF(OR(F480="",COUNT(G480:I480)&lt;3),"",F480+G480-H480-I480)</f>
        <v/>
      </c>
      <c r="K480" s="6">
        <f>IF(COUNTA(A480:D480,G480:I480)=0,"",IF(COUNTA(A480:D480,G480:I480)&lt;7,"LENGKAPI",IF(H480+I480&gt;N(F480)+G480,"ABNORMAL",IF(COUNTIFS($A$2:$A$2001,A480,$B$2:$B$2001,B480,$C$2:$C$2001,C480,$D$2:$D$2001,D480)&gt;1,"DUPLIKAT","OK"))))</f>
        <v/>
      </c>
    </row>
    <row r="481">
      <c r="A481" s="4" t="n"/>
      <c r="B481" s="5" t="n"/>
      <c r="C481" s="5" t="n"/>
      <c r="D481" s="5" t="n"/>
      <c r="E481" s="6">
        <f>IF(A481="","","B"&amp;TEXT(COUNT($A$2:A481),"00000"))</f>
        <v/>
      </c>
      <c r="F481" s="6">
        <f>IF(OR(C481="",D481=""),"",IFERROR(LOOKUP(2,1/(($C$1:C480=C481)*($D$1:D480=D481)*ISNUMBER($J$1:J480)),$J$1:J480),SUMIFS(Master!$G$2:$G$13,Master!$E$2:$E$13,C481,Master!$F$2:$F$13,D481)))</f>
        <v/>
      </c>
      <c r="G481" s="5" t="n"/>
      <c r="H481" s="5" t="n"/>
      <c r="I481" s="5" t="n"/>
      <c r="J481" s="6">
        <f>IF(OR(F481="",COUNT(G481:I481)&lt;3),"",F481+G481-H481-I481)</f>
        <v/>
      </c>
      <c r="K481" s="6">
        <f>IF(COUNTA(A481:D481,G481:I481)=0,"",IF(COUNTA(A481:D481,G481:I481)&lt;7,"LENGKAPI",IF(H481+I481&gt;N(F481)+G481,"ABNORMAL",IF(COUNTIFS($A$2:$A$2001,A481,$B$2:$B$2001,B481,$C$2:$C$2001,C481,$D$2:$D$2001,D481)&gt;1,"DUPLIKAT","OK"))))</f>
        <v/>
      </c>
    </row>
    <row r="482">
      <c r="A482" s="4" t="n"/>
      <c r="B482" s="5" t="n"/>
      <c r="C482" s="5" t="n"/>
      <c r="D482" s="5" t="n"/>
      <c r="E482" s="6">
        <f>IF(A482="","","B"&amp;TEXT(COUNT($A$2:A482),"00000"))</f>
        <v/>
      </c>
      <c r="F482" s="6">
        <f>IF(OR(C482="",D482=""),"",IFERROR(LOOKUP(2,1/(($C$1:C481=C482)*($D$1:D481=D482)*ISNUMBER($J$1:J481)),$J$1:J481),SUMIFS(Master!$G$2:$G$13,Master!$E$2:$E$13,C482,Master!$F$2:$F$13,D482)))</f>
        <v/>
      </c>
      <c r="G482" s="5" t="n"/>
      <c r="H482" s="5" t="n"/>
      <c r="I482" s="5" t="n"/>
      <c r="J482" s="6">
        <f>IF(OR(F482="",COUNT(G482:I482)&lt;3),"",F482+G482-H482-I482)</f>
        <v/>
      </c>
      <c r="K482" s="6">
        <f>IF(COUNTA(A482:D482,G482:I482)=0,"",IF(COUNTA(A482:D482,G482:I482)&lt;7,"LENGKAPI",IF(H482+I482&gt;N(F482)+G482,"ABNORMAL",IF(COUNTIFS($A$2:$A$2001,A482,$B$2:$B$2001,B482,$C$2:$C$2001,C482,$D$2:$D$2001,D482)&gt;1,"DUPLIKAT","OK"))))</f>
        <v/>
      </c>
    </row>
    <row r="483">
      <c r="A483" s="4" t="n"/>
      <c r="B483" s="5" t="n"/>
      <c r="C483" s="5" t="n"/>
      <c r="D483" s="5" t="n"/>
      <c r="E483" s="6">
        <f>IF(A483="","","B"&amp;TEXT(COUNT($A$2:A483),"00000"))</f>
        <v/>
      </c>
      <c r="F483" s="6">
        <f>IF(OR(C483="",D483=""),"",IFERROR(LOOKUP(2,1/(($C$1:C482=C483)*($D$1:D482=D483)*ISNUMBER($J$1:J482)),$J$1:J482),SUMIFS(Master!$G$2:$G$13,Master!$E$2:$E$13,C483,Master!$F$2:$F$13,D483)))</f>
        <v/>
      </c>
      <c r="G483" s="5" t="n"/>
      <c r="H483" s="5" t="n"/>
      <c r="I483" s="5" t="n"/>
      <c r="J483" s="6">
        <f>IF(OR(F483="",COUNT(G483:I483)&lt;3),"",F483+G483-H483-I483)</f>
        <v/>
      </c>
      <c r="K483" s="6">
        <f>IF(COUNTA(A483:D483,G483:I483)=0,"",IF(COUNTA(A483:D483,G483:I483)&lt;7,"LENGKAPI",IF(H483+I483&gt;N(F483)+G483,"ABNORMAL",IF(COUNTIFS($A$2:$A$2001,A483,$B$2:$B$2001,B483,$C$2:$C$2001,C483,$D$2:$D$2001,D483)&gt;1,"DUPLIKAT","OK"))))</f>
        <v/>
      </c>
    </row>
    <row r="484">
      <c r="A484" s="4" t="n"/>
      <c r="B484" s="5" t="n"/>
      <c r="C484" s="5" t="n"/>
      <c r="D484" s="5" t="n"/>
      <c r="E484" s="6">
        <f>IF(A484="","","B"&amp;TEXT(COUNT($A$2:A484),"00000"))</f>
        <v/>
      </c>
      <c r="F484" s="6">
        <f>IF(OR(C484="",D484=""),"",IFERROR(LOOKUP(2,1/(($C$1:C483=C484)*($D$1:D483=D484)*ISNUMBER($J$1:J483)),$J$1:J483),SUMIFS(Master!$G$2:$G$13,Master!$E$2:$E$13,C484,Master!$F$2:$F$13,D484)))</f>
        <v/>
      </c>
      <c r="G484" s="5" t="n"/>
      <c r="H484" s="5" t="n"/>
      <c r="I484" s="5" t="n"/>
      <c r="J484" s="6">
        <f>IF(OR(F484="",COUNT(G484:I484)&lt;3),"",F484+G484-H484-I484)</f>
        <v/>
      </c>
      <c r="K484" s="6">
        <f>IF(COUNTA(A484:D484,G484:I484)=0,"",IF(COUNTA(A484:D484,G484:I484)&lt;7,"LENGKAPI",IF(H484+I484&gt;N(F484)+G484,"ABNORMAL",IF(COUNTIFS($A$2:$A$2001,A484,$B$2:$B$2001,B484,$C$2:$C$2001,C484,$D$2:$D$2001,D484)&gt;1,"DUPLIKAT","OK"))))</f>
        <v/>
      </c>
    </row>
    <row r="485">
      <c r="A485" s="4" t="n"/>
      <c r="B485" s="5" t="n"/>
      <c r="C485" s="5" t="n"/>
      <c r="D485" s="5" t="n"/>
      <c r="E485" s="6">
        <f>IF(A485="","","B"&amp;TEXT(COUNT($A$2:A485),"00000"))</f>
        <v/>
      </c>
      <c r="F485" s="6">
        <f>IF(OR(C485="",D485=""),"",IFERROR(LOOKUP(2,1/(($C$1:C484=C485)*($D$1:D484=D485)*ISNUMBER($J$1:J484)),$J$1:J484),SUMIFS(Master!$G$2:$G$13,Master!$E$2:$E$13,C485,Master!$F$2:$F$13,D485)))</f>
        <v/>
      </c>
      <c r="G485" s="5" t="n"/>
      <c r="H485" s="5" t="n"/>
      <c r="I485" s="5" t="n"/>
      <c r="J485" s="6">
        <f>IF(OR(F485="",COUNT(G485:I485)&lt;3),"",F485+G485-H485-I485)</f>
        <v/>
      </c>
      <c r="K485" s="6">
        <f>IF(COUNTA(A485:D485,G485:I485)=0,"",IF(COUNTA(A485:D485,G485:I485)&lt;7,"LENGKAPI",IF(H485+I485&gt;N(F485)+G485,"ABNORMAL",IF(COUNTIFS($A$2:$A$2001,A485,$B$2:$B$2001,B485,$C$2:$C$2001,C485,$D$2:$D$2001,D485)&gt;1,"DUPLIKAT","OK"))))</f>
        <v/>
      </c>
    </row>
    <row r="486">
      <c r="A486" s="4" t="n"/>
      <c r="B486" s="5" t="n"/>
      <c r="C486" s="5" t="n"/>
      <c r="D486" s="5" t="n"/>
      <c r="E486" s="6">
        <f>IF(A486="","","B"&amp;TEXT(COUNT($A$2:A486),"00000"))</f>
        <v/>
      </c>
      <c r="F486" s="6">
        <f>IF(OR(C486="",D486=""),"",IFERROR(LOOKUP(2,1/(($C$1:C485=C486)*($D$1:D485=D486)*ISNUMBER($J$1:J485)),$J$1:J485),SUMIFS(Master!$G$2:$G$13,Master!$E$2:$E$13,C486,Master!$F$2:$F$13,D486)))</f>
        <v/>
      </c>
      <c r="G486" s="5" t="n"/>
      <c r="H486" s="5" t="n"/>
      <c r="I486" s="5" t="n"/>
      <c r="J486" s="6">
        <f>IF(OR(F486="",COUNT(G486:I486)&lt;3),"",F486+G486-H486-I486)</f>
        <v/>
      </c>
      <c r="K486" s="6">
        <f>IF(COUNTA(A486:D486,G486:I486)=0,"",IF(COUNTA(A486:D486,G486:I486)&lt;7,"LENGKAPI",IF(H486+I486&gt;N(F486)+G486,"ABNORMAL",IF(COUNTIFS($A$2:$A$2001,A486,$B$2:$B$2001,B486,$C$2:$C$2001,C486,$D$2:$D$2001,D486)&gt;1,"DUPLIKAT","OK"))))</f>
        <v/>
      </c>
    </row>
    <row r="487">
      <c r="A487" s="4" t="n"/>
      <c r="B487" s="5" t="n"/>
      <c r="C487" s="5" t="n"/>
      <c r="D487" s="5" t="n"/>
      <c r="E487" s="6">
        <f>IF(A487="","","B"&amp;TEXT(COUNT($A$2:A487),"00000"))</f>
        <v/>
      </c>
      <c r="F487" s="6">
        <f>IF(OR(C487="",D487=""),"",IFERROR(LOOKUP(2,1/(($C$1:C486=C487)*($D$1:D486=D487)*ISNUMBER($J$1:J486)),$J$1:J486),SUMIFS(Master!$G$2:$G$13,Master!$E$2:$E$13,C487,Master!$F$2:$F$13,D487)))</f>
        <v/>
      </c>
      <c r="G487" s="5" t="n"/>
      <c r="H487" s="5" t="n"/>
      <c r="I487" s="5" t="n"/>
      <c r="J487" s="6">
        <f>IF(OR(F487="",COUNT(G487:I487)&lt;3),"",F487+G487-H487-I487)</f>
        <v/>
      </c>
      <c r="K487" s="6">
        <f>IF(COUNTA(A487:D487,G487:I487)=0,"",IF(COUNTA(A487:D487,G487:I487)&lt;7,"LENGKAPI",IF(H487+I487&gt;N(F487)+G487,"ABNORMAL",IF(COUNTIFS($A$2:$A$2001,A487,$B$2:$B$2001,B487,$C$2:$C$2001,C487,$D$2:$D$2001,D487)&gt;1,"DUPLIKAT","OK"))))</f>
        <v/>
      </c>
    </row>
    <row r="488">
      <c r="A488" s="4" t="n"/>
      <c r="B488" s="5" t="n"/>
      <c r="C488" s="5" t="n"/>
      <c r="D488" s="5" t="n"/>
      <c r="E488" s="6">
        <f>IF(A488="","","B"&amp;TEXT(COUNT($A$2:A488),"00000"))</f>
        <v/>
      </c>
      <c r="F488" s="6">
        <f>IF(OR(C488="",D488=""),"",IFERROR(LOOKUP(2,1/(($C$1:C487=C488)*($D$1:D487=D488)*ISNUMBER($J$1:J487)),$J$1:J487),SUMIFS(Master!$G$2:$G$13,Master!$E$2:$E$13,C488,Master!$F$2:$F$13,D488)))</f>
        <v/>
      </c>
      <c r="G488" s="5" t="n"/>
      <c r="H488" s="5" t="n"/>
      <c r="I488" s="5" t="n"/>
      <c r="J488" s="6">
        <f>IF(OR(F488="",COUNT(G488:I488)&lt;3),"",F488+G488-H488-I488)</f>
        <v/>
      </c>
      <c r="K488" s="6">
        <f>IF(COUNTA(A488:D488,G488:I488)=0,"",IF(COUNTA(A488:D488,G488:I488)&lt;7,"LENGKAPI",IF(H488+I488&gt;N(F488)+G488,"ABNORMAL",IF(COUNTIFS($A$2:$A$2001,A488,$B$2:$B$2001,B488,$C$2:$C$2001,C488,$D$2:$D$2001,D488)&gt;1,"DUPLIKAT","OK"))))</f>
        <v/>
      </c>
    </row>
    <row r="489">
      <c r="A489" s="4" t="n"/>
      <c r="B489" s="5" t="n"/>
      <c r="C489" s="5" t="n"/>
      <c r="D489" s="5" t="n"/>
      <c r="E489" s="6">
        <f>IF(A489="","","B"&amp;TEXT(COUNT($A$2:A489),"00000"))</f>
        <v/>
      </c>
      <c r="F489" s="6">
        <f>IF(OR(C489="",D489=""),"",IFERROR(LOOKUP(2,1/(($C$1:C488=C489)*($D$1:D488=D489)*ISNUMBER($J$1:J488)),$J$1:J488),SUMIFS(Master!$G$2:$G$13,Master!$E$2:$E$13,C489,Master!$F$2:$F$13,D489)))</f>
        <v/>
      </c>
      <c r="G489" s="5" t="n"/>
      <c r="H489" s="5" t="n"/>
      <c r="I489" s="5" t="n"/>
      <c r="J489" s="6">
        <f>IF(OR(F489="",COUNT(G489:I489)&lt;3),"",F489+G489-H489-I489)</f>
        <v/>
      </c>
      <c r="K489" s="6">
        <f>IF(COUNTA(A489:D489,G489:I489)=0,"",IF(COUNTA(A489:D489,G489:I489)&lt;7,"LENGKAPI",IF(H489+I489&gt;N(F489)+G489,"ABNORMAL",IF(COUNTIFS($A$2:$A$2001,A489,$B$2:$B$2001,B489,$C$2:$C$2001,C489,$D$2:$D$2001,D489)&gt;1,"DUPLIKAT","OK"))))</f>
        <v/>
      </c>
    </row>
    <row r="490">
      <c r="A490" s="4" t="n"/>
      <c r="B490" s="5" t="n"/>
      <c r="C490" s="5" t="n"/>
      <c r="D490" s="5" t="n"/>
      <c r="E490" s="6">
        <f>IF(A490="","","B"&amp;TEXT(COUNT($A$2:A490),"00000"))</f>
        <v/>
      </c>
      <c r="F490" s="6">
        <f>IF(OR(C490="",D490=""),"",IFERROR(LOOKUP(2,1/(($C$1:C489=C490)*($D$1:D489=D490)*ISNUMBER($J$1:J489)),$J$1:J489),SUMIFS(Master!$G$2:$G$13,Master!$E$2:$E$13,C490,Master!$F$2:$F$13,D490)))</f>
        <v/>
      </c>
      <c r="G490" s="5" t="n"/>
      <c r="H490" s="5" t="n"/>
      <c r="I490" s="5" t="n"/>
      <c r="J490" s="6">
        <f>IF(OR(F490="",COUNT(G490:I490)&lt;3),"",F490+G490-H490-I490)</f>
        <v/>
      </c>
      <c r="K490" s="6">
        <f>IF(COUNTA(A490:D490,G490:I490)=0,"",IF(COUNTA(A490:D490,G490:I490)&lt;7,"LENGKAPI",IF(H490+I490&gt;N(F490)+G490,"ABNORMAL",IF(COUNTIFS($A$2:$A$2001,A490,$B$2:$B$2001,B490,$C$2:$C$2001,C490,$D$2:$D$2001,D490)&gt;1,"DUPLIKAT","OK"))))</f>
        <v/>
      </c>
    </row>
    <row r="491">
      <c r="A491" s="4" t="n"/>
      <c r="B491" s="5" t="n"/>
      <c r="C491" s="5" t="n"/>
      <c r="D491" s="5" t="n"/>
      <c r="E491" s="6">
        <f>IF(A491="","","B"&amp;TEXT(COUNT($A$2:A491),"00000"))</f>
        <v/>
      </c>
      <c r="F491" s="6">
        <f>IF(OR(C491="",D491=""),"",IFERROR(LOOKUP(2,1/(($C$1:C490=C491)*($D$1:D490=D491)*ISNUMBER($J$1:J490)),$J$1:J490),SUMIFS(Master!$G$2:$G$13,Master!$E$2:$E$13,C491,Master!$F$2:$F$13,D491)))</f>
        <v/>
      </c>
      <c r="G491" s="5" t="n"/>
      <c r="H491" s="5" t="n"/>
      <c r="I491" s="5" t="n"/>
      <c r="J491" s="6">
        <f>IF(OR(F491="",COUNT(G491:I491)&lt;3),"",F491+G491-H491-I491)</f>
        <v/>
      </c>
      <c r="K491" s="6">
        <f>IF(COUNTA(A491:D491,G491:I491)=0,"",IF(COUNTA(A491:D491,G491:I491)&lt;7,"LENGKAPI",IF(H491+I491&gt;N(F491)+G491,"ABNORMAL",IF(COUNTIFS($A$2:$A$2001,A491,$B$2:$B$2001,B491,$C$2:$C$2001,C491,$D$2:$D$2001,D491)&gt;1,"DUPLIKAT","OK"))))</f>
        <v/>
      </c>
    </row>
    <row r="492">
      <c r="A492" s="4" t="n"/>
      <c r="B492" s="5" t="n"/>
      <c r="C492" s="5" t="n"/>
      <c r="D492" s="5" t="n"/>
      <c r="E492" s="6">
        <f>IF(A492="","","B"&amp;TEXT(COUNT($A$2:A492),"00000"))</f>
        <v/>
      </c>
      <c r="F492" s="6">
        <f>IF(OR(C492="",D492=""),"",IFERROR(LOOKUP(2,1/(($C$1:C491=C492)*($D$1:D491=D492)*ISNUMBER($J$1:J491)),$J$1:J491),SUMIFS(Master!$G$2:$G$13,Master!$E$2:$E$13,C492,Master!$F$2:$F$13,D492)))</f>
        <v/>
      </c>
      <c r="G492" s="5" t="n"/>
      <c r="H492" s="5" t="n"/>
      <c r="I492" s="5" t="n"/>
      <c r="J492" s="6">
        <f>IF(OR(F492="",COUNT(G492:I492)&lt;3),"",F492+G492-H492-I492)</f>
        <v/>
      </c>
      <c r="K492" s="6">
        <f>IF(COUNTA(A492:D492,G492:I492)=0,"",IF(COUNTA(A492:D492,G492:I492)&lt;7,"LENGKAPI",IF(H492+I492&gt;N(F492)+G492,"ABNORMAL",IF(COUNTIFS($A$2:$A$2001,A492,$B$2:$B$2001,B492,$C$2:$C$2001,C492,$D$2:$D$2001,D492)&gt;1,"DUPLIKAT","OK"))))</f>
        <v/>
      </c>
    </row>
    <row r="493">
      <c r="A493" s="4" t="n"/>
      <c r="B493" s="5" t="n"/>
      <c r="C493" s="5" t="n"/>
      <c r="D493" s="5" t="n"/>
      <c r="E493" s="6">
        <f>IF(A493="","","B"&amp;TEXT(COUNT($A$2:A493),"00000"))</f>
        <v/>
      </c>
      <c r="F493" s="6">
        <f>IF(OR(C493="",D493=""),"",IFERROR(LOOKUP(2,1/(($C$1:C492=C493)*($D$1:D492=D493)*ISNUMBER($J$1:J492)),$J$1:J492),SUMIFS(Master!$G$2:$G$13,Master!$E$2:$E$13,C493,Master!$F$2:$F$13,D493)))</f>
        <v/>
      </c>
      <c r="G493" s="5" t="n"/>
      <c r="H493" s="5" t="n"/>
      <c r="I493" s="5" t="n"/>
      <c r="J493" s="6">
        <f>IF(OR(F493="",COUNT(G493:I493)&lt;3),"",F493+G493-H493-I493)</f>
        <v/>
      </c>
      <c r="K493" s="6">
        <f>IF(COUNTA(A493:D493,G493:I493)=0,"",IF(COUNTA(A493:D493,G493:I493)&lt;7,"LENGKAPI",IF(H493+I493&gt;N(F493)+G493,"ABNORMAL",IF(COUNTIFS($A$2:$A$2001,A493,$B$2:$B$2001,B493,$C$2:$C$2001,C493,$D$2:$D$2001,D493)&gt;1,"DUPLIKAT","OK"))))</f>
        <v/>
      </c>
    </row>
    <row r="494">
      <c r="A494" s="4" t="n"/>
      <c r="B494" s="5" t="n"/>
      <c r="C494" s="5" t="n"/>
      <c r="D494" s="5" t="n"/>
      <c r="E494" s="6">
        <f>IF(A494="","","B"&amp;TEXT(COUNT($A$2:A494),"00000"))</f>
        <v/>
      </c>
      <c r="F494" s="6">
        <f>IF(OR(C494="",D494=""),"",IFERROR(LOOKUP(2,1/(($C$1:C493=C494)*($D$1:D493=D494)*ISNUMBER($J$1:J493)),$J$1:J493),SUMIFS(Master!$G$2:$G$13,Master!$E$2:$E$13,C494,Master!$F$2:$F$13,D494)))</f>
        <v/>
      </c>
      <c r="G494" s="5" t="n"/>
      <c r="H494" s="5" t="n"/>
      <c r="I494" s="5" t="n"/>
      <c r="J494" s="6">
        <f>IF(OR(F494="",COUNT(G494:I494)&lt;3),"",F494+G494-H494-I494)</f>
        <v/>
      </c>
      <c r="K494" s="6">
        <f>IF(COUNTA(A494:D494,G494:I494)=0,"",IF(COUNTA(A494:D494,G494:I494)&lt;7,"LENGKAPI",IF(H494+I494&gt;N(F494)+G494,"ABNORMAL",IF(COUNTIFS($A$2:$A$2001,A494,$B$2:$B$2001,B494,$C$2:$C$2001,C494,$D$2:$D$2001,D494)&gt;1,"DUPLIKAT","OK"))))</f>
        <v/>
      </c>
    </row>
    <row r="495">
      <c r="A495" s="4" t="n"/>
      <c r="B495" s="5" t="n"/>
      <c r="C495" s="5" t="n"/>
      <c r="D495" s="5" t="n"/>
      <c r="E495" s="6">
        <f>IF(A495="","","B"&amp;TEXT(COUNT($A$2:A495),"00000"))</f>
        <v/>
      </c>
      <c r="F495" s="6">
        <f>IF(OR(C495="",D495=""),"",IFERROR(LOOKUP(2,1/(($C$1:C494=C495)*($D$1:D494=D495)*ISNUMBER($J$1:J494)),$J$1:J494),SUMIFS(Master!$G$2:$G$13,Master!$E$2:$E$13,C495,Master!$F$2:$F$13,D495)))</f>
        <v/>
      </c>
      <c r="G495" s="5" t="n"/>
      <c r="H495" s="5" t="n"/>
      <c r="I495" s="5" t="n"/>
      <c r="J495" s="6">
        <f>IF(OR(F495="",COUNT(G495:I495)&lt;3),"",F495+G495-H495-I495)</f>
        <v/>
      </c>
      <c r="K495" s="6">
        <f>IF(COUNTA(A495:D495,G495:I495)=0,"",IF(COUNTA(A495:D495,G495:I495)&lt;7,"LENGKAPI",IF(H495+I495&gt;N(F495)+G495,"ABNORMAL",IF(COUNTIFS($A$2:$A$2001,A495,$B$2:$B$2001,B495,$C$2:$C$2001,C495,$D$2:$D$2001,D495)&gt;1,"DUPLIKAT","OK"))))</f>
        <v/>
      </c>
    </row>
    <row r="496">
      <c r="A496" s="4" t="n"/>
      <c r="B496" s="5" t="n"/>
      <c r="C496" s="5" t="n"/>
      <c r="D496" s="5" t="n"/>
      <c r="E496" s="6">
        <f>IF(A496="","","B"&amp;TEXT(COUNT($A$2:A496),"00000"))</f>
        <v/>
      </c>
      <c r="F496" s="6">
        <f>IF(OR(C496="",D496=""),"",IFERROR(LOOKUP(2,1/(($C$1:C495=C496)*($D$1:D495=D496)*ISNUMBER($J$1:J495)),$J$1:J495),SUMIFS(Master!$G$2:$G$13,Master!$E$2:$E$13,C496,Master!$F$2:$F$13,D496)))</f>
        <v/>
      </c>
      <c r="G496" s="5" t="n"/>
      <c r="H496" s="5" t="n"/>
      <c r="I496" s="5" t="n"/>
      <c r="J496" s="6">
        <f>IF(OR(F496="",COUNT(G496:I496)&lt;3),"",F496+G496-H496-I496)</f>
        <v/>
      </c>
      <c r="K496" s="6">
        <f>IF(COUNTA(A496:D496,G496:I496)=0,"",IF(COUNTA(A496:D496,G496:I496)&lt;7,"LENGKAPI",IF(H496+I496&gt;N(F496)+G496,"ABNORMAL",IF(COUNTIFS($A$2:$A$2001,A496,$B$2:$B$2001,B496,$C$2:$C$2001,C496,$D$2:$D$2001,D496)&gt;1,"DUPLIKAT","OK"))))</f>
        <v/>
      </c>
    </row>
    <row r="497">
      <c r="A497" s="4" t="n"/>
      <c r="B497" s="5" t="n"/>
      <c r="C497" s="5" t="n"/>
      <c r="D497" s="5" t="n"/>
      <c r="E497" s="6">
        <f>IF(A497="","","B"&amp;TEXT(COUNT($A$2:A497),"00000"))</f>
        <v/>
      </c>
      <c r="F497" s="6">
        <f>IF(OR(C497="",D497=""),"",IFERROR(LOOKUP(2,1/(($C$1:C496=C497)*($D$1:D496=D497)*ISNUMBER($J$1:J496)),$J$1:J496),SUMIFS(Master!$G$2:$G$13,Master!$E$2:$E$13,C497,Master!$F$2:$F$13,D497)))</f>
        <v/>
      </c>
      <c r="G497" s="5" t="n"/>
      <c r="H497" s="5" t="n"/>
      <c r="I497" s="5" t="n"/>
      <c r="J497" s="6">
        <f>IF(OR(F497="",COUNT(G497:I497)&lt;3),"",F497+G497-H497-I497)</f>
        <v/>
      </c>
      <c r="K497" s="6">
        <f>IF(COUNTA(A497:D497,G497:I497)=0,"",IF(COUNTA(A497:D497,G497:I497)&lt;7,"LENGKAPI",IF(H497+I497&gt;N(F497)+G497,"ABNORMAL",IF(COUNTIFS($A$2:$A$2001,A497,$B$2:$B$2001,B497,$C$2:$C$2001,C497,$D$2:$D$2001,D497)&gt;1,"DUPLIKAT","OK"))))</f>
        <v/>
      </c>
    </row>
    <row r="498">
      <c r="A498" s="4" t="n"/>
      <c r="B498" s="5" t="n"/>
      <c r="C498" s="5" t="n"/>
      <c r="D498" s="5" t="n"/>
      <c r="E498" s="6">
        <f>IF(A498="","","B"&amp;TEXT(COUNT($A$2:A498),"00000"))</f>
        <v/>
      </c>
      <c r="F498" s="6">
        <f>IF(OR(C498="",D498=""),"",IFERROR(LOOKUP(2,1/(($C$1:C497=C498)*($D$1:D497=D498)*ISNUMBER($J$1:J497)),$J$1:J497),SUMIFS(Master!$G$2:$G$13,Master!$E$2:$E$13,C498,Master!$F$2:$F$13,D498)))</f>
        <v/>
      </c>
      <c r="G498" s="5" t="n"/>
      <c r="H498" s="5" t="n"/>
      <c r="I498" s="5" t="n"/>
      <c r="J498" s="6">
        <f>IF(OR(F498="",COUNT(G498:I498)&lt;3),"",F498+G498-H498-I498)</f>
        <v/>
      </c>
      <c r="K498" s="6">
        <f>IF(COUNTA(A498:D498,G498:I498)=0,"",IF(COUNTA(A498:D498,G498:I498)&lt;7,"LENGKAPI",IF(H498+I498&gt;N(F498)+G498,"ABNORMAL",IF(COUNTIFS($A$2:$A$2001,A498,$B$2:$B$2001,B498,$C$2:$C$2001,C498,$D$2:$D$2001,D498)&gt;1,"DUPLIKAT","OK"))))</f>
        <v/>
      </c>
    </row>
    <row r="499">
      <c r="A499" s="4" t="n"/>
      <c r="B499" s="5" t="n"/>
      <c r="C499" s="5" t="n"/>
      <c r="D499" s="5" t="n"/>
      <c r="E499" s="6">
        <f>IF(A499="","","B"&amp;TEXT(COUNT($A$2:A499),"00000"))</f>
        <v/>
      </c>
      <c r="F499" s="6">
        <f>IF(OR(C499="",D499=""),"",IFERROR(LOOKUP(2,1/(($C$1:C498=C499)*($D$1:D498=D499)*ISNUMBER($J$1:J498)),$J$1:J498),SUMIFS(Master!$G$2:$G$13,Master!$E$2:$E$13,C499,Master!$F$2:$F$13,D499)))</f>
        <v/>
      </c>
      <c r="G499" s="5" t="n"/>
      <c r="H499" s="5" t="n"/>
      <c r="I499" s="5" t="n"/>
      <c r="J499" s="6">
        <f>IF(OR(F499="",COUNT(G499:I499)&lt;3),"",F499+G499-H499-I499)</f>
        <v/>
      </c>
      <c r="K499" s="6">
        <f>IF(COUNTA(A499:D499,G499:I499)=0,"",IF(COUNTA(A499:D499,G499:I499)&lt;7,"LENGKAPI",IF(H499+I499&gt;N(F499)+G499,"ABNORMAL",IF(COUNTIFS($A$2:$A$2001,A499,$B$2:$B$2001,B499,$C$2:$C$2001,C499,$D$2:$D$2001,D499)&gt;1,"DUPLIKAT","OK"))))</f>
        <v/>
      </c>
    </row>
    <row r="500">
      <c r="A500" s="4" t="n"/>
      <c r="B500" s="5" t="n"/>
      <c r="C500" s="5" t="n"/>
      <c r="D500" s="5" t="n"/>
      <c r="E500" s="6">
        <f>IF(A500="","","B"&amp;TEXT(COUNT($A$2:A500),"00000"))</f>
        <v/>
      </c>
      <c r="F500" s="6">
        <f>IF(OR(C500="",D500=""),"",IFERROR(LOOKUP(2,1/(($C$1:C499=C500)*($D$1:D499=D500)*ISNUMBER($J$1:J499)),$J$1:J499),SUMIFS(Master!$G$2:$G$13,Master!$E$2:$E$13,C500,Master!$F$2:$F$13,D500)))</f>
        <v/>
      </c>
      <c r="G500" s="5" t="n"/>
      <c r="H500" s="5" t="n"/>
      <c r="I500" s="5" t="n"/>
      <c r="J500" s="6">
        <f>IF(OR(F500="",COUNT(G500:I500)&lt;3),"",F500+G500-H500-I500)</f>
        <v/>
      </c>
      <c r="K500" s="6">
        <f>IF(COUNTA(A500:D500,G500:I500)=0,"",IF(COUNTA(A500:D500,G500:I500)&lt;7,"LENGKAPI",IF(H500+I500&gt;N(F500)+G500,"ABNORMAL",IF(COUNTIFS($A$2:$A$2001,A500,$B$2:$B$2001,B500,$C$2:$C$2001,C500,$D$2:$D$2001,D500)&gt;1,"DUPLIKAT","OK"))))</f>
        <v/>
      </c>
    </row>
    <row r="501">
      <c r="A501" s="4" t="n"/>
      <c r="B501" s="5" t="n"/>
      <c r="C501" s="5" t="n"/>
      <c r="D501" s="5" t="n"/>
      <c r="E501" s="6">
        <f>IF(A501="","","B"&amp;TEXT(COUNT($A$2:A501),"00000"))</f>
        <v/>
      </c>
      <c r="F501" s="6">
        <f>IF(OR(C501="",D501=""),"",IFERROR(LOOKUP(2,1/(($C$1:C500=C501)*($D$1:D500=D501)*ISNUMBER($J$1:J500)),$J$1:J500),SUMIFS(Master!$G$2:$G$13,Master!$E$2:$E$13,C501,Master!$F$2:$F$13,D501)))</f>
        <v/>
      </c>
      <c r="G501" s="5" t="n"/>
      <c r="H501" s="5" t="n"/>
      <c r="I501" s="5" t="n"/>
      <c r="J501" s="6">
        <f>IF(OR(F501="",COUNT(G501:I501)&lt;3),"",F501+G501-H501-I501)</f>
        <v/>
      </c>
      <c r="K501" s="6">
        <f>IF(COUNTA(A501:D501,G501:I501)=0,"",IF(COUNTA(A501:D501,G501:I501)&lt;7,"LENGKAPI",IF(H501+I501&gt;N(F501)+G501,"ABNORMAL",IF(COUNTIFS($A$2:$A$2001,A501,$B$2:$B$2001,B501,$C$2:$C$2001,C501,$D$2:$D$2001,D501)&gt;1,"DUPLIKAT","OK"))))</f>
        <v/>
      </c>
    </row>
    <row r="502">
      <c r="A502" s="4" t="n"/>
      <c r="B502" s="5" t="n"/>
      <c r="C502" s="5" t="n"/>
      <c r="D502" s="5" t="n"/>
      <c r="E502" s="6">
        <f>IF(A502="","","B"&amp;TEXT(COUNT($A$2:A502),"00000"))</f>
        <v/>
      </c>
      <c r="F502" s="6">
        <f>IF(OR(C502="",D502=""),"",IFERROR(LOOKUP(2,1/(($C$1:C501=C502)*($D$1:D501=D502)*ISNUMBER($J$1:J501)),$J$1:J501),SUMIFS(Master!$G$2:$G$13,Master!$E$2:$E$13,C502,Master!$F$2:$F$13,D502)))</f>
        <v/>
      </c>
      <c r="G502" s="5" t="n"/>
      <c r="H502" s="5" t="n"/>
      <c r="I502" s="5" t="n"/>
      <c r="J502" s="6">
        <f>IF(OR(F502="",COUNT(G502:I502)&lt;3),"",F502+G502-H502-I502)</f>
        <v/>
      </c>
      <c r="K502" s="6">
        <f>IF(COUNTA(A502:D502,G502:I502)=0,"",IF(COUNTA(A502:D502,G502:I502)&lt;7,"LENGKAPI",IF(H502+I502&gt;N(F502)+G502,"ABNORMAL",IF(COUNTIFS($A$2:$A$2001,A502,$B$2:$B$2001,B502,$C$2:$C$2001,C502,$D$2:$D$2001,D502)&gt;1,"DUPLIKAT","OK"))))</f>
        <v/>
      </c>
    </row>
    <row r="503">
      <c r="A503" s="4" t="n"/>
      <c r="B503" s="5" t="n"/>
      <c r="C503" s="5" t="n"/>
      <c r="D503" s="5" t="n"/>
      <c r="E503" s="6">
        <f>IF(A503="","","B"&amp;TEXT(COUNT($A$2:A503),"00000"))</f>
        <v/>
      </c>
      <c r="F503" s="6">
        <f>IF(OR(C503="",D503=""),"",IFERROR(LOOKUP(2,1/(($C$1:C502=C503)*($D$1:D502=D503)*ISNUMBER($J$1:J502)),$J$1:J502),SUMIFS(Master!$G$2:$G$13,Master!$E$2:$E$13,C503,Master!$F$2:$F$13,D503)))</f>
        <v/>
      </c>
      <c r="G503" s="5" t="n"/>
      <c r="H503" s="5" t="n"/>
      <c r="I503" s="5" t="n"/>
      <c r="J503" s="6">
        <f>IF(OR(F503="",COUNT(G503:I503)&lt;3),"",F503+G503-H503-I503)</f>
        <v/>
      </c>
      <c r="K503" s="6">
        <f>IF(COUNTA(A503:D503,G503:I503)=0,"",IF(COUNTA(A503:D503,G503:I503)&lt;7,"LENGKAPI",IF(H503+I503&gt;N(F503)+G503,"ABNORMAL",IF(COUNTIFS($A$2:$A$2001,A503,$B$2:$B$2001,B503,$C$2:$C$2001,C503,$D$2:$D$2001,D503)&gt;1,"DUPLIKAT","OK"))))</f>
        <v/>
      </c>
    </row>
    <row r="504">
      <c r="A504" s="4" t="n"/>
      <c r="B504" s="5" t="n"/>
      <c r="C504" s="5" t="n"/>
      <c r="D504" s="5" t="n"/>
      <c r="E504" s="6">
        <f>IF(A504="","","B"&amp;TEXT(COUNT($A$2:A504),"00000"))</f>
        <v/>
      </c>
      <c r="F504" s="6">
        <f>IF(OR(C504="",D504=""),"",IFERROR(LOOKUP(2,1/(($C$1:C503=C504)*($D$1:D503=D504)*ISNUMBER($J$1:J503)),$J$1:J503),SUMIFS(Master!$G$2:$G$13,Master!$E$2:$E$13,C504,Master!$F$2:$F$13,D504)))</f>
        <v/>
      </c>
      <c r="G504" s="5" t="n"/>
      <c r="H504" s="5" t="n"/>
      <c r="I504" s="5" t="n"/>
      <c r="J504" s="6">
        <f>IF(OR(F504="",COUNT(G504:I504)&lt;3),"",F504+G504-H504-I504)</f>
        <v/>
      </c>
      <c r="K504" s="6">
        <f>IF(COUNTA(A504:D504,G504:I504)=0,"",IF(COUNTA(A504:D504,G504:I504)&lt;7,"LENGKAPI",IF(H504+I504&gt;N(F504)+G504,"ABNORMAL",IF(COUNTIFS($A$2:$A$2001,A504,$B$2:$B$2001,B504,$C$2:$C$2001,C504,$D$2:$D$2001,D504)&gt;1,"DUPLIKAT","OK"))))</f>
        <v/>
      </c>
    </row>
    <row r="505">
      <c r="A505" s="4" t="n"/>
      <c r="B505" s="5" t="n"/>
      <c r="C505" s="5" t="n"/>
      <c r="D505" s="5" t="n"/>
      <c r="E505" s="6">
        <f>IF(A505="","","B"&amp;TEXT(COUNT($A$2:A505),"00000"))</f>
        <v/>
      </c>
      <c r="F505" s="6">
        <f>IF(OR(C505="",D505=""),"",IFERROR(LOOKUP(2,1/(($C$1:C504=C505)*($D$1:D504=D505)*ISNUMBER($J$1:J504)),$J$1:J504),SUMIFS(Master!$G$2:$G$13,Master!$E$2:$E$13,C505,Master!$F$2:$F$13,D505)))</f>
        <v/>
      </c>
      <c r="G505" s="5" t="n"/>
      <c r="H505" s="5" t="n"/>
      <c r="I505" s="5" t="n"/>
      <c r="J505" s="6">
        <f>IF(OR(F505="",COUNT(G505:I505)&lt;3),"",F505+G505-H505-I505)</f>
        <v/>
      </c>
      <c r="K505" s="6">
        <f>IF(COUNTA(A505:D505,G505:I505)=0,"",IF(COUNTA(A505:D505,G505:I505)&lt;7,"LENGKAPI",IF(H505+I505&gt;N(F505)+G505,"ABNORMAL",IF(COUNTIFS($A$2:$A$2001,A505,$B$2:$B$2001,B505,$C$2:$C$2001,C505,$D$2:$D$2001,D505)&gt;1,"DUPLIKAT","OK"))))</f>
        <v/>
      </c>
    </row>
    <row r="506">
      <c r="A506" s="4" t="n"/>
      <c r="B506" s="5" t="n"/>
      <c r="C506" s="5" t="n"/>
      <c r="D506" s="5" t="n"/>
      <c r="E506" s="6">
        <f>IF(A506="","","B"&amp;TEXT(COUNT($A$2:A506),"00000"))</f>
        <v/>
      </c>
      <c r="F506" s="6">
        <f>IF(OR(C506="",D506=""),"",IFERROR(LOOKUP(2,1/(($C$1:C505=C506)*($D$1:D505=D506)*ISNUMBER($J$1:J505)),$J$1:J505),SUMIFS(Master!$G$2:$G$13,Master!$E$2:$E$13,C506,Master!$F$2:$F$13,D506)))</f>
        <v/>
      </c>
      <c r="G506" s="5" t="n"/>
      <c r="H506" s="5" t="n"/>
      <c r="I506" s="5" t="n"/>
      <c r="J506" s="6">
        <f>IF(OR(F506="",COUNT(G506:I506)&lt;3),"",F506+G506-H506-I506)</f>
        <v/>
      </c>
      <c r="K506" s="6">
        <f>IF(COUNTA(A506:D506,G506:I506)=0,"",IF(COUNTA(A506:D506,G506:I506)&lt;7,"LENGKAPI",IF(H506+I506&gt;N(F506)+G506,"ABNORMAL",IF(COUNTIFS($A$2:$A$2001,A506,$B$2:$B$2001,B506,$C$2:$C$2001,C506,$D$2:$D$2001,D506)&gt;1,"DUPLIKAT","OK"))))</f>
        <v/>
      </c>
    </row>
    <row r="507">
      <c r="A507" s="4" t="n"/>
      <c r="B507" s="5" t="n"/>
      <c r="C507" s="5" t="n"/>
      <c r="D507" s="5" t="n"/>
      <c r="E507" s="6">
        <f>IF(A507="","","B"&amp;TEXT(COUNT($A$2:A507),"00000"))</f>
        <v/>
      </c>
      <c r="F507" s="6">
        <f>IF(OR(C507="",D507=""),"",IFERROR(LOOKUP(2,1/(($C$1:C506=C507)*($D$1:D506=D507)*ISNUMBER($J$1:J506)),$J$1:J506),SUMIFS(Master!$G$2:$G$13,Master!$E$2:$E$13,C507,Master!$F$2:$F$13,D507)))</f>
        <v/>
      </c>
      <c r="G507" s="5" t="n"/>
      <c r="H507" s="5" t="n"/>
      <c r="I507" s="5" t="n"/>
      <c r="J507" s="6">
        <f>IF(OR(F507="",COUNT(G507:I507)&lt;3),"",F507+G507-H507-I507)</f>
        <v/>
      </c>
      <c r="K507" s="6">
        <f>IF(COUNTA(A507:D507,G507:I507)=0,"",IF(COUNTA(A507:D507,G507:I507)&lt;7,"LENGKAPI",IF(H507+I507&gt;N(F507)+G507,"ABNORMAL",IF(COUNTIFS($A$2:$A$2001,A507,$B$2:$B$2001,B507,$C$2:$C$2001,C507,$D$2:$D$2001,D507)&gt;1,"DUPLIKAT","OK"))))</f>
        <v/>
      </c>
    </row>
    <row r="508">
      <c r="A508" s="4" t="n"/>
      <c r="B508" s="5" t="n"/>
      <c r="C508" s="5" t="n"/>
      <c r="D508" s="5" t="n"/>
      <c r="E508" s="6">
        <f>IF(A508="","","B"&amp;TEXT(COUNT($A$2:A508),"00000"))</f>
        <v/>
      </c>
      <c r="F508" s="6">
        <f>IF(OR(C508="",D508=""),"",IFERROR(LOOKUP(2,1/(($C$1:C507=C508)*($D$1:D507=D508)*ISNUMBER($J$1:J507)),$J$1:J507),SUMIFS(Master!$G$2:$G$13,Master!$E$2:$E$13,C508,Master!$F$2:$F$13,D508)))</f>
        <v/>
      </c>
      <c r="G508" s="5" t="n"/>
      <c r="H508" s="5" t="n"/>
      <c r="I508" s="5" t="n"/>
      <c r="J508" s="6">
        <f>IF(OR(F508="",COUNT(G508:I508)&lt;3),"",F508+G508-H508-I508)</f>
        <v/>
      </c>
      <c r="K508" s="6">
        <f>IF(COUNTA(A508:D508,G508:I508)=0,"",IF(COUNTA(A508:D508,G508:I508)&lt;7,"LENGKAPI",IF(H508+I508&gt;N(F508)+G508,"ABNORMAL",IF(COUNTIFS($A$2:$A$2001,A508,$B$2:$B$2001,B508,$C$2:$C$2001,C508,$D$2:$D$2001,D508)&gt;1,"DUPLIKAT","OK"))))</f>
        <v/>
      </c>
    </row>
    <row r="509">
      <c r="A509" s="4" t="n"/>
      <c r="B509" s="5" t="n"/>
      <c r="C509" s="5" t="n"/>
      <c r="D509" s="5" t="n"/>
      <c r="E509" s="6">
        <f>IF(A509="","","B"&amp;TEXT(COUNT($A$2:A509),"00000"))</f>
        <v/>
      </c>
      <c r="F509" s="6">
        <f>IF(OR(C509="",D509=""),"",IFERROR(LOOKUP(2,1/(($C$1:C508=C509)*($D$1:D508=D509)*ISNUMBER($J$1:J508)),$J$1:J508),SUMIFS(Master!$G$2:$G$13,Master!$E$2:$E$13,C509,Master!$F$2:$F$13,D509)))</f>
        <v/>
      </c>
      <c r="G509" s="5" t="n"/>
      <c r="H509" s="5" t="n"/>
      <c r="I509" s="5" t="n"/>
      <c r="J509" s="6">
        <f>IF(OR(F509="",COUNT(G509:I509)&lt;3),"",F509+G509-H509-I509)</f>
        <v/>
      </c>
      <c r="K509" s="6">
        <f>IF(COUNTA(A509:D509,G509:I509)=0,"",IF(COUNTA(A509:D509,G509:I509)&lt;7,"LENGKAPI",IF(H509+I509&gt;N(F509)+G509,"ABNORMAL",IF(COUNTIFS($A$2:$A$2001,A509,$B$2:$B$2001,B509,$C$2:$C$2001,C509,$D$2:$D$2001,D509)&gt;1,"DUPLIKAT","OK"))))</f>
        <v/>
      </c>
    </row>
    <row r="510">
      <c r="A510" s="4" t="n"/>
      <c r="B510" s="5" t="n"/>
      <c r="C510" s="5" t="n"/>
      <c r="D510" s="5" t="n"/>
      <c r="E510" s="6">
        <f>IF(A510="","","B"&amp;TEXT(COUNT($A$2:A510),"00000"))</f>
        <v/>
      </c>
      <c r="F510" s="6">
        <f>IF(OR(C510="",D510=""),"",IFERROR(LOOKUP(2,1/(($C$1:C509=C510)*($D$1:D509=D510)*ISNUMBER($J$1:J509)),$J$1:J509),SUMIFS(Master!$G$2:$G$13,Master!$E$2:$E$13,C510,Master!$F$2:$F$13,D510)))</f>
        <v/>
      </c>
      <c r="G510" s="5" t="n"/>
      <c r="H510" s="5" t="n"/>
      <c r="I510" s="5" t="n"/>
      <c r="J510" s="6">
        <f>IF(OR(F510="",COUNT(G510:I510)&lt;3),"",F510+G510-H510-I510)</f>
        <v/>
      </c>
      <c r="K510" s="6">
        <f>IF(COUNTA(A510:D510,G510:I510)=0,"",IF(COUNTA(A510:D510,G510:I510)&lt;7,"LENGKAPI",IF(H510+I510&gt;N(F510)+G510,"ABNORMAL",IF(COUNTIFS($A$2:$A$2001,A510,$B$2:$B$2001,B510,$C$2:$C$2001,C510,$D$2:$D$2001,D510)&gt;1,"DUPLIKAT","OK"))))</f>
        <v/>
      </c>
    </row>
    <row r="511">
      <c r="A511" s="4" t="n"/>
      <c r="B511" s="5" t="n"/>
      <c r="C511" s="5" t="n"/>
      <c r="D511" s="5" t="n"/>
      <c r="E511" s="6">
        <f>IF(A511="","","B"&amp;TEXT(COUNT($A$2:A511),"00000"))</f>
        <v/>
      </c>
      <c r="F511" s="6">
        <f>IF(OR(C511="",D511=""),"",IFERROR(LOOKUP(2,1/(($C$1:C510=C511)*($D$1:D510=D511)*ISNUMBER($J$1:J510)),$J$1:J510),SUMIFS(Master!$G$2:$G$13,Master!$E$2:$E$13,C511,Master!$F$2:$F$13,D511)))</f>
        <v/>
      </c>
      <c r="G511" s="5" t="n"/>
      <c r="H511" s="5" t="n"/>
      <c r="I511" s="5" t="n"/>
      <c r="J511" s="6">
        <f>IF(OR(F511="",COUNT(G511:I511)&lt;3),"",F511+G511-H511-I511)</f>
        <v/>
      </c>
      <c r="K511" s="6">
        <f>IF(COUNTA(A511:D511,G511:I511)=0,"",IF(COUNTA(A511:D511,G511:I511)&lt;7,"LENGKAPI",IF(H511+I511&gt;N(F511)+G511,"ABNORMAL",IF(COUNTIFS($A$2:$A$2001,A511,$B$2:$B$2001,B511,$C$2:$C$2001,C511,$D$2:$D$2001,D511)&gt;1,"DUPLIKAT","OK"))))</f>
        <v/>
      </c>
    </row>
    <row r="512">
      <c r="A512" s="4" t="n"/>
      <c r="B512" s="5" t="n"/>
      <c r="C512" s="5" t="n"/>
      <c r="D512" s="5" t="n"/>
      <c r="E512" s="6">
        <f>IF(A512="","","B"&amp;TEXT(COUNT($A$2:A512),"00000"))</f>
        <v/>
      </c>
      <c r="F512" s="6">
        <f>IF(OR(C512="",D512=""),"",IFERROR(LOOKUP(2,1/(($C$1:C511=C512)*($D$1:D511=D512)*ISNUMBER($J$1:J511)),$J$1:J511),SUMIFS(Master!$G$2:$G$13,Master!$E$2:$E$13,C512,Master!$F$2:$F$13,D512)))</f>
        <v/>
      </c>
      <c r="G512" s="5" t="n"/>
      <c r="H512" s="5" t="n"/>
      <c r="I512" s="5" t="n"/>
      <c r="J512" s="6">
        <f>IF(OR(F512="",COUNT(G512:I512)&lt;3),"",F512+G512-H512-I512)</f>
        <v/>
      </c>
      <c r="K512" s="6">
        <f>IF(COUNTA(A512:D512,G512:I512)=0,"",IF(COUNTA(A512:D512,G512:I512)&lt;7,"LENGKAPI",IF(H512+I512&gt;N(F512)+G512,"ABNORMAL",IF(COUNTIFS($A$2:$A$2001,A512,$B$2:$B$2001,B512,$C$2:$C$2001,C512,$D$2:$D$2001,D512)&gt;1,"DUPLIKAT","OK"))))</f>
        <v/>
      </c>
    </row>
    <row r="513">
      <c r="A513" s="4" t="n"/>
      <c r="B513" s="5" t="n"/>
      <c r="C513" s="5" t="n"/>
      <c r="D513" s="5" t="n"/>
      <c r="E513" s="6">
        <f>IF(A513="","","B"&amp;TEXT(COUNT($A$2:A513),"00000"))</f>
        <v/>
      </c>
      <c r="F513" s="6">
        <f>IF(OR(C513="",D513=""),"",IFERROR(LOOKUP(2,1/(($C$1:C512=C513)*($D$1:D512=D513)*ISNUMBER($J$1:J512)),$J$1:J512),SUMIFS(Master!$G$2:$G$13,Master!$E$2:$E$13,C513,Master!$F$2:$F$13,D513)))</f>
        <v/>
      </c>
      <c r="G513" s="5" t="n"/>
      <c r="H513" s="5" t="n"/>
      <c r="I513" s="5" t="n"/>
      <c r="J513" s="6">
        <f>IF(OR(F513="",COUNT(G513:I513)&lt;3),"",F513+G513-H513-I513)</f>
        <v/>
      </c>
      <c r="K513" s="6">
        <f>IF(COUNTA(A513:D513,G513:I513)=0,"",IF(COUNTA(A513:D513,G513:I513)&lt;7,"LENGKAPI",IF(H513+I513&gt;N(F513)+G513,"ABNORMAL",IF(COUNTIFS($A$2:$A$2001,A513,$B$2:$B$2001,B513,$C$2:$C$2001,C513,$D$2:$D$2001,D513)&gt;1,"DUPLIKAT","OK"))))</f>
        <v/>
      </c>
    </row>
    <row r="514">
      <c r="A514" s="4" t="n"/>
      <c r="B514" s="5" t="n"/>
      <c r="C514" s="5" t="n"/>
      <c r="D514" s="5" t="n"/>
      <c r="E514" s="6">
        <f>IF(A514="","","B"&amp;TEXT(COUNT($A$2:A514),"00000"))</f>
        <v/>
      </c>
      <c r="F514" s="6">
        <f>IF(OR(C514="",D514=""),"",IFERROR(LOOKUP(2,1/(($C$1:C513=C514)*($D$1:D513=D514)*ISNUMBER($J$1:J513)),$J$1:J513),SUMIFS(Master!$G$2:$G$13,Master!$E$2:$E$13,C514,Master!$F$2:$F$13,D514)))</f>
        <v/>
      </c>
      <c r="G514" s="5" t="n"/>
      <c r="H514" s="5" t="n"/>
      <c r="I514" s="5" t="n"/>
      <c r="J514" s="6">
        <f>IF(OR(F514="",COUNT(G514:I514)&lt;3),"",F514+G514-H514-I514)</f>
        <v/>
      </c>
      <c r="K514" s="6">
        <f>IF(COUNTA(A514:D514,G514:I514)=0,"",IF(COUNTA(A514:D514,G514:I514)&lt;7,"LENGKAPI",IF(H514+I514&gt;N(F514)+G514,"ABNORMAL",IF(COUNTIFS($A$2:$A$2001,A514,$B$2:$B$2001,B514,$C$2:$C$2001,C514,$D$2:$D$2001,D514)&gt;1,"DUPLIKAT","OK"))))</f>
        <v/>
      </c>
    </row>
    <row r="515">
      <c r="A515" s="4" t="n"/>
      <c r="B515" s="5" t="n"/>
      <c r="C515" s="5" t="n"/>
      <c r="D515" s="5" t="n"/>
      <c r="E515" s="6">
        <f>IF(A515="","","B"&amp;TEXT(COUNT($A$2:A515),"00000"))</f>
        <v/>
      </c>
      <c r="F515" s="6">
        <f>IF(OR(C515="",D515=""),"",IFERROR(LOOKUP(2,1/(($C$1:C514=C515)*($D$1:D514=D515)*ISNUMBER($J$1:J514)),$J$1:J514),SUMIFS(Master!$G$2:$G$13,Master!$E$2:$E$13,C515,Master!$F$2:$F$13,D515)))</f>
        <v/>
      </c>
      <c r="G515" s="5" t="n"/>
      <c r="H515" s="5" t="n"/>
      <c r="I515" s="5" t="n"/>
      <c r="J515" s="6">
        <f>IF(OR(F515="",COUNT(G515:I515)&lt;3),"",F515+G515-H515-I515)</f>
        <v/>
      </c>
      <c r="K515" s="6">
        <f>IF(COUNTA(A515:D515,G515:I515)=0,"",IF(COUNTA(A515:D515,G515:I515)&lt;7,"LENGKAPI",IF(H515+I515&gt;N(F515)+G515,"ABNORMAL",IF(COUNTIFS($A$2:$A$2001,A515,$B$2:$B$2001,B515,$C$2:$C$2001,C515,$D$2:$D$2001,D515)&gt;1,"DUPLIKAT","OK"))))</f>
        <v/>
      </c>
    </row>
    <row r="516">
      <c r="A516" s="4" t="n"/>
      <c r="B516" s="5" t="n"/>
      <c r="C516" s="5" t="n"/>
      <c r="D516" s="5" t="n"/>
      <c r="E516" s="6">
        <f>IF(A516="","","B"&amp;TEXT(COUNT($A$2:A516),"00000"))</f>
        <v/>
      </c>
      <c r="F516" s="6">
        <f>IF(OR(C516="",D516=""),"",IFERROR(LOOKUP(2,1/(($C$1:C515=C516)*($D$1:D515=D516)*ISNUMBER($J$1:J515)),$J$1:J515),SUMIFS(Master!$G$2:$G$13,Master!$E$2:$E$13,C516,Master!$F$2:$F$13,D516)))</f>
        <v/>
      </c>
      <c r="G516" s="5" t="n"/>
      <c r="H516" s="5" t="n"/>
      <c r="I516" s="5" t="n"/>
      <c r="J516" s="6">
        <f>IF(OR(F516="",COUNT(G516:I516)&lt;3),"",F516+G516-H516-I516)</f>
        <v/>
      </c>
      <c r="K516" s="6">
        <f>IF(COUNTA(A516:D516,G516:I516)=0,"",IF(COUNTA(A516:D516,G516:I516)&lt;7,"LENGKAPI",IF(H516+I516&gt;N(F516)+G516,"ABNORMAL",IF(COUNTIFS($A$2:$A$2001,A516,$B$2:$B$2001,B516,$C$2:$C$2001,C516,$D$2:$D$2001,D516)&gt;1,"DUPLIKAT","OK"))))</f>
        <v/>
      </c>
    </row>
    <row r="517">
      <c r="A517" s="4" t="n"/>
      <c r="B517" s="5" t="n"/>
      <c r="C517" s="5" t="n"/>
      <c r="D517" s="5" t="n"/>
      <c r="E517" s="6">
        <f>IF(A517="","","B"&amp;TEXT(COUNT($A$2:A517),"00000"))</f>
        <v/>
      </c>
      <c r="F517" s="6">
        <f>IF(OR(C517="",D517=""),"",IFERROR(LOOKUP(2,1/(($C$1:C516=C517)*($D$1:D516=D517)*ISNUMBER($J$1:J516)),$J$1:J516),SUMIFS(Master!$G$2:$G$13,Master!$E$2:$E$13,C517,Master!$F$2:$F$13,D517)))</f>
        <v/>
      </c>
      <c r="G517" s="5" t="n"/>
      <c r="H517" s="5" t="n"/>
      <c r="I517" s="5" t="n"/>
      <c r="J517" s="6">
        <f>IF(OR(F517="",COUNT(G517:I517)&lt;3),"",F517+G517-H517-I517)</f>
        <v/>
      </c>
      <c r="K517" s="6">
        <f>IF(COUNTA(A517:D517,G517:I517)=0,"",IF(COUNTA(A517:D517,G517:I517)&lt;7,"LENGKAPI",IF(H517+I517&gt;N(F517)+G517,"ABNORMAL",IF(COUNTIFS($A$2:$A$2001,A517,$B$2:$B$2001,B517,$C$2:$C$2001,C517,$D$2:$D$2001,D517)&gt;1,"DUPLIKAT","OK"))))</f>
        <v/>
      </c>
    </row>
    <row r="518">
      <c r="A518" s="4" t="n"/>
      <c r="B518" s="5" t="n"/>
      <c r="C518" s="5" t="n"/>
      <c r="D518" s="5" t="n"/>
      <c r="E518" s="6">
        <f>IF(A518="","","B"&amp;TEXT(COUNT($A$2:A518),"00000"))</f>
        <v/>
      </c>
      <c r="F518" s="6">
        <f>IF(OR(C518="",D518=""),"",IFERROR(LOOKUP(2,1/(($C$1:C517=C518)*($D$1:D517=D518)*ISNUMBER($J$1:J517)),$J$1:J517),SUMIFS(Master!$G$2:$G$13,Master!$E$2:$E$13,C518,Master!$F$2:$F$13,D518)))</f>
        <v/>
      </c>
      <c r="G518" s="5" t="n"/>
      <c r="H518" s="5" t="n"/>
      <c r="I518" s="5" t="n"/>
      <c r="J518" s="6">
        <f>IF(OR(F518="",COUNT(G518:I518)&lt;3),"",F518+G518-H518-I518)</f>
        <v/>
      </c>
      <c r="K518" s="6">
        <f>IF(COUNTA(A518:D518,G518:I518)=0,"",IF(COUNTA(A518:D518,G518:I518)&lt;7,"LENGKAPI",IF(H518+I518&gt;N(F518)+G518,"ABNORMAL",IF(COUNTIFS($A$2:$A$2001,A518,$B$2:$B$2001,B518,$C$2:$C$2001,C518,$D$2:$D$2001,D518)&gt;1,"DUPLIKAT","OK"))))</f>
        <v/>
      </c>
    </row>
    <row r="519">
      <c r="A519" s="4" t="n"/>
      <c r="B519" s="5" t="n"/>
      <c r="C519" s="5" t="n"/>
      <c r="D519" s="5" t="n"/>
      <c r="E519" s="6">
        <f>IF(A519="","","B"&amp;TEXT(COUNT($A$2:A519),"00000"))</f>
        <v/>
      </c>
      <c r="F519" s="6">
        <f>IF(OR(C519="",D519=""),"",IFERROR(LOOKUP(2,1/(($C$1:C518=C519)*($D$1:D518=D519)*ISNUMBER($J$1:J518)),$J$1:J518),SUMIFS(Master!$G$2:$G$13,Master!$E$2:$E$13,C519,Master!$F$2:$F$13,D519)))</f>
        <v/>
      </c>
      <c r="G519" s="5" t="n"/>
      <c r="H519" s="5" t="n"/>
      <c r="I519" s="5" t="n"/>
      <c r="J519" s="6">
        <f>IF(OR(F519="",COUNT(G519:I519)&lt;3),"",F519+G519-H519-I519)</f>
        <v/>
      </c>
      <c r="K519" s="6">
        <f>IF(COUNTA(A519:D519,G519:I519)=0,"",IF(COUNTA(A519:D519,G519:I519)&lt;7,"LENGKAPI",IF(H519+I519&gt;N(F519)+G519,"ABNORMAL",IF(COUNTIFS($A$2:$A$2001,A519,$B$2:$B$2001,B519,$C$2:$C$2001,C519,$D$2:$D$2001,D519)&gt;1,"DUPLIKAT","OK"))))</f>
        <v/>
      </c>
    </row>
    <row r="520">
      <c r="A520" s="4" t="n"/>
      <c r="B520" s="5" t="n"/>
      <c r="C520" s="5" t="n"/>
      <c r="D520" s="5" t="n"/>
      <c r="E520" s="6">
        <f>IF(A520="","","B"&amp;TEXT(COUNT($A$2:A520),"00000"))</f>
        <v/>
      </c>
      <c r="F520" s="6">
        <f>IF(OR(C520="",D520=""),"",IFERROR(LOOKUP(2,1/(($C$1:C519=C520)*($D$1:D519=D520)*ISNUMBER($J$1:J519)),$J$1:J519),SUMIFS(Master!$G$2:$G$13,Master!$E$2:$E$13,C520,Master!$F$2:$F$13,D520)))</f>
        <v/>
      </c>
      <c r="G520" s="5" t="n"/>
      <c r="H520" s="5" t="n"/>
      <c r="I520" s="5" t="n"/>
      <c r="J520" s="6">
        <f>IF(OR(F520="",COUNT(G520:I520)&lt;3),"",F520+G520-H520-I520)</f>
        <v/>
      </c>
      <c r="K520" s="6">
        <f>IF(COUNTA(A520:D520,G520:I520)=0,"",IF(COUNTA(A520:D520,G520:I520)&lt;7,"LENGKAPI",IF(H520+I520&gt;N(F520)+G520,"ABNORMAL",IF(COUNTIFS($A$2:$A$2001,A520,$B$2:$B$2001,B520,$C$2:$C$2001,C520,$D$2:$D$2001,D520)&gt;1,"DUPLIKAT","OK"))))</f>
        <v/>
      </c>
    </row>
    <row r="521">
      <c r="A521" s="4" t="n"/>
      <c r="B521" s="5" t="n"/>
      <c r="C521" s="5" t="n"/>
      <c r="D521" s="5" t="n"/>
      <c r="E521" s="6">
        <f>IF(A521="","","B"&amp;TEXT(COUNT($A$2:A521),"00000"))</f>
        <v/>
      </c>
      <c r="F521" s="6">
        <f>IF(OR(C521="",D521=""),"",IFERROR(LOOKUP(2,1/(($C$1:C520=C521)*($D$1:D520=D521)*ISNUMBER($J$1:J520)),$J$1:J520),SUMIFS(Master!$G$2:$G$13,Master!$E$2:$E$13,C521,Master!$F$2:$F$13,D521)))</f>
        <v/>
      </c>
      <c r="G521" s="5" t="n"/>
      <c r="H521" s="5" t="n"/>
      <c r="I521" s="5" t="n"/>
      <c r="J521" s="6">
        <f>IF(OR(F521="",COUNT(G521:I521)&lt;3),"",F521+G521-H521-I521)</f>
        <v/>
      </c>
      <c r="K521" s="6">
        <f>IF(COUNTA(A521:D521,G521:I521)=0,"",IF(COUNTA(A521:D521,G521:I521)&lt;7,"LENGKAPI",IF(H521+I521&gt;N(F521)+G521,"ABNORMAL",IF(COUNTIFS($A$2:$A$2001,A521,$B$2:$B$2001,B521,$C$2:$C$2001,C521,$D$2:$D$2001,D521)&gt;1,"DUPLIKAT","OK"))))</f>
        <v/>
      </c>
    </row>
    <row r="522">
      <c r="A522" s="4" t="n"/>
      <c r="B522" s="5" t="n"/>
      <c r="C522" s="5" t="n"/>
      <c r="D522" s="5" t="n"/>
      <c r="E522" s="6">
        <f>IF(A522="","","B"&amp;TEXT(COUNT($A$2:A522),"00000"))</f>
        <v/>
      </c>
      <c r="F522" s="6">
        <f>IF(OR(C522="",D522=""),"",IFERROR(LOOKUP(2,1/(($C$1:C521=C522)*($D$1:D521=D522)*ISNUMBER($J$1:J521)),$J$1:J521),SUMIFS(Master!$G$2:$G$13,Master!$E$2:$E$13,C522,Master!$F$2:$F$13,D522)))</f>
        <v/>
      </c>
      <c r="G522" s="5" t="n"/>
      <c r="H522" s="5" t="n"/>
      <c r="I522" s="5" t="n"/>
      <c r="J522" s="6">
        <f>IF(OR(F522="",COUNT(G522:I522)&lt;3),"",F522+G522-H522-I522)</f>
        <v/>
      </c>
      <c r="K522" s="6">
        <f>IF(COUNTA(A522:D522,G522:I522)=0,"",IF(COUNTA(A522:D522,G522:I522)&lt;7,"LENGKAPI",IF(H522+I522&gt;N(F522)+G522,"ABNORMAL",IF(COUNTIFS($A$2:$A$2001,A522,$B$2:$B$2001,B522,$C$2:$C$2001,C522,$D$2:$D$2001,D522)&gt;1,"DUPLIKAT","OK"))))</f>
        <v/>
      </c>
    </row>
    <row r="523">
      <c r="A523" s="4" t="n"/>
      <c r="B523" s="5" t="n"/>
      <c r="C523" s="5" t="n"/>
      <c r="D523" s="5" t="n"/>
      <c r="E523" s="6">
        <f>IF(A523="","","B"&amp;TEXT(COUNT($A$2:A523),"00000"))</f>
        <v/>
      </c>
      <c r="F523" s="6">
        <f>IF(OR(C523="",D523=""),"",IFERROR(LOOKUP(2,1/(($C$1:C522=C523)*($D$1:D522=D523)*ISNUMBER($J$1:J522)),$J$1:J522),SUMIFS(Master!$G$2:$G$13,Master!$E$2:$E$13,C523,Master!$F$2:$F$13,D523)))</f>
        <v/>
      </c>
      <c r="G523" s="5" t="n"/>
      <c r="H523" s="5" t="n"/>
      <c r="I523" s="5" t="n"/>
      <c r="J523" s="6">
        <f>IF(OR(F523="",COUNT(G523:I523)&lt;3),"",F523+G523-H523-I523)</f>
        <v/>
      </c>
      <c r="K523" s="6">
        <f>IF(COUNTA(A523:D523,G523:I523)=0,"",IF(COUNTA(A523:D523,G523:I523)&lt;7,"LENGKAPI",IF(H523+I523&gt;N(F523)+G523,"ABNORMAL",IF(COUNTIFS($A$2:$A$2001,A523,$B$2:$B$2001,B523,$C$2:$C$2001,C523,$D$2:$D$2001,D523)&gt;1,"DUPLIKAT","OK"))))</f>
        <v/>
      </c>
    </row>
    <row r="524">
      <c r="A524" s="4" t="n"/>
      <c r="B524" s="5" t="n"/>
      <c r="C524" s="5" t="n"/>
      <c r="D524" s="5" t="n"/>
      <c r="E524" s="6">
        <f>IF(A524="","","B"&amp;TEXT(COUNT($A$2:A524),"00000"))</f>
        <v/>
      </c>
      <c r="F524" s="6">
        <f>IF(OR(C524="",D524=""),"",IFERROR(LOOKUP(2,1/(($C$1:C523=C524)*($D$1:D523=D524)*ISNUMBER($J$1:J523)),$J$1:J523),SUMIFS(Master!$G$2:$G$13,Master!$E$2:$E$13,C524,Master!$F$2:$F$13,D524)))</f>
        <v/>
      </c>
      <c r="G524" s="5" t="n"/>
      <c r="H524" s="5" t="n"/>
      <c r="I524" s="5" t="n"/>
      <c r="J524" s="6">
        <f>IF(OR(F524="",COUNT(G524:I524)&lt;3),"",F524+G524-H524-I524)</f>
        <v/>
      </c>
      <c r="K524" s="6">
        <f>IF(COUNTA(A524:D524,G524:I524)=0,"",IF(COUNTA(A524:D524,G524:I524)&lt;7,"LENGKAPI",IF(H524+I524&gt;N(F524)+G524,"ABNORMAL",IF(COUNTIFS($A$2:$A$2001,A524,$B$2:$B$2001,B524,$C$2:$C$2001,C524,$D$2:$D$2001,D524)&gt;1,"DUPLIKAT","OK"))))</f>
        <v/>
      </c>
    </row>
    <row r="525">
      <c r="A525" s="4" t="n"/>
      <c r="B525" s="5" t="n"/>
      <c r="C525" s="5" t="n"/>
      <c r="D525" s="5" t="n"/>
      <c r="E525" s="6">
        <f>IF(A525="","","B"&amp;TEXT(COUNT($A$2:A525),"00000"))</f>
        <v/>
      </c>
      <c r="F525" s="6">
        <f>IF(OR(C525="",D525=""),"",IFERROR(LOOKUP(2,1/(($C$1:C524=C525)*($D$1:D524=D525)*ISNUMBER($J$1:J524)),$J$1:J524),SUMIFS(Master!$G$2:$G$13,Master!$E$2:$E$13,C525,Master!$F$2:$F$13,D525)))</f>
        <v/>
      </c>
      <c r="G525" s="5" t="n"/>
      <c r="H525" s="5" t="n"/>
      <c r="I525" s="5" t="n"/>
      <c r="J525" s="6">
        <f>IF(OR(F525="",COUNT(G525:I525)&lt;3),"",F525+G525-H525-I525)</f>
        <v/>
      </c>
      <c r="K525" s="6">
        <f>IF(COUNTA(A525:D525,G525:I525)=0,"",IF(COUNTA(A525:D525,G525:I525)&lt;7,"LENGKAPI",IF(H525+I525&gt;N(F525)+G525,"ABNORMAL",IF(COUNTIFS($A$2:$A$2001,A525,$B$2:$B$2001,B525,$C$2:$C$2001,C525,$D$2:$D$2001,D525)&gt;1,"DUPLIKAT","OK"))))</f>
        <v/>
      </c>
    </row>
    <row r="526">
      <c r="A526" s="4" t="n"/>
      <c r="B526" s="5" t="n"/>
      <c r="C526" s="5" t="n"/>
      <c r="D526" s="5" t="n"/>
      <c r="E526" s="6">
        <f>IF(A526="","","B"&amp;TEXT(COUNT($A$2:A526),"00000"))</f>
        <v/>
      </c>
      <c r="F526" s="6">
        <f>IF(OR(C526="",D526=""),"",IFERROR(LOOKUP(2,1/(($C$1:C525=C526)*($D$1:D525=D526)*ISNUMBER($J$1:J525)),$J$1:J525),SUMIFS(Master!$G$2:$G$13,Master!$E$2:$E$13,C526,Master!$F$2:$F$13,D526)))</f>
        <v/>
      </c>
      <c r="G526" s="5" t="n"/>
      <c r="H526" s="5" t="n"/>
      <c r="I526" s="5" t="n"/>
      <c r="J526" s="6">
        <f>IF(OR(F526="",COUNT(G526:I526)&lt;3),"",F526+G526-H526-I526)</f>
        <v/>
      </c>
      <c r="K526" s="6">
        <f>IF(COUNTA(A526:D526,G526:I526)=0,"",IF(COUNTA(A526:D526,G526:I526)&lt;7,"LENGKAPI",IF(H526+I526&gt;N(F526)+G526,"ABNORMAL",IF(COUNTIFS($A$2:$A$2001,A526,$B$2:$B$2001,B526,$C$2:$C$2001,C526,$D$2:$D$2001,D526)&gt;1,"DUPLIKAT","OK"))))</f>
        <v/>
      </c>
    </row>
    <row r="527">
      <c r="A527" s="4" t="n"/>
      <c r="B527" s="5" t="n"/>
      <c r="C527" s="5" t="n"/>
      <c r="D527" s="5" t="n"/>
      <c r="E527" s="6">
        <f>IF(A527="","","B"&amp;TEXT(COUNT($A$2:A527),"00000"))</f>
        <v/>
      </c>
      <c r="F527" s="6">
        <f>IF(OR(C527="",D527=""),"",IFERROR(LOOKUP(2,1/(($C$1:C526=C527)*($D$1:D526=D527)*ISNUMBER($J$1:J526)),$J$1:J526),SUMIFS(Master!$G$2:$G$13,Master!$E$2:$E$13,C527,Master!$F$2:$F$13,D527)))</f>
        <v/>
      </c>
      <c r="G527" s="5" t="n"/>
      <c r="H527" s="5" t="n"/>
      <c r="I527" s="5" t="n"/>
      <c r="J527" s="6">
        <f>IF(OR(F527="",COUNT(G527:I527)&lt;3),"",F527+G527-H527-I527)</f>
        <v/>
      </c>
      <c r="K527" s="6">
        <f>IF(COUNTA(A527:D527,G527:I527)=0,"",IF(COUNTA(A527:D527,G527:I527)&lt;7,"LENGKAPI",IF(H527+I527&gt;N(F527)+G527,"ABNORMAL",IF(COUNTIFS($A$2:$A$2001,A527,$B$2:$B$2001,B527,$C$2:$C$2001,C527,$D$2:$D$2001,D527)&gt;1,"DUPLIKAT","OK"))))</f>
        <v/>
      </c>
    </row>
    <row r="528">
      <c r="A528" s="4" t="n"/>
      <c r="B528" s="5" t="n"/>
      <c r="C528" s="5" t="n"/>
      <c r="D528" s="5" t="n"/>
      <c r="E528" s="6">
        <f>IF(A528="","","B"&amp;TEXT(COUNT($A$2:A528),"00000"))</f>
        <v/>
      </c>
      <c r="F528" s="6">
        <f>IF(OR(C528="",D528=""),"",IFERROR(LOOKUP(2,1/(($C$1:C527=C528)*($D$1:D527=D528)*ISNUMBER($J$1:J527)),$J$1:J527),SUMIFS(Master!$G$2:$G$13,Master!$E$2:$E$13,C528,Master!$F$2:$F$13,D528)))</f>
        <v/>
      </c>
      <c r="G528" s="5" t="n"/>
      <c r="H528" s="5" t="n"/>
      <c r="I528" s="5" t="n"/>
      <c r="J528" s="6">
        <f>IF(OR(F528="",COUNT(G528:I528)&lt;3),"",F528+G528-H528-I528)</f>
        <v/>
      </c>
      <c r="K528" s="6">
        <f>IF(COUNTA(A528:D528,G528:I528)=0,"",IF(COUNTA(A528:D528,G528:I528)&lt;7,"LENGKAPI",IF(H528+I528&gt;N(F528)+G528,"ABNORMAL",IF(COUNTIFS($A$2:$A$2001,A528,$B$2:$B$2001,B528,$C$2:$C$2001,C528,$D$2:$D$2001,D528)&gt;1,"DUPLIKAT","OK"))))</f>
        <v/>
      </c>
    </row>
    <row r="529">
      <c r="A529" s="4" t="n"/>
      <c r="B529" s="5" t="n"/>
      <c r="C529" s="5" t="n"/>
      <c r="D529" s="5" t="n"/>
      <c r="E529" s="6">
        <f>IF(A529="","","B"&amp;TEXT(COUNT($A$2:A529),"00000"))</f>
        <v/>
      </c>
      <c r="F529" s="6">
        <f>IF(OR(C529="",D529=""),"",IFERROR(LOOKUP(2,1/(($C$1:C528=C529)*($D$1:D528=D529)*ISNUMBER($J$1:J528)),$J$1:J528),SUMIFS(Master!$G$2:$G$13,Master!$E$2:$E$13,C529,Master!$F$2:$F$13,D529)))</f>
        <v/>
      </c>
      <c r="G529" s="5" t="n"/>
      <c r="H529" s="5" t="n"/>
      <c r="I529" s="5" t="n"/>
      <c r="J529" s="6">
        <f>IF(OR(F529="",COUNT(G529:I529)&lt;3),"",F529+G529-H529-I529)</f>
        <v/>
      </c>
      <c r="K529" s="6">
        <f>IF(COUNTA(A529:D529,G529:I529)=0,"",IF(COUNTA(A529:D529,G529:I529)&lt;7,"LENGKAPI",IF(H529+I529&gt;N(F529)+G529,"ABNORMAL",IF(COUNTIFS($A$2:$A$2001,A529,$B$2:$B$2001,B529,$C$2:$C$2001,C529,$D$2:$D$2001,D529)&gt;1,"DUPLIKAT","OK"))))</f>
        <v/>
      </c>
    </row>
    <row r="530">
      <c r="A530" s="4" t="n"/>
      <c r="B530" s="5" t="n"/>
      <c r="C530" s="5" t="n"/>
      <c r="D530" s="5" t="n"/>
      <c r="E530" s="6">
        <f>IF(A530="","","B"&amp;TEXT(COUNT($A$2:A530),"00000"))</f>
        <v/>
      </c>
      <c r="F530" s="6">
        <f>IF(OR(C530="",D530=""),"",IFERROR(LOOKUP(2,1/(($C$1:C529=C530)*($D$1:D529=D530)*ISNUMBER($J$1:J529)),$J$1:J529),SUMIFS(Master!$G$2:$G$13,Master!$E$2:$E$13,C530,Master!$F$2:$F$13,D530)))</f>
        <v/>
      </c>
      <c r="G530" s="5" t="n"/>
      <c r="H530" s="5" t="n"/>
      <c r="I530" s="5" t="n"/>
      <c r="J530" s="6">
        <f>IF(OR(F530="",COUNT(G530:I530)&lt;3),"",F530+G530-H530-I530)</f>
        <v/>
      </c>
      <c r="K530" s="6">
        <f>IF(COUNTA(A530:D530,G530:I530)=0,"",IF(COUNTA(A530:D530,G530:I530)&lt;7,"LENGKAPI",IF(H530+I530&gt;N(F530)+G530,"ABNORMAL",IF(COUNTIFS($A$2:$A$2001,A530,$B$2:$B$2001,B530,$C$2:$C$2001,C530,$D$2:$D$2001,D530)&gt;1,"DUPLIKAT","OK"))))</f>
        <v/>
      </c>
    </row>
    <row r="531">
      <c r="A531" s="4" t="n"/>
      <c r="B531" s="5" t="n"/>
      <c r="C531" s="5" t="n"/>
      <c r="D531" s="5" t="n"/>
      <c r="E531" s="6">
        <f>IF(A531="","","B"&amp;TEXT(COUNT($A$2:A531),"00000"))</f>
        <v/>
      </c>
      <c r="F531" s="6">
        <f>IF(OR(C531="",D531=""),"",IFERROR(LOOKUP(2,1/(($C$1:C530=C531)*($D$1:D530=D531)*ISNUMBER($J$1:J530)),$J$1:J530),SUMIFS(Master!$G$2:$G$13,Master!$E$2:$E$13,C531,Master!$F$2:$F$13,D531)))</f>
        <v/>
      </c>
      <c r="G531" s="5" t="n"/>
      <c r="H531" s="5" t="n"/>
      <c r="I531" s="5" t="n"/>
      <c r="J531" s="6">
        <f>IF(OR(F531="",COUNT(G531:I531)&lt;3),"",F531+G531-H531-I531)</f>
        <v/>
      </c>
      <c r="K531" s="6">
        <f>IF(COUNTA(A531:D531,G531:I531)=0,"",IF(COUNTA(A531:D531,G531:I531)&lt;7,"LENGKAPI",IF(H531+I531&gt;N(F531)+G531,"ABNORMAL",IF(COUNTIFS($A$2:$A$2001,A531,$B$2:$B$2001,B531,$C$2:$C$2001,C531,$D$2:$D$2001,D531)&gt;1,"DUPLIKAT","OK"))))</f>
        <v/>
      </c>
    </row>
    <row r="532">
      <c r="A532" s="4" t="n"/>
      <c r="B532" s="5" t="n"/>
      <c r="C532" s="5" t="n"/>
      <c r="D532" s="5" t="n"/>
      <c r="E532" s="6">
        <f>IF(A532="","","B"&amp;TEXT(COUNT($A$2:A532),"00000"))</f>
        <v/>
      </c>
      <c r="F532" s="6">
        <f>IF(OR(C532="",D532=""),"",IFERROR(LOOKUP(2,1/(($C$1:C531=C532)*($D$1:D531=D532)*ISNUMBER($J$1:J531)),$J$1:J531),SUMIFS(Master!$G$2:$G$13,Master!$E$2:$E$13,C532,Master!$F$2:$F$13,D532)))</f>
        <v/>
      </c>
      <c r="G532" s="5" t="n"/>
      <c r="H532" s="5" t="n"/>
      <c r="I532" s="5" t="n"/>
      <c r="J532" s="6">
        <f>IF(OR(F532="",COUNT(G532:I532)&lt;3),"",F532+G532-H532-I532)</f>
        <v/>
      </c>
      <c r="K532" s="6">
        <f>IF(COUNTA(A532:D532,G532:I532)=0,"",IF(COUNTA(A532:D532,G532:I532)&lt;7,"LENGKAPI",IF(H532+I532&gt;N(F532)+G532,"ABNORMAL",IF(COUNTIFS($A$2:$A$2001,A532,$B$2:$B$2001,B532,$C$2:$C$2001,C532,$D$2:$D$2001,D532)&gt;1,"DUPLIKAT","OK"))))</f>
        <v/>
      </c>
    </row>
    <row r="533">
      <c r="A533" s="4" t="n"/>
      <c r="B533" s="5" t="n"/>
      <c r="C533" s="5" t="n"/>
      <c r="D533" s="5" t="n"/>
      <c r="E533" s="6">
        <f>IF(A533="","","B"&amp;TEXT(COUNT($A$2:A533),"00000"))</f>
        <v/>
      </c>
      <c r="F533" s="6">
        <f>IF(OR(C533="",D533=""),"",IFERROR(LOOKUP(2,1/(($C$1:C532=C533)*($D$1:D532=D533)*ISNUMBER($J$1:J532)),$J$1:J532),SUMIFS(Master!$G$2:$G$13,Master!$E$2:$E$13,C533,Master!$F$2:$F$13,D533)))</f>
        <v/>
      </c>
      <c r="G533" s="5" t="n"/>
      <c r="H533" s="5" t="n"/>
      <c r="I533" s="5" t="n"/>
      <c r="J533" s="6">
        <f>IF(OR(F533="",COUNT(G533:I533)&lt;3),"",F533+G533-H533-I533)</f>
        <v/>
      </c>
      <c r="K533" s="6">
        <f>IF(COUNTA(A533:D533,G533:I533)=0,"",IF(COUNTA(A533:D533,G533:I533)&lt;7,"LENGKAPI",IF(H533+I533&gt;N(F533)+G533,"ABNORMAL",IF(COUNTIFS($A$2:$A$2001,A533,$B$2:$B$2001,B533,$C$2:$C$2001,C533,$D$2:$D$2001,D533)&gt;1,"DUPLIKAT","OK"))))</f>
        <v/>
      </c>
    </row>
    <row r="534">
      <c r="A534" s="4" t="n"/>
      <c r="B534" s="5" t="n"/>
      <c r="C534" s="5" t="n"/>
      <c r="D534" s="5" t="n"/>
      <c r="E534" s="6">
        <f>IF(A534="","","B"&amp;TEXT(COUNT($A$2:A534),"00000"))</f>
        <v/>
      </c>
      <c r="F534" s="6">
        <f>IF(OR(C534="",D534=""),"",IFERROR(LOOKUP(2,1/(($C$1:C533=C534)*($D$1:D533=D534)*ISNUMBER($J$1:J533)),$J$1:J533),SUMIFS(Master!$G$2:$G$13,Master!$E$2:$E$13,C534,Master!$F$2:$F$13,D534)))</f>
        <v/>
      </c>
      <c r="G534" s="5" t="n"/>
      <c r="H534" s="5" t="n"/>
      <c r="I534" s="5" t="n"/>
      <c r="J534" s="6">
        <f>IF(OR(F534="",COUNT(G534:I534)&lt;3),"",F534+G534-H534-I534)</f>
        <v/>
      </c>
      <c r="K534" s="6">
        <f>IF(COUNTA(A534:D534,G534:I534)=0,"",IF(COUNTA(A534:D534,G534:I534)&lt;7,"LENGKAPI",IF(H534+I534&gt;N(F534)+G534,"ABNORMAL",IF(COUNTIFS($A$2:$A$2001,A534,$B$2:$B$2001,B534,$C$2:$C$2001,C534,$D$2:$D$2001,D534)&gt;1,"DUPLIKAT","OK"))))</f>
        <v/>
      </c>
    </row>
    <row r="535">
      <c r="A535" s="4" t="n"/>
      <c r="B535" s="5" t="n"/>
      <c r="C535" s="5" t="n"/>
      <c r="D535" s="5" t="n"/>
      <c r="E535" s="6">
        <f>IF(A535="","","B"&amp;TEXT(COUNT($A$2:A535),"00000"))</f>
        <v/>
      </c>
      <c r="F535" s="6">
        <f>IF(OR(C535="",D535=""),"",IFERROR(LOOKUP(2,1/(($C$1:C534=C535)*($D$1:D534=D535)*ISNUMBER($J$1:J534)),$J$1:J534),SUMIFS(Master!$G$2:$G$13,Master!$E$2:$E$13,C535,Master!$F$2:$F$13,D535)))</f>
        <v/>
      </c>
      <c r="G535" s="5" t="n"/>
      <c r="H535" s="5" t="n"/>
      <c r="I535" s="5" t="n"/>
      <c r="J535" s="6">
        <f>IF(OR(F535="",COUNT(G535:I535)&lt;3),"",F535+G535-H535-I535)</f>
        <v/>
      </c>
      <c r="K535" s="6">
        <f>IF(COUNTA(A535:D535,G535:I535)=0,"",IF(COUNTA(A535:D535,G535:I535)&lt;7,"LENGKAPI",IF(H535+I535&gt;N(F535)+G535,"ABNORMAL",IF(COUNTIFS($A$2:$A$2001,A535,$B$2:$B$2001,B535,$C$2:$C$2001,C535,$D$2:$D$2001,D535)&gt;1,"DUPLIKAT","OK"))))</f>
        <v/>
      </c>
    </row>
    <row r="536">
      <c r="A536" s="4" t="n"/>
      <c r="B536" s="5" t="n"/>
      <c r="C536" s="5" t="n"/>
      <c r="D536" s="5" t="n"/>
      <c r="E536" s="6">
        <f>IF(A536="","","B"&amp;TEXT(COUNT($A$2:A536),"00000"))</f>
        <v/>
      </c>
      <c r="F536" s="6">
        <f>IF(OR(C536="",D536=""),"",IFERROR(LOOKUP(2,1/(($C$1:C535=C536)*($D$1:D535=D536)*ISNUMBER($J$1:J535)),$J$1:J535),SUMIFS(Master!$G$2:$G$13,Master!$E$2:$E$13,C536,Master!$F$2:$F$13,D536)))</f>
        <v/>
      </c>
      <c r="G536" s="5" t="n"/>
      <c r="H536" s="5" t="n"/>
      <c r="I536" s="5" t="n"/>
      <c r="J536" s="6">
        <f>IF(OR(F536="",COUNT(G536:I536)&lt;3),"",F536+G536-H536-I536)</f>
        <v/>
      </c>
      <c r="K536" s="6">
        <f>IF(COUNTA(A536:D536,G536:I536)=0,"",IF(COUNTA(A536:D536,G536:I536)&lt;7,"LENGKAPI",IF(H536+I536&gt;N(F536)+G536,"ABNORMAL",IF(COUNTIFS($A$2:$A$2001,A536,$B$2:$B$2001,B536,$C$2:$C$2001,C536,$D$2:$D$2001,D536)&gt;1,"DUPLIKAT","OK"))))</f>
        <v/>
      </c>
    </row>
    <row r="537">
      <c r="A537" s="4" t="n"/>
      <c r="B537" s="5" t="n"/>
      <c r="C537" s="5" t="n"/>
      <c r="D537" s="5" t="n"/>
      <c r="E537" s="6">
        <f>IF(A537="","","B"&amp;TEXT(COUNT($A$2:A537),"00000"))</f>
        <v/>
      </c>
      <c r="F537" s="6">
        <f>IF(OR(C537="",D537=""),"",IFERROR(LOOKUP(2,1/(($C$1:C536=C537)*($D$1:D536=D537)*ISNUMBER($J$1:J536)),$J$1:J536),SUMIFS(Master!$G$2:$G$13,Master!$E$2:$E$13,C537,Master!$F$2:$F$13,D537)))</f>
        <v/>
      </c>
      <c r="G537" s="5" t="n"/>
      <c r="H537" s="5" t="n"/>
      <c r="I537" s="5" t="n"/>
      <c r="J537" s="6">
        <f>IF(OR(F537="",COUNT(G537:I537)&lt;3),"",F537+G537-H537-I537)</f>
        <v/>
      </c>
      <c r="K537" s="6">
        <f>IF(COUNTA(A537:D537,G537:I537)=0,"",IF(COUNTA(A537:D537,G537:I537)&lt;7,"LENGKAPI",IF(H537+I537&gt;N(F537)+G537,"ABNORMAL",IF(COUNTIFS($A$2:$A$2001,A537,$B$2:$B$2001,B537,$C$2:$C$2001,C537,$D$2:$D$2001,D537)&gt;1,"DUPLIKAT","OK"))))</f>
        <v/>
      </c>
    </row>
    <row r="538">
      <c r="A538" s="4" t="n"/>
      <c r="B538" s="5" t="n"/>
      <c r="C538" s="5" t="n"/>
      <c r="D538" s="5" t="n"/>
      <c r="E538" s="6">
        <f>IF(A538="","","B"&amp;TEXT(COUNT($A$2:A538),"00000"))</f>
        <v/>
      </c>
      <c r="F538" s="6">
        <f>IF(OR(C538="",D538=""),"",IFERROR(LOOKUP(2,1/(($C$1:C537=C538)*($D$1:D537=D538)*ISNUMBER($J$1:J537)),$J$1:J537),SUMIFS(Master!$G$2:$G$13,Master!$E$2:$E$13,C538,Master!$F$2:$F$13,D538)))</f>
        <v/>
      </c>
      <c r="G538" s="5" t="n"/>
      <c r="H538" s="5" t="n"/>
      <c r="I538" s="5" t="n"/>
      <c r="J538" s="6">
        <f>IF(OR(F538="",COUNT(G538:I538)&lt;3),"",F538+G538-H538-I538)</f>
        <v/>
      </c>
      <c r="K538" s="6">
        <f>IF(COUNTA(A538:D538,G538:I538)=0,"",IF(COUNTA(A538:D538,G538:I538)&lt;7,"LENGKAPI",IF(H538+I538&gt;N(F538)+G538,"ABNORMAL",IF(COUNTIFS($A$2:$A$2001,A538,$B$2:$B$2001,B538,$C$2:$C$2001,C538,$D$2:$D$2001,D538)&gt;1,"DUPLIKAT","OK"))))</f>
        <v/>
      </c>
    </row>
    <row r="539">
      <c r="A539" s="4" t="n"/>
      <c r="B539" s="5" t="n"/>
      <c r="C539" s="5" t="n"/>
      <c r="D539" s="5" t="n"/>
      <c r="E539" s="6">
        <f>IF(A539="","","B"&amp;TEXT(COUNT($A$2:A539),"00000"))</f>
        <v/>
      </c>
      <c r="F539" s="6">
        <f>IF(OR(C539="",D539=""),"",IFERROR(LOOKUP(2,1/(($C$1:C538=C539)*($D$1:D538=D539)*ISNUMBER($J$1:J538)),$J$1:J538),SUMIFS(Master!$G$2:$G$13,Master!$E$2:$E$13,C539,Master!$F$2:$F$13,D539)))</f>
        <v/>
      </c>
      <c r="G539" s="5" t="n"/>
      <c r="H539" s="5" t="n"/>
      <c r="I539" s="5" t="n"/>
      <c r="J539" s="6">
        <f>IF(OR(F539="",COUNT(G539:I539)&lt;3),"",F539+G539-H539-I539)</f>
        <v/>
      </c>
      <c r="K539" s="6">
        <f>IF(COUNTA(A539:D539,G539:I539)=0,"",IF(COUNTA(A539:D539,G539:I539)&lt;7,"LENGKAPI",IF(H539+I539&gt;N(F539)+G539,"ABNORMAL",IF(COUNTIFS($A$2:$A$2001,A539,$B$2:$B$2001,B539,$C$2:$C$2001,C539,$D$2:$D$2001,D539)&gt;1,"DUPLIKAT","OK"))))</f>
        <v/>
      </c>
    </row>
    <row r="540">
      <c r="A540" s="4" t="n"/>
      <c r="B540" s="5" t="n"/>
      <c r="C540" s="5" t="n"/>
      <c r="D540" s="5" t="n"/>
      <c r="E540" s="6">
        <f>IF(A540="","","B"&amp;TEXT(COUNT($A$2:A540),"00000"))</f>
        <v/>
      </c>
      <c r="F540" s="6">
        <f>IF(OR(C540="",D540=""),"",IFERROR(LOOKUP(2,1/(($C$1:C539=C540)*($D$1:D539=D540)*ISNUMBER($J$1:J539)),$J$1:J539),SUMIFS(Master!$G$2:$G$13,Master!$E$2:$E$13,C540,Master!$F$2:$F$13,D540)))</f>
        <v/>
      </c>
      <c r="G540" s="5" t="n"/>
      <c r="H540" s="5" t="n"/>
      <c r="I540" s="5" t="n"/>
      <c r="J540" s="6">
        <f>IF(OR(F540="",COUNT(G540:I540)&lt;3),"",F540+G540-H540-I540)</f>
        <v/>
      </c>
      <c r="K540" s="6">
        <f>IF(COUNTA(A540:D540,G540:I540)=0,"",IF(COUNTA(A540:D540,G540:I540)&lt;7,"LENGKAPI",IF(H540+I540&gt;N(F540)+G540,"ABNORMAL",IF(COUNTIFS($A$2:$A$2001,A540,$B$2:$B$2001,B540,$C$2:$C$2001,C540,$D$2:$D$2001,D540)&gt;1,"DUPLIKAT","OK"))))</f>
        <v/>
      </c>
    </row>
    <row r="541">
      <c r="A541" s="4" t="n"/>
      <c r="B541" s="5" t="n"/>
      <c r="C541" s="5" t="n"/>
      <c r="D541" s="5" t="n"/>
      <c r="E541" s="6">
        <f>IF(A541="","","B"&amp;TEXT(COUNT($A$2:A541),"00000"))</f>
        <v/>
      </c>
      <c r="F541" s="6">
        <f>IF(OR(C541="",D541=""),"",IFERROR(LOOKUP(2,1/(($C$1:C540=C541)*($D$1:D540=D541)*ISNUMBER($J$1:J540)),$J$1:J540),SUMIFS(Master!$G$2:$G$13,Master!$E$2:$E$13,C541,Master!$F$2:$F$13,D541)))</f>
        <v/>
      </c>
      <c r="G541" s="5" t="n"/>
      <c r="H541" s="5" t="n"/>
      <c r="I541" s="5" t="n"/>
      <c r="J541" s="6">
        <f>IF(OR(F541="",COUNT(G541:I541)&lt;3),"",F541+G541-H541-I541)</f>
        <v/>
      </c>
      <c r="K541" s="6">
        <f>IF(COUNTA(A541:D541,G541:I541)=0,"",IF(COUNTA(A541:D541,G541:I541)&lt;7,"LENGKAPI",IF(H541+I541&gt;N(F541)+G541,"ABNORMAL",IF(COUNTIFS($A$2:$A$2001,A541,$B$2:$B$2001,B541,$C$2:$C$2001,C541,$D$2:$D$2001,D541)&gt;1,"DUPLIKAT","OK"))))</f>
        <v/>
      </c>
    </row>
    <row r="542">
      <c r="A542" s="4" t="n"/>
      <c r="B542" s="5" t="n"/>
      <c r="C542" s="5" t="n"/>
      <c r="D542" s="5" t="n"/>
      <c r="E542" s="6">
        <f>IF(A542="","","B"&amp;TEXT(COUNT($A$2:A542),"00000"))</f>
        <v/>
      </c>
      <c r="F542" s="6">
        <f>IF(OR(C542="",D542=""),"",IFERROR(LOOKUP(2,1/(($C$1:C541=C542)*($D$1:D541=D542)*ISNUMBER($J$1:J541)),$J$1:J541),SUMIFS(Master!$G$2:$G$13,Master!$E$2:$E$13,C542,Master!$F$2:$F$13,D542)))</f>
        <v/>
      </c>
      <c r="G542" s="5" t="n"/>
      <c r="H542" s="5" t="n"/>
      <c r="I542" s="5" t="n"/>
      <c r="J542" s="6">
        <f>IF(OR(F542="",COUNT(G542:I542)&lt;3),"",F542+G542-H542-I542)</f>
        <v/>
      </c>
      <c r="K542" s="6">
        <f>IF(COUNTA(A542:D542,G542:I542)=0,"",IF(COUNTA(A542:D542,G542:I542)&lt;7,"LENGKAPI",IF(H542+I542&gt;N(F542)+G542,"ABNORMAL",IF(COUNTIFS($A$2:$A$2001,A542,$B$2:$B$2001,B542,$C$2:$C$2001,C542,$D$2:$D$2001,D542)&gt;1,"DUPLIKAT","OK"))))</f>
        <v/>
      </c>
    </row>
    <row r="543">
      <c r="A543" s="4" t="n"/>
      <c r="B543" s="5" t="n"/>
      <c r="C543" s="5" t="n"/>
      <c r="D543" s="5" t="n"/>
      <c r="E543" s="6">
        <f>IF(A543="","","B"&amp;TEXT(COUNT($A$2:A543),"00000"))</f>
        <v/>
      </c>
      <c r="F543" s="6">
        <f>IF(OR(C543="",D543=""),"",IFERROR(LOOKUP(2,1/(($C$1:C542=C543)*($D$1:D542=D543)*ISNUMBER($J$1:J542)),$J$1:J542),SUMIFS(Master!$G$2:$G$13,Master!$E$2:$E$13,C543,Master!$F$2:$F$13,D543)))</f>
        <v/>
      </c>
      <c r="G543" s="5" t="n"/>
      <c r="H543" s="5" t="n"/>
      <c r="I543" s="5" t="n"/>
      <c r="J543" s="6">
        <f>IF(OR(F543="",COUNT(G543:I543)&lt;3),"",F543+G543-H543-I543)</f>
        <v/>
      </c>
      <c r="K543" s="6">
        <f>IF(COUNTA(A543:D543,G543:I543)=0,"",IF(COUNTA(A543:D543,G543:I543)&lt;7,"LENGKAPI",IF(H543+I543&gt;N(F543)+G543,"ABNORMAL",IF(COUNTIFS($A$2:$A$2001,A543,$B$2:$B$2001,B543,$C$2:$C$2001,C543,$D$2:$D$2001,D543)&gt;1,"DUPLIKAT","OK"))))</f>
        <v/>
      </c>
    </row>
    <row r="544">
      <c r="A544" s="4" t="n"/>
      <c r="B544" s="5" t="n"/>
      <c r="C544" s="5" t="n"/>
      <c r="D544" s="5" t="n"/>
      <c r="E544" s="6">
        <f>IF(A544="","","B"&amp;TEXT(COUNT($A$2:A544),"00000"))</f>
        <v/>
      </c>
      <c r="F544" s="6">
        <f>IF(OR(C544="",D544=""),"",IFERROR(LOOKUP(2,1/(($C$1:C543=C544)*($D$1:D543=D544)*ISNUMBER($J$1:J543)),$J$1:J543),SUMIFS(Master!$G$2:$G$13,Master!$E$2:$E$13,C544,Master!$F$2:$F$13,D544)))</f>
        <v/>
      </c>
      <c r="G544" s="5" t="n"/>
      <c r="H544" s="5" t="n"/>
      <c r="I544" s="5" t="n"/>
      <c r="J544" s="6">
        <f>IF(OR(F544="",COUNT(G544:I544)&lt;3),"",F544+G544-H544-I544)</f>
        <v/>
      </c>
      <c r="K544" s="6">
        <f>IF(COUNTA(A544:D544,G544:I544)=0,"",IF(COUNTA(A544:D544,G544:I544)&lt;7,"LENGKAPI",IF(H544+I544&gt;N(F544)+G544,"ABNORMAL",IF(COUNTIFS($A$2:$A$2001,A544,$B$2:$B$2001,B544,$C$2:$C$2001,C544,$D$2:$D$2001,D544)&gt;1,"DUPLIKAT","OK"))))</f>
        <v/>
      </c>
    </row>
    <row r="545">
      <c r="A545" s="4" t="n"/>
      <c r="B545" s="5" t="n"/>
      <c r="C545" s="5" t="n"/>
      <c r="D545" s="5" t="n"/>
      <c r="E545" s="6">
        <f>IF(A545="","","B"&amp;TEXT(COUNT($A$2:A545),"00000"))</f>
        <v/>
      </c>
      <c r="F545" s="6">
        <f>IF(OR(C545="",D545=""),"",IFERROR(LOOKUP(2,1/(($C$1:C544=C545)*($D$1:D544=D545)*ISNUMBER($J$1:J544)),$J$1:J544),SUMIFS(Master!$G$2:$G$13,Master!$E$2:$E$13,C545,Master!$F$2:$F$13,D545)))</f>
        <v/>
      </c>
      <c r="G545" s="5" t="n"/>
      <c r="H545" s="5" t="n"/>
      <c r="I545" s="5" t="n"/>
      <c r="J545" s="6">
        <f>IF(OR(F545="",COUNT(G545:I545)&lt;3),"",F545+G545-H545-I545)</f>
        <v/>
      </c>
      <c r="K545" s="6">
        <f>IF(COUNTA(A545:D545,G545:I545)=0,"",IF(COUNTA(A545:D545,G545:I545)&lt;7,"LENGKAPI",IF(H545+I545&gt;N(F545)+G545,"ABNORMAL",IF(COUNTIFS($A$2:$A$2001,A545,$B$2:$B$2001,B545,$C$2:$C$2001,C545,$D$2:$D$2001,D545)&gt;1,"DUPLIKAT","OK"))))</f>
        <v/>
      </c>
    </row>
    <row r="546">
      <c r="A546" s="4" t="n"/>
      <c r="B546" s="5" t="n"/>
      <c r="C546" s="5" t="n"/>
      <c r="D546" s="5" t="n"/>
      <c r="E546" s="6">
        <f>IF(A546="","","B"&amp;TEXT(COUNT($A$2:A546),"00000"))</f>
        <v/>
      </c>
      <c r="F546" s="6">
        <f>IF(OR(C546="",D546=""),"",IFERROR(LOOKUP(2,1/(($C$1:C545=C546)*($D$1:D545=D546)*ISNUMBER($J$1:J545)),$J$1:J545),SUMIFS(Master!$G$2:$G$13,Master!$E$2:$E$13,C546,Master!$F$2:$F$13,D546)))</f>
        <v/>
      </c>
      <c r="G546" s="5" t="n"/>
      <c r="H546" s="5" t="n"/>
      <c r="I546" s="5" t="n"/>
      <c r="J546" s="6">
        <f>IF(OR(F546="",COUNT(G546:I546)&lt;3),"",F546+G546-H546-I546)</f>
        <v/>
      </c>
      <c r="K546" s="6">
        <f>IF(COUNTA(A546:D546,G546:I546)=0,"",IF(COUNTA(A546:D546,G546:I546)&lt;7,"LENGKAPI",IF(H546+I546&gt;N(F546)+G546,"ABNORMAL",IF(COUNTIFS($A$2:$A$2001,A546,$B$2:$B$2001,B546,$C$2:$C$2001,C546,$D$2:$D$2001,D546)&gt;1,"DUPLIKAT","OK"))))</f>
        <v/>
      </c>
    </row>
    <row r="547">
      <c r="A547" s="4" t="n"/>
      <c r="B547" s="5" t="n"/>
      <c r="C547" s="5" t="n"/>
      <c r="D547" s="5" t="n"/>
      <c r="E547" s="6">
        <f>IF(A547="","","B"&amp;TEXT(COUNT($A$2:A547),"00000"))</f>
        <v/>
      </c>
      <c r="F547" s="6">
        <f>IF(OR(C547="",D547=""),"",IFERROR(LOOKUP(2,1/(($C$1:C546=C547)*($D$1:D546=D547)*ISNUMBER($J$1:J546)),$J$1:J546),SUMIFS(Master!$G$2:$G$13,Master!$E$2:$E$13,C547,Master!$F$2:$F$13,D547)))</f>
        <v/>
      </c>
      <c r="G547" s="5" t="n"/>
      <c r="H547" s="5" t="n"/>
      <c r="I547" s="5" t="n"/>
      <c r="J547" s="6">
        <f>IF(OR(F547="",COUNT(G547:I547)&lt;3),"",F547+G547-H547-I547)</f>
        <v/>
      </c>
      <c r="K547" s="6">
        <f>IF(COUNTA(A547:D547,G547:I547)=0,"",IF(COUNTA(A547:D547,G547:I547)&lt;7,"LENGKAPI",IF(H547+I547&gt;N(F547)+G547,"ABNORMAL",IF(COUNTIFS($A$2:$A$2001,A547,$B$2:$B$2001,B547,$C$2:$C$2001,C547,$D$2:$D$2001,D547)&gt;1,"DUPLIKAT","OK"))))</f>
        <v/>
      </c>
    </row>
    <row r="548">
      <c r="A548" s="4" t="n"/>
      <c r="B548" s="5" t="n"/>
      <c r="C548" s="5" t="n"/>
      <c r="D548" s="5" t="n"/>
      <c r="E548" s="6">
        <f>IF(A548="","","B"&amp;TEXT(COUNT($A$2:A548),"00000"))</f>
        <v/>
      </c>
      <c r="F548" s="6">
        <f>IF(OR(C548="",D548=""),"",IFERROR(LOOKUP(2,1/(($C$1:C547=C548)*($D$1:D547=D548)*ISNUMBER($J$1:J547)),$J$1:J547),SUMIFS(Master!$G$2:$G$13,Master!$E$2:$E$13,C548,Master!$F$2:$F$13,D548)))</f>
        <v/>
      </c>
      <c r="G548" s="5" t="n"/>
      <c r="H548" s="5" t="n"/>
      <c r="I548" s="5" t="n"/>
      <c r="J548" s="6">
        <f>IF(OR(F548="",COUNT(G548:I548)&lt;3),"",F548+G548-H548-I548)</f>
        <v/>
      </c>
      <c r="K548" s="6">
        <f>IF(COUNTA(A548:D548,G548:I548)=0,"",IF(COUNTA(A548:D548,G548:I548)&lt;7,"LENGKAPI",IF(H548+I548&gt;N(F548)+G548,"ABNORMAL",IF(COUNTIFS($A$2:$A$2001,A548,$B$2:$B$2001,B548,$C$2:$C$2001,C548,$D$2:$D$2001,D548)&gt;1,"DUPLIKAT","OK"))))</f>
        <v/>
      </c>
    </row>
    <row r="549">
      <c r="A549" s="4" t="n"/>
      <c r="B549" s="5" t="n"/>
      <c r="C549" s="5" t="n"/>
      <c r="D549" s="5" t="n"/>
      <c r="E549" s="6">
        <f>IF(A549="","","B"&amp;TEXT(COUNT($A$2:A549),"00000"))</f>
        <v/>
      </c>
      <c r="F549" s="6">
        <f>IF(OR(C549="",D549=""),"",IFERROR(LOOKUP(2,1/(($C$1:C548=C549)*($D$1:D548=D549)*ISNUMBER($J$1:J548)),$J$1:J548),SUMIFS(Master!$G$2:$G$13,Master!$E$2:$E$13,C549,Master!$F$2:$F$13,D549)))</f>
        <v/>
      </c>
      <c r="G549" s="5" t="n"/>
      <c r="H549" s="5" t="n"/>
      <c r="I549" s="5" t="n"/>
      <c r="J549" s="6">
        <f>IF(OR(F549="",COUNT(G549:I549)&lt;3),"",F549+G549-H549-I549)</f>
        <v/>
      </c>
      <c r="K549" s="6">
        <f>IF(COUNTA(A549:D549,G549:I549)=0,"",IF(COUNTA(A549:D549,G549:I549)&lt;7,"LENGKAPI",IF(H549+I549&gt;N(F549)+G549,"ABNORMAL",IF(COUNTIFS($A$2:$A$2001,A549,$B$2:$B$2001,B549,$C$2:$C$2001,C549,$D$2:$D$2001,D549)&gt;1,"DUPLIKAT","OK"))))</f>
        <v/>
      </c>
    </row>
    <row r="550">
      <c r="A550" s="4" t="n"/>
      <c r="B550" s="5" t="n"/>
      <c r="C550" s="5" t="n"/>
      <c r="D550" s="5" t="n"/>
      <c r="E550" s="6">
        <f>IF(A550="","","B"&amp;TEXT(COUNT($A$2:A550),"00000"))</f>
        <v/>
      </c>
      <c r="F550" s="6">
        <f>IF(OR(C550="",D550=""),"",IFERROR(LOOKUP(2,1/(($C$1:C549=C550)*($D$1:D549=D550)*ISNUMBER($J$1:J549)),$J$1:J549),SUMIFS(Master!$G$2:$G$13,Master!$E$2:$E$13,C550,Master!$F$2:$F$13,D550)))</f>
        <v/>
      </c>
      <c r="G550" s="5" t="n"/>
      <c r="H550" s="5" t="n"/>
      <c r="I550" s="5" t="n"/>
      <c r="J550" s="6">
        <f>IF(OR(F550="",COUNT(G550:I550)&lt;3),"",F550+G550-H550-I550)</f>
        <v/>
      </c>
      <c r="K550" s="6">
        <f>IF(COUNTA(A550:D550,G550:I550)=0,"",IF(COUNTA(A550:D550,G550:I550)&lt;7,"LENGKAPI",IF(H550+I550&gt;N(F550)+G550,"ABNORMAL",IF(COUNTIFS($A$2:$A$2001,A550,$B$2:$B$2001,B550,$C$2:$C$2001,C550,$D$2:$D$2001,D550)&gt;1,"DUPLIKAT","OK"))))</f>
        <v/>
      </c>
    </row>
    <row r="551">
      <c r="A551" s="4" t="n"/>
      <c r="B551" s="5" t="n"/>
      <c r="C551" s="5" t="n"/>
      <c r="D551" s="5" t="n"/>
      <c r="E551" s="6">
        <f>IF(A551="","","B"&amp;TEXT(COUNT($A$2:A551),"00000"))</f>
        <v/>
      </c>
      <c r="F551" s="6">
        <f>IF(OR(C551="",D551=""),"",IFERROR(LOOKUP(2,1/(($C$1:C550=C551)*($D$1:D550=D551)*ISNUMBER($J$1:J550)),$J$1:J550),SUMIFS(Master!$G$2:$G$13,Master!$E$2:$E$13,C551,Master!$F$2:$F$13,D551)))</f>
        <v/>
      </c>
      <c r="G551" s="5" t="n"/>
      <c r="H551" s="5" t="n"/>
      <c r="I551" s="5" t="n"/>
      <c r="J551" s="6">
        <f>IF(OR(F551="",COUNT(G551:I551)&lt;3),"",F551+G551-H551-I551)</f>
        <v/>
      </c>
      <c r="K551" s="6">
        <f>IF(COUNTA(A551:D551,G551:I551)=0,"",IF(COUNTA(A551:D551,G551:I551)&lt;7,"LENGKAPI",IF(H551+I551&gt;N(F551)+G551,"ABNORMAL",IF(COUNTIFS($A$2:$A$2001,A551,$B$2:$B$2001,B551,$C$2:$C$2001,C551,$D$2:$D$2001,D551)&gt;1,"DUPLIKAT","OK"))))</f>
        <v/>
      </c>
    </row>
    <row r="552">
      <c r="A552" s="4" t="n"/>
      <c r="B552" s="5" t="n"/>
      <c r="C552" s="5" t="n"/>
      <c r="D552" s="5" t="n"/>
      <c r="E552" s="6">
        <f>IF(A552="","","B"&amp;TEXT(COUNT($A$2:A552),"00000"))</f>
        <v/>
      </c>
      <c r="F552" s="6">
        <f>IF(OR(C552="",D552=""),"",IFERROR(LOOKUP(2,1/(($C$1:C551=C552)*($D$1:D551=D552)*ISNUMBER($J$1:J551)),$J$1:J551),SUMIFS(Master!$G$2:$G$13,Master!$E$2:$E$13,C552,Master!$F$2:$F$13,D552)))</f>
        <v/>
      </c>
      <c r="G552" s="5" t="n"/>
      <c r="H552" s="5" t="n"/>
      <c r="I552" s="5" t="n"/>
      <c r="J552" s="6">
        <f>IF(OR(F552="",COUNT(G552:I552)&lt;3),"",F552+G552-H552-I552)</f>
        <v/>
      </c>
      <c r="K552" s="6">
        <f>IF(COUNTA(A552:D552,G552:I552)=0,"",IF(COUNTA(A552:D552,G552:I552)&lt;7,"LENGKAPI",IF(H552+I552&gt;N(F552)+G552,"ABNORMAL",IF(COUNTIFS($A$2:$A$2001,A552,$B$2:$B$2001,B552,$C$2:$C$2001,C552,$D$2:$D$2001,D552)&gt;1,"DUPLIKAT","OK"))))</f>
        <v/>
      </c>
    </row>
    <row r="553">
      <c r="A553" s="4" t="n"/>
      <c r="B553" s="5" t="n"/>
      <c r="C553" s="5" t="n"/>
      <c r="D553" s="5" t="n"/>
      <c r="E553" s="6">
        <f>IF(A553="","","B"&amp;TEXT(COUNT($A$2:A553),"00000"))</f>
        <v/>
      </c>
      <c r="F553" s="6">
        <f>IF(OR(C553="",D553=""),"",IFERROR(LOOKUP(2,1/(($C$1:C552=C553)*($D$1:D552=D553)*ISNUMBER($J$1:J552)),$J$1:J552),SUMIFS(Master!$G$2:$G$13,Master!$E$2:$E$13,C553,Master!$F$2:$F$13,D553)))</f>
        <v/>
      </c>
      <c r="G553" s="5" t="n"/>
      <c r="H553" s="5" t="n"/>
      <c r="I553" s="5" t="n"/>
      <c r="J553" s="6">
        <f>IF(OR(F553="",COUNT(G553:I553)&lt;3),"",F553+G553-H553-I553)</f>
        <v/>
      </c>
      <c r="K553" s="6">
        <f>IF(COUNTA(A553:D553,G553:I553)=0,"",IF(COUNTA(A553:D553,G553:I553)&lt;7,"LENGKAPI",IF(H553+I553&gt;N(F553)+G553,"ABNORMAL",IF(COUNTIFS($A$2:$A$2001,A553,$B$2:$B$2001,B553,$C$2:$C$2001,C553,$D$2:$D$2001,D553)&gt;1,"DUPLIKAT","OK"))))</f>
        <v/>
      </c>
    </row>
    <row r="554">
      <c r="A554" s="4" t="n"/>
      <c r="B554" s="5" t="n"/>
      <c r="C554" s="5" t="n"/>
      <c r="D554" s="5" t="n"/>
      <c r="E554" s="6">
        <f>IF(A554="","","B"&amp;TEXT(COUNT($A$2:A554),"00000"))</f>
        <v/>
      </c>
      <c r="F554" s="6">
        <f>IF(OR(C554="",D554=""),"",IFERROR(LOOKUP(2,1/(($C$1:C553=C554)*($D$1:D553=D554)*ISNUMBER($J$1:J553)),$J$1:J553),SUMIFS(Master!$G$2:$G$13,Master!$E$2:$E$13,C554,Master!$F$2:$F$13,D554)))</f>
        <v/>
      </c>
      <c r="G554" s="5" t="n"/>
      <c r="H554" s="5" t="n"/>
      <c r="I554" s="5" t="n"/>
      <c r="J554" s="6">
        <f>IF(OR(F554="",COUNT(G554:I554)&lt;3),"",F554+G554-H554-I554)</f>
        <v/>
      </c>
      <c r="K554" s="6">
        <f>IF(COUNTA(A554:D554,G554:I554)=0,"",IF(COUNTA(A554:D554,G554:I554)&lt;7,"LENGKAPI",IF(H554+I554&gt;N(F554)+G554,"ABNORMAL",IF(COUNTIFS($A$2:$A$2001,A554,$B$2:$B$2001,B554,$C$2:$C$2001,C554,$D$2:$D$2001,D554)&gt;1,"DUPLIKAT","OK"))))</f>
        <v/>
      </c>
    </row>
    <row r="555">
      <c r="A555" s="4" t="n"/>
      <c r="B555" s="5" t="n"/>
      <c r="C555" s="5" t="n"/>
      <c r="D555" s="5" t="n"/>
      <c r="E555" s="6">
        <f>IF(A555="","","B"&amp;TEXT(COUNT($A$2:A555),"00000"))</f>
        <v/>
      </c>
      <c r="F555" s="6">
        <f>IF(OR(C555="",D555=""),"",IFERROR(LOOKUP(2,1/(($C$1:C554=C555)*($D$1:D554=D555)*ISNUMBER($J$1:J554)),$J$1:J554),SUMIFS(Master!$G$2:$G$13,Master!$E$2:$E$13,C555,Master!$F$2:$F$13,D555)))</f>
        <v/>
      </c>
      <c r="G555" s="5" t="n"/>
      <c r="H555" s="5" t="n"/>
      <c r="I555" s="5" t="n"/>
      <c r="J555" s="6">
        <f>IF(OR(F555="",COUNT(G555:I555)&lt;3),"",F555+G555-H555-I555)</f>
        <v/>
      </c>
      <c r="K555" s="6">
        <f>IF(COUNTA(A555:D555,G555:I555)=0,"",IF(COUNTA(A555:D555,G555:I555)&lt;7,"LENGKAPI",IF(H555+I555&gt;N(F555)+G555,"ABNORMAL",IF(COUNTIFS($A$2:$A$2001,A555,$B$2:$B$2001,B555,$C$2:$C$2001,C555,$D$2:$D$2001,D555)&gt;1,"DUPLIKAT","OK"))))</f>
        <v/>
      </c>
    </row>
    <row r="556">
      <c r="A556" s="4" t="n"/>
      <c r="B556" s="5" t="n"/>
      <c r="C556" s="5" t="n"/>
      <c r="D556" s="5" t="n"/>
      <c r="E556" s="6">
        <f>IF(A556="","","B"&amp;TEXT(COUNT($A$2:A556),"00000"))</f>
        <v/>
      </c>
      <c r="F556" s="6">
        <f>IF(OR(C556="",D556=""),"",IFERROR(LOOKUP(2,1/(($C$1:C555=C556)*($D$1:D555=D556)*ISNUMBER($J$1:J555)),$J$1:J555),SUMIFS(Master!$G$2:$G$13,Master!$E$2:$E$13,C556,Master!$F$2:$F$13,D556)))</f>
        <v/>
      </c>
      <c r="G556" s="5" t="n"/>
      <c r="H556" s="5" t="n"/>
      <c r="I556" s="5" t="n"/>
      <c r="J556" s="6">
        <f>IF(OR(F556="",COUNT(G556:I556)&lt;3),"",F556+G556-H556-I556)</f>
        <v/>
      </c>
      <c r="K556" s="6">
        <f>IF(COUNTA(A556:D556,G556:I556)=0,"",IF(COUNTA(A556:D556,G556:I556)&lt;7,"LENGKAPI",IF(H556+I556&gt;N(F556)+G556,"ABNORMAL",IF(COUNTIFS($A$2:$A$2001,A556,$B$2:$B$2001,B556,$C$2:$C$2001,C556,$D$2:$D$2001,D556)&gt;1,"DUPLIKAT","OK"))))</f>
        <v/>
      </c>
    </row>
    <row r="557">
      <c r="A557" s="4" t="n"/>
      <c r="B557" s="5" t="n"/>
      <c r="C557" s="5" t="n"/>
      <c r="D557" s="5" t="n"/>
      <c r="E557" s="6">
        <f>IF(A557="","","B"&amp;TEXT(COUNT($A$2:A557),"00000"))</f>
        <v/>
      </c>
      <c r="F557" s="6">
        <f>IF(OR(C557="",D557=""),"",IFERROR(LOOKUP(2,1/(($C$1:C556=C557)*($D$1:D556=D557)*ISNUMBER($J$1:J556)),$J$1:J556),SUMIFS(Master!$G$2:$G$13,Master!$E$2:$E$13,C557,Master!$F$2:$F$13,D557)))</f>
        <v/>
      </c>
      <c r="G557" s="5" t="n"/>
      <c r="H557" s="5" t="n"/>
      <c r="I557" s="5" t="n"/>
      <c r="J557" s="6">
        <f>IF(OR(F557="",COUNT(G557:I557)&lt;3),"",F557+G557-H557-I557)</f>
        <v/>
      </c>
      <c r="K557" s="6">
        <f>IF(COUNTA(A557:D557,G557:I557)=0,"",IF(COUNTA(A557:D557,G557:I557)&lt;7,"LENGKAPI",IF(H557+I557&gt;N(F557)+G557,"ABNORMAL",IF(COUNTIFS($A$2:$A$2001,A557,$B$2:$B$2001,B557,$C$2:$C$2001,C557,$D$2:$D$2001,D557)&gt;1,"DUPLIKAT","OK"))))</f>
        <v/>
      </c>
    </row>
    <row r="558">
      <c r="A558" s="4" t="n"/>
      <c r="B558" s="5" t="n"/>
      <c r="C558" s="5" t="n"/>
      <c r="D558" s="5" t="n"/>
      <c r="E558" s="6">
        <f>IF(A558="","","B"&amp;TEXT(COUNT($A$2:A558),"00000"))</f>
        <v/>
      </c>
      <c r="F558" s="6">
        <f>IF(OR(C558="",D558=""),"",IFERROR(LOOKUP(2,1/(($C$1:C557=C558)*($D$1:D557=D558)*ISNUMBER($J$1:J557)),$J$1:J557),SUMIFS(Master!$G$2:$G$13,Master!$E$2:$E$13,C558,Master!$F$2:$F$13,D558)))</f>
        <v/>
      </c>
      <c r="G558" s="5" t="n"/>
      <c r="H558" s="5" t="n"/>
      <c r="I558" s="5" t="n"/>
      <c r="J558" s="6">
        <f>IF(OR(F558="",COUNT(G558:I558)&lt;3),"",F558+G558-H558-I558)</f>
        <v/>
      </c>
      <c r="K558" s="6">
        <f>IF(COUNTA(A558:D558,G558:I558)=0,"",IF(COUNTA(A558:D558,G558:I558)&lt;7,"LENGKAPI",IF(H558+I558&gt;N(F558)+G558,"ABNORMAL",IF(COUNTIFS($A$2:$A$2001,A558,$B$2:$B$2001,B558,$C$2:$C$2001,C558,$D$2:$D$2001,D558)&gt;1,"DUPLIKAT","OK"))))</f>
        <v/>
      </c>
    </row>
    <row r="559">
      <c r="A559" s="4" t="n"/>
      <c r="B559" s="5" t="n"/>
      <c r="C559" s="5" t="n"/>
      <c r="D559" s="5" t="n"/>
      <c r="E559" s="6">
        <f>IF(A559="","","B"&amp;TEXT(COUNT($A$2:A559),"00000"))</f>
        <v/>
      </c>
      <c r="F559" s="6">
        <f>IF(OR(C559="",D559=""),"",IFERROR(LOOKUP(2,1/(($C$1:C558=C559)*($D$1:D558=D559)*ISNUMBER($J$1:J558)),$J$1:J558),SUMIFS(Master!$G$2:$G$13,Master!$E$2:$E$13,C559,Master!$F$2:$F$13,D559)))</f>
        <v/>
      </c>
      <c r="G559" s="5" t="n"/>
      <c r="H559" s="5" t="n"/>
      <c r="I559" s="5" t="n"/>
      <c r="J559" s="6">
        <f>IF(OR(F559="",COUNT(G559:I559)&lt;3),"",F559+G559-H559-I559)</f>
        <v/>
      </c>
      <c r="K559" s="6">
        <f>IF(COUNTA(A559:D559,G559:I559)=0,"",IF(COUNTA(A559:D559,G559:I559)&lt;7,"LENGKAPI",IF(H559+I559&gt;N(F559)+G559,"ABNORMAL",IF(COUNTIFS($A$2:$A$2001,A559,$B$2:$B$2001,B559,$C$2:$C$2001,C559,$D$2:$D$2001,D559)&gt;1,"DUPLIKAT","OK"))))</f>
        <v/>
      </c>
    </row>
    <row r="560">
      <c r="A560" s="4" t="n"/>
      <c r="B560" s="5" t="n"/>
      <c r="C560" s="5" t="n"/>
      <c r="D560" s="5" t="n"/>
      <c r="E560" s="6">
        <f>IF(A560="","","B"&amp;TEXT(COUNT($A$2:A560),"00000"))</f>
        <v/>
      </c>
      <c r="F560" s="6">
        <f>IF(OR(C560="",D560=""),"",IFERROR(LOOKUP(2,1/(($C$1:C559=C560)*($D$1:D559=D560)*ISNUMBER($J$1:J559)),$J$1:J559),SUMIFS(Master!$G$2:$G$13,Master!$E$2:$E$13,C560,Master!$F$2:$F$13,D560)))</f>
        <v/>
      </c>
      <c r="G560" s="5" t="n"/>
      <c r="H560" s="5" t="n"/>
      <c r="I560" s="5" t="n"/>
      <c r="J560" s="6">
        <f>IF(OR(F560="",COUNT(G560:I560)&lt;3),"",F560+G560-H560-I560)</f>
        <v/>
      </c>
      <c r="K560" s="6">
        <f>IF(COUNTA(A560:D560,G560:I560)=0,"",IF(COUNTA(A560:D560,G560:I560)&lt;7,"LENGKAPI",IF(H560+I560&gt;N(F560)+G560,"ABNORMAL",IF(COUNTIFS($A$2:$A$2001,A560,$B$2:$B$2001,B560,$C$2:$C$2001,C560,$D$2:$D$2001,D560)&gt;1,"DUPLIKAT","OK"))))</f>
        <v/>
      </c>
    </row>
    <row r="561">
      <c r="A561" s="4" t="n"/>
      <c r="B561" s="5" t="n"/>
      <c r="C561" s="5" t="n"/>
      <c r="D561" s="5" t="n"/>
      <c r="E561" s="6">
        <f>IF(A561="","","B"&amp;TEXT(COUNT($A$2:A561),"00000"))</f>
        <v/>
      </c>
      <c r="F561" s="6">
        <f>IF(OR(C561="",D561=""),"",IFERROR(LOOKUP(2,1/(($C$1:C560=C561)*($D$1:D560=D561)*ISNUMBER($J$1:J560)),$J$1:J560),SUMIFS(Master!$G$2:$G$13,Master!$E$2:$E$13,C561,Master!$F$2:$F$13,D561)))</f>
        <v/>
      </c>
      <c r="G561" s="5" t="n"/>
      <c r="H561" s="5" t="n"/>
      <c r="I561" s="5" t="n"/>
      <c r="J561" s="6">
        <f>IF(OR(F561="",COUNT(G561:I561)&lt;3),"",F561+G561-H561-I561)</f>
        <v/>
      </c>
      <c r="K561" s="6">
        <f>IF(COUNTA(A561:D561,G561:I561)=0,"",IF(COUNTA(A561:D561,G561:I561)&lt;7,"LENGKAPI",IF(H561+I561&gt;N(F561)+G561,"ABNORMAL",IF(COUNTIFS($A$2:$A$2001,A561,$B$2:$B$2001,B561,$C$2:$C$2001,C561,$D$2:$D$2001,D561)&gt;1,"DUPLIKAT","OK"))))</f>
        <v/>
      </c>
    </row>
    <row r="562">
      <c r="A562" s="4" t="n"/>
      <c r="B562" s="5" t="n"/>
      <c r="C562" s="5" t="n"/>
      <c r="D562" s="5" t="n"/>
      <c r="E562" s="6">
        <f>IF(A562="","","B"&amp;TEXT(COUNT($A$2:A562),"00000"))</f>
        <v/>
      </c>
      <c r="F562" s="6">
        <f>IF(OR(C562="",D562=""),"",IFERROR(LOOKUP(2,1/(($C$1:C561=C562)*($D$1:D561=D562)*ISNUMBER($J$1:J561)),$J$1:J561),SUMIFS(Master!$G$2:$G$13,Master!$E$2:$E$13,C562,Master!$F$2:$F$13,D562)))</f>
        <v/>
      </c>
      <c r="G562" s="5" t="n"/>
      <c r="H562" s="5" t="n"/>
      <c r="I562" s="5" t="n"/>
      <c r="J562" s="6">
        <f>IF(OR(F562="",COUNT(G562:I562)&lt;3),"",F562+G562-H562-I562)</f>
        <v/>
      </c>
      <c r="K562" s="6">
        <f>IF(COUNTA(A562:D562,G562:I562)=0,"",IF(COUNTA(A562:D562,G562:I562)&lt;7,"LENGKAPI",IF(H562+I562&gt;N(F562)+G562,"ABNORMAL",IF(COUNTIFS($A$2:$A$2001,A562,$B$2:$B$2001,B562,$C$2:$C$2001,C562,$D$2:$D$2001,D562)&gt;1,"DUPLIKAT","OK"))))</f>
        <v/>
      </c>
    </row>
    <row r="563">
      <c r="A563" s="4" t="n"/>
      <c r="B563" s="5" t="n"/>
      <c r="C563" s="5" t="n"/>
      <c r="D563" s="5" t="n"/>
      <c r="E563" s="6">
        <f>IF(A563="","","B"&amp;TEXT(COUNT($A$2:A563),"00000"))</f>
        <v/>
      </c>
      <c r="F563" s="6">
        <f>IF(OR(C563="",D563=""),"",IFERROR(LOOKUP(2,1/(($C$1:C562=C563)*($D$1:D562=D563)*ISNUMBER($J$1:J562)),$J$1:J562),SUMIFS(Master!$G$2:$G$13,Master!$E$2:$E$13,C563,Master!$F$2:$F$13,D563)))</f>
        <v/>
      </c>
      <c r="G563" s="5" t="n"/>
      <c r="H563" s="5" t="n"/>
      <c r="I563" s="5" t="n"/>
      <c r="J563" s="6">
        <f>IF(OR(F563="",COUNT(G563:I563)&lt;3),"",F563+G563-H563-I563)</f>
        <v/>
      </c>
      <c r="K563" s="6">
        <f>IF(COUNTA(A563:D563,G563:I563)=0,"",IF(COUNTA(A563:D563,G563:I563)&lt;7,"LENGKAPI",IF(H563+I563&gt;N(F563)+G563,"ABNORMAL",IF(COUNTIFS($A$2:$A$2001,A563,$B$2:$B$2001,B563,$C$2:$C$2001,C563,$D$2:$D$2001,D563)&gt;1,"DUPLIKAT","OK"))))</f>
        <v/>
      </c>
    </row>
    <row r="564">
      <c r="A564" s="4" t="n"/>
      <c r="B564" s="5" t="n"/>
      <c r="C564" s="5" t="n"/>
      <c r="D564" s="5" t="n"/>
      <c r="E564" s="6">
        <f>IF(A564="","","B"&amp;TEXT(COUNT($A$2:A564),"00000"))</f>
        <v/>
      </c>
      <c r="F564" s="6">
        <f>IF(OR(C564="",D564=""),"",IFERROR(LOOKUP(2,1/(($C$1:C563=C564)*($D$1:D563=D564)*ISNUMBER($J$1:J563)),$J$1:J563),SUMIFS(Master!$G$2:$G$13,Master!$E$2:$E$13,C564,Master!$F$2:$F$13,D564)))</f>
        <v/>
      </c>
      <c r="G564" s="5" t="n"/>
      <c r="H564" s="5" t="n"/>
      <c r="I564" s="5" t="n"/>
      <c r="J564" s="6">
        <f>IF(OR(F564="",COUNT(G564:I564)&lt;3),"",F564+G564-H564-I564)</f>
        <v/>
      </c>
      <c r="K564" s="6">
        <f>IF(COUNTA(A564:D564,G564:I564)=0,"",IF(COUNTA(A564:D564,G564:I564)&lt;7,"LENGKAPI",IF(H564+I564&gt;N(F564)+G564,"ABNORMAL",IF(COUNTIFS($A$2:$A$2001,A564,$B$2:$B$2001,B564,$C$2:$C$2001,C564,$D$2:$D$2001,D564)&gt;1,"DUPLIKAT","OK"))))</f>
        <v/>
      </c>
    </row>
    <row r="565">
      <c r="A565" s="4" t="n"/>
      <c r="B565" s="5" t="n"/>
      <c r="C565" s="5" t="n"/>
      <c r="D565" s="5" t="n"/>
      <c r="E565" s="6">
        <f>IF(A565="","","B"&amp;TEXT(COUNT($A$2:A565),"00000"))</f>
        <v/>
      </c>
      <c r="F565" s="6">
        <f>IF(OR(C565="",D565=""),"",IFERROR(LOOKUP(2,1/(($C$1:C564=C565)*($D$1:D564=D565)*ISNUMBER($J$1:J564)),$J$1:J564),SUMIFS(Master!$G$2:$G$13,Master!$E$2:$E$13,C565,Master!$F$2:$F$13,D565)))</f>
        <v/>
      </c>
      <c r="G565" s="5" t="n"/>
      <c r="H565" s="5" t="n"/>
      <c r="I565" s="5" t="n"/>
      <c r="J565" s="6">
        <f>IF(OR(F565="",COUNT(G565:I565)&lt;3),"",F565+G565-H565-I565)</f>
        <v/>
      </c>
      <c r="K565" s="6">
        <f>IF(COUNTA(A565:D565,G565:I565)=0,"",IF(COUNTA(A565:D565,G565:I565)&lt;7,"LENGKAPI",IF(H565+I565&gt;N(F565)+G565,"ABNORMAL",IF(COUNTIFS($A$2:$A$2001,A565,$B$2:$B$2001,B565,$C$2:$C$2001,C565,$D$2:$D$2001,D565)&gt;1,"DUPLIKAT","OK"))))</f>
        <v/>
      </c>
    </row>
    <row r="566">
      <c r="A566" s="4" t="n"/>
      <c r="B566" s="5" t="n"/>
      <c r="C566" s="5" t="n"/>
      <c r="D566" s="5" t="n"/>
      <c r="E566" s="6">
        <f>IF(A566="","","B"&amp;TEXT(COUNT($A$2:A566),"00000"))</f>
        <v/>
      </c>
      <c r="F566" s="6">
        <f>IF(OR(C566="",D566=""),"",IFERROR(LOOKUP(2,1/(($C$1:C565=C566)*($D$1:D565=D566)*ISNUMBER($J$1:J565)),$J$1:J565),SUMIFS(Master!$G$2:$G$13,Master!$E$2:$E$13,C566,Master!$F$2:$F$13,D566)))</f>
        <v/>
      </c>
      <c r="G566" s="5" t="n"/>
      <c r="H566" s="5" t="n"/>
      <c r="I566" s="5" t="n"/>
      <c r="J566" s="6">
        <f>IF(OR(F566="",COUNT(G566:I566)&lt;3),"",F566+G566-H566-I566)</f>
        <v/>
      </c>
      <c r="K566" s="6">
        <f>IF(COUNTA(A566:D566,G566:I566)=0,"",IF(COUNTA(A566:D566,G566:I566)&lt;7,"LENGKAPI",IF(H566+I566&gt;N(F566)+G566,"ABNORMAL",IF(COUNTIFS($A$2:$A$2001,A566,$B$2:$B$2001,B566,$C$2:$C$2001,C566,$D$2:$D$2001,D566)&gt;1,"DUPLIKAT","OK"))))</f>
        <v/>
      </c>
    </row>
    <row r="567">
      <c r="A567" s="4" t="n"/>
      <c r="B567" s="5" t="n"/>
      <c r="C567" s="5" t="n"/>
      <c r="D567" s="5" t="n"/>
      <c r="E567" s="6">
        <f>IF(A567="","","B"&amp;TEXT(COUNT($A$2:A567),"00000"))</f>
        <v/>
      </c>
      <c r="F567" s="6">
        <f>IF(OR(C567="",D567=""),"",IFERROR(LOOKUP(2,1/(($C$1:C566=C567)*($D$1:D566=D567)*ISNUMBER($J$1:J566)),$J$1:J566),SUMIFS(Master!$G$2:$G$13,Master!$E$2:$E$13,C567,Master!$F$2:$F$13,D567)))</f>
        <v/>
      </c>
      <c r="G567" s="5" t="n"/>
      <c r="H567" s="5" t="n"/>
      <c r="I567" s="5" t="n"/>
      <c r="J567" s="6">
        <f>IF(OR(F567="",COUNT(G567:I567)&lt;3),"",F567+G567-H567-I567)</f>
        <v/>
      </c>
      <c r="K567" s="6">
        <f>IF(COUNTA(A567:D567,G567:I567)=0,"",IF(COUNTA(A567:D567,G567:I567)&lt;7,"LENGKAPI",IF(H567+I567&gt;N(F567)+G567,"ABNORMAL",IF(COUNTIFS($A$2:$A$2001,A567,$B$2:$B$2001,B567,$C$2:$C$2001,C567,$D$2:$D$2001,D567)&gt;1,"DUPLIKAT","OK"))))</f>
        <v/>
      </c>
    </row>
    <row r="568">
      <c r="A568" s="4" t="n"/>
      <c r="B568" s="5" t="n"/>
      <c r="C568" s="5" t="n"/>
      <c r="D568" s="5" t="n"/>
      <c r="E568" s="6">
        <f>IF(A568="","","B"&amp;TEXT(COUNT($A$2:A568),"00000"))</f>
        <v/>
      </c>
      <c r="F568" s="6">
        <f>IF(OR(C568="",D568=""),"",IFERROR(LOOKUP(2,1/(($C$1:C567=C568)*($D$1:D567=D568)*ISNUMBER($J$1:J567)),$J$1:J567),SUMIFS(Master!$G$2:$G$13,Master!$E$2:$E$13,C568,Master!$F$2:$F$13,D568)))</f>
        <v/>
      </c>
      <c r="G568" s="5" t="n"/>
      <c r="H568" s="5" t="n"/>
      <c r="I568" s="5" t="n"/>
      <c r="J568" s="6">
        <f>IF(OR(F568="",COUNT(G568:I568)&lt;3),"",F568+G568-H568-I568)</f>
        <v/>
      </c>
      <c r="K568" s="6">
        <f>IF(COUNTA(A568:D568,G568:I568)=0,"",IF(COUNTA(A568:D568,G568:I568)&lt;7,"LENGKAPI",IF(H568+I568&gt;N(F568)+G568,"ABNORMAL",IF(COUNTIFS($A$2:$A$2001,A568,$B$2:$B$2001,B568,$C$2:$C$2001,C568,$D$2:$D$2001,D568)&gt;1,"DUPLIKAT","OK"))))</f>
        <v/>
      </c>
    </row>
    <row r="569">
      <c r="A569" s="4" t="n"/>
      <c r="B569" s="5" t="n"/>
      <c r="C569" s="5" t="n"/>
      <c r="D569" s="5" t="n"/>
      <c r="E569" s="6">
        <f>IF(A569="","","B"&amp;TEXT(COUNT($A$2:A569),"00000"))</f>
        <v/>
      </c>
      <c r="F569" s="6">
        <f>IF(OR(C569="",D569=""),"",IFERROR(LOOKUP(2,1/(($C$1:C568=C569)*($D$1:D568=D569)*ISNUMBER($J$1:J568)),$J$1:J568),SUMIFS(Master!$G$2:$G$13,Master!$E$2:$E$13,C569,Master!$F$2:$F$13,D569)))</f>
        <v/>
      </c>
      <c r="G569" s="5" t="n"/>
      <c r="H569" s="5" t="n"/>
      <c r="I569" s="5" t="n"/>
      <c r="J569" s="6">
        <f>IF(OR(F569="",COUNT(G569:I569)&lt;3),"",F569+G569-H569-I569)</f>
        <v/>
      </c>
      <c r="K569" s="6">
        <f>IF(COUNTA(A569:D569,G569:I569)=0,"",IF(COUNTA(A569:D569,G569:I569)&lt;7,"LENGKAPI",IF(H569+I569&gt;N(F569)+G569,"ABNORMAL",IF(COUNTIFS($A$2:$A$2001,A569,$B$2:$B$2001,B569,$C$2:$C$2001,C569,$D$2:$D$2001,D569)&gt;1,"DUPLIKAT","OK"))))</f>
        <v/>
      </c>
    </row>
    <row r="570">
      <c r="A570" s="4" t="n"/>
      <c r="B570" s="5" t="n"/>
      <c r="C570" s="5" t="n"/>
      <c r="D570" s="5" t="n"/>
      <c r="E570" s="6">
        <f>IF(A570="","","B"&amp;TEXT(COUNT($A$2:A570),"00000"))</f>
        <v/>
      </c>
      <c r="F570" s="6">
        <f>IF(OR(C570="",D570=""),"",IFERROR(LOOKUP(2,1/(($C$1:C569=C570)*($D$1:D569=D570)*ISNUMBER($J$1:J569)),$J$1:J569),SUMIFS(Master!$G$2:$G$13,Master!$E$2:$E$13,C570,Master!$F$2:$F$13,D570)))</f>
        <v/>
      </c>
      <c r="G570" s="5" t="n"/>
      <c r="H570" s="5" t="n"/>
      <c r="I570" s="5" t="n"/>
      <c r="J570" s="6">
        <f>IF(OR(F570="",COUNT(G570:I570)&lt;3),"",F570+G570-H570-I570)</f>
        <v/>
      </c>
      <c r="K570" s="6">
        <f>IF(COUNTA(A570:D570,G570:I570)=0,"",IF(COUNTA(A570:D570,G570:I570)&lt;7,"LENGKAPI",IF(H570+I570&gt;N(F570)+G570,"ABNORMAL",IF(COUNTIFS($A$2:$A$2001,A570,$B$2:$B$2001,B570,$C$2:$C$2001,C570,$D$2:$D$2001,D570)&gt;1,"DUPLIKAT","OK"))))</f>
        <v/>
      </c>
    </row>
    <row r="571">
      <c r="A571" s="4" t="n"/>
      <c r="B571" s="5" t="n"/>
      <c r="C571" s="5" t="n"/>
      <c r="D571" s="5" t="n"/>
      <c r="E571" s="6">
        <f>IF(A571="","","B"&amp;TEXT(COUNT($A$2:A571),"00000"))</f>
        <v/>
      </c>
      <c r="F571" s="6">
        <f>IF(OR(C571="",D571=""),"",IFERROR(LOOKUP(2,1/(($C$1:C570=C571)*($D$1:D570=D571)*ISNUMBER($J$1:J570)),$J$1:J570),SUMIFS(Master!$G$2:$G$13,Master!$E$2:$E$13,C571,Master!$F$2:$F$13,D571)))</f>
        <v/>
      </c>
      <c r="G571" s="5" t="n"/>
      <c r="H571" s="5" t="n"/>
      <c r="I571" s="5" t="n"/>
      <c r="J571" s="6">
        <f>IF(OR(F571="",COUNT(G571:I571)&lt;3),"",F571+G571-H571-I571)</f>
        <v/>
      </c>
      <c r="K571" s="6">
        <f>IF(COUNTA(A571:D571,G571:I571)=0,"",IF(COUNTA(A571:D571,G571:I571)&lt;7,"LENGKAPI",IF(H571+I571&gt;N(F571)+G571,"ABNORMAL",IF(COUNTIFS($A$2:$A$2001,A571,$B$2:$B$2001,B571,$C$2:$C$2001,C571,$D$2:$D$2001,D571)&gt;1,"DUPLIKAT","OK"))))</f>
        <v/>
      </c>
    </row>
    <row r="572">
      <c r="A572" s="4" t="n"/>
      <c r="B572" s="5" t="n"/>
      <c r="C572" s="5" t="n"/>
      <c r="D572" s="5" t="n"/>
      <c r="E572" s="6">
        <f>IF(A572="","","B"&amp;TEXT(COUNT($A$2:A572),"00000"))</f>
        <v/>
      </c>
      <c r="F572" s="6">
        <f>IF(OR(C572="",D572=""),"",IFERROR(LOOKUP(2,1/(($C$1:C571=C572)*($D$1:D571=D572)*ISNUMBER($J$1:J571)),$J$1:J571),SUMIFS(Master!$G$2:$G$13,Master!$E$2:$E$13,C572,Master!$F$2:$F$13,D572)))</f>
        <v/>
      </c>
      <c r="G572" s="5" t="n"/>
      <c r="H572" s="5" t="n"/>
      <c r="I572" s="5" t="n"/>
      <c r="J572" s="6">
        <f>IF(OR(F572="",COUNT(G572:I572)&lt;3),"",F572+G572-H572-I572)</f>
        <v/>
      </c>
      <c r="K572" s="6">
        <f>IF(COUNTA(A572:D572,G572:I572)=0,"",IF(COUNTA(A572:D572,G572:I572)&lt;7,"LENGKAPI",IF(H572+I572&gt;N(F572)+G572,"ABNORMAL",IF(COUNTIFS($A$2:$A$2001,A572,$B$2:$B$2001,B572,$C$2:$C$2001,C572,$D$2:$D$2001,D572)&gt;1,"DUPLIKAT","OK"))))</f>
        <v/>
      </c>
    </row>
    <row r="573">
      <c r="A573" s="4" t="n"/>
      <c r="B573" s="5" t="n"/>
      <c r="C573" s="5" t="n"/>
      <c r="D573" s="5" t="n"/>
      <c r="E573" s="6">
        <f>IF(A573="","","B"&amp;TEXT(COUNT($A$2:A573),"00000"))</f>
        <v/>
      </c>
      <c r="F573" s="6">
        <f>IF(OR(C573="",D573=""),"",IFERROR(LOOKUP(2,1/(($C$1:C572=C573)*($D$1:D572=D573)*ISNUMBER($J$1:J572)),$J$1:J572),SUMIFS(Master!$G$2:$G$13,Master!$E$2:$E$13,C573,Master!$F$2:$F$13,D573)))</f>
        <v/>
      </c>
      <c r="G573" s="5" t="n"/>
      <c r="H573" s="5" t="n"/>
      <c r="I573" s="5" t="n"/>
      <c r="J573" s="6">
        <f>IF(OR(F573="",COUNT(G573:I573)&lt;3),"",F573+G573-H573-I573)</f>
        <v/>
      </c>
      <c r="K573" s="6">
        <f>IF(COUNTA(A573:D573,G573:I573)=0,"",IF(COUNTA(A573:D573,G573:I573)&lt;7,"LENGKAPI",IF(H573+I573&gt;N(F573)+G573,"ABNORMAL",IF(COUNTIFS($A$2:$A$2001,A573,$B$2:$B$2001,B573,$C$2:$C$2001,C573,$D$2:$D$2001,D573)&gt;1,"DUPLIKAT","OK"))))</f>
        <v/>
      </c>
    </row>
    <row r="574">
      <c r="A574" s="4" t="n"/>
      <c r="B574" s="5" t="n"/>
      <c r="C574" s="5" t="n"/>
      <c r="D574" s="5" t="n"/>
      <c r="E574" s="6">
        <f>IF(A574="","","B"&amp;TEXT(COUNT($A$2:A574),"00000"))</f>
        <v/>
      </c>
      <c r="F574" s="6">
        <f>IF(OR(C574="",D574=""),"",IFERROR(LOOKUP(2,1/(($C$1:C573=C574)*($D$1:D573=D574)*ISNUMBER($J$1:J573)),$J$1:J573),SUMIFS(Master!$G$2:$G$13,Master!$E$2:$E$13,C574,Master!$F$2:$F$13,D574)))</f>
        <v/>
      </c>
      <c r="G574" s="5" t="n"/>
      <c r="H574" s="5" t="n"/>
      <c r="I574" s="5" t="n"/>
      <c r="J574" s="6">
        <f>IF(OR(F574="",COUNT(G574:I574)&lt;3),"",F574+G574-H574-I574)</f>
        <v/>
      </c>
      <c r="K574" s="6">
        <f>IF(COUNTA(A574:D574,G574:I574)=0,"",IF(COUNTA(A574:D574,G574:I574)&lt;7,"LENGKAPI",IF(H574+I574&gt;N(F574)+G574,"ABNORMAL",IF(COUNTIFS($A$2:$A$2001,A574,$B$2:$B$2001,B574,$C$2:$C$2001,C574,$D$2:$D$2001,D574)&gt;1,"DUPLIKAT","OK"))))</f>
        <v/>
      </c>
    </row>
    <row r="575">
      <c r="A575" s="4" t="n"/>
      <c r="B575" s="5" t="n"/>
      <c r="C575" s="5" t="n"/>
      <c r="D575" s="5" t="n"/>
      <c r="E575" s="6">
        <f>IF(A575="","","B"&amp;TEXT(COUNT($A$2:A575),"00000"))</f>
        <v/>
      </c>
      <c r="F575" s="6">
        <f>IF(OR(C575="",D575=""),"",IFERROR(LOOKUP(2,1/(($C$1:C574=C575)*($D$1:D574=D575)*ISNUMBER($J$1:J574)),$J$1:J574),SUMIFS(Master!$G$2:$G$13,Master!$E$2:$E$13,C575,Master!$F$2:$F$13,D575)))</f>
        <v/>
      </c>
      <c r="G575" s="5" t="n"/>
      <c r="H575" s="5" t="n"/>
      <c r="I575" s="5" t="n"/>
      <c r="J575" s="6">
        <f>IF(OR(F575="",COUNT(G575:I575)&lt;3),"",F575+G575-H575-I575)</f>
        <v/>
      </c>
      <c r="K575" s="6">
        <f>IF(COUNTA(A575:D575,G575:I575)=0,"",IF(COUNTA(A575:D575,G575:I575)&lt;7,"LENGKAPI",IF(H575+I575&gt;N(F575)+G575,"ABNORMAL",IF(COUNTIFS($A$2:$A$2001,A575,$B$2:$B$2001,B575,$C$2:$C$2001,C575,$D$2:$D$2001,D575)&gt;1,"DUPLIKAT","OK"))))</f>
        <v/>
      </c>
    </row>
    <row r="576">
      <c r="A576" s="4" t="n"/>
      <c r="B576" s="5" t="n"/>
      <c r="C576" s="5" t="n"/>
      <c r="D576" s="5" t="n"/>
      <c r="E576" s="6">
        <f>IF(A576="","","B"&amp;TEXT(COUNT($A$2:A576),"00000"))</f>
        <v/>
      </c>
      <c r="F576" s="6">
        <f>IF(OR(C576="",D576=""),"",IFERROR(LOOKUP(2,1/(($C$1:C575=C576)*($D$1:D575=D576)*ISNUMBER($J$1:J575)),$J$1:J575),SUMIFS(Master!$G$2:$G$13,Master!$E$2:$E$13,C576,Master!$F$2:$F$13,D576)))</f>
        <v/>
      </c>
      <c r="G576" s="5" t="n"/>
      <c r="H576" s="5" t="n"/>
      <c r="I576" s="5" t="n"/>
      <c r="J576" s="6">
        <f>IF(OR(F576="",COUNT(G576:I576)&lt;3),"",F576+G576-H576-I576)</f>
        <v/>
      </c>
      <c r="K576" s="6">
        <f>IF(COUNTA(A576:D576,G576:I576)=0,"",IF(COUNTA(A576:D576,G576:I576)&lt;7,"LENGKAPI",IF(H576+I576&gt;N(F576)+G576,"ABNORMAL",IF(COUNTIFS($A$2:$A$2001,A576,$B$2:$B$2001,B576,$C$2:$C$2001,C576,$D$2:$D$2001,D576)&gt;1,"DUPLIKAT","OK"))))</f>
        <v/>
      </c>
    </row>
    <row r="577">
      <c r="A577" s="4" t="n"/>
      <c r="B577" s="5" t="n"/>
      <c r="C577" s="5" t="n"/>
      <c r="D577" s="5" t="n"/>
      <c r="E577" s="6">
        <f>IF(A577="","","B"&amp;TEXT(COUNT($A$2:A577),"00000"))</f>
        <v/>
      </c>
      <c r="F577" s="6">
        <f>IF(OR(C577="",D577=""),"",IFERROR(LOOKUP(2,1/(($C$1:C576=C577)*($D$1:D576=D577)*ISNUMBER($J$1:J576)),$J$1:J576),SUMIFS(Master!$G$2:$G$13,Master!$E$2:$E$13,C577,Master!$F$2:$F$13,D577)))</f>
        <v/>
      </c>
      <c r="G577" s="5" t="n"/>
      <c r="H577" s="5" t="n"/>
      <c r="I577" s="5" t="n"/>
      <c r="J577" s="6">
        <f>IF(OR(F577="",COUNT(G577:I577)&lt;3),"",F577+G577-H577-I577)</f>
        <v/>
      </c>
      <c r="K577" s="6">
        <f>IF(COUNTA(A577:D577,G577:I577)=0,"",IF(COUNTA(A577:D577,G577:I577)&lt;7,"LENGKAPI",IF(H577+I577&gt;N(F577)+G577,"ABNORMAL",IF(COUNTIFS($A$2:$A$2001,A577,$B$2:$B$2001,B577,$C$2:$C$2001,C577,$D$2:$D$2001,D577)&gt;1,"DUPLIKAT","OK"))))</f>
        <v/>
      </c>
    </row>
    <row r="578">
      <c r="A578" s="4" t="n"/>
      <c r="B578" s="5" t="n"/>
      <c r="C578" s="5" t="n"/>
      <c r="D578" s="5" t="n"/>
      <c r="E578" s="6">
        <f>IF(A578="","","B"&amp;TEXT(COUNT($A$2:A578),"00000"))</f>
        <v/>
      </c>
      <c r="F578" s="6">
        <f>IF(OR(C578="",D578=""),"",IFERROR(LOOKUP(2,1/(($C$1:C577=C578)*($D$1:D577=D578)*ISNUMBER($J$1:J577)),$J$1:J577),SUMIFS(Master!$G$2:$G$13,Master!$E$2:$E$13,C578,Master!$F$2:$F$13,D578)))</f>
        <v/>
      </c>
      <c r="G578" s="5" t="n"/>
      <c r="H578" s="5" t="n"/>
      <c r="I578" s="5" t="n"/>
      <c r="J578" s="6">
        <f>IF(OR(F578="",COUNT(G578:I578)&lt;3),"",F578+G578-H578-I578)</f>
        <v/>
      </c>
      <c r="K578" s="6">
        <f>IF(COUNTA(A578:D578,G578:I578)=0,"",IF(COUNTA(A578:D578,G578:I578)&lt;7,"LENGKAPI",IF(H578+I578&gt;N(F578)+G578,"ABNORMAL",IF(COUNTIFS($A$2:$A$2001,A578,$B$2:$B$2001,B578,$C$2:$C$2001,C578,$D$2:$D$2001,D578)&gt;1,"DUPLIKAT","OK"))))</f>
        <v/>
      </c>
    </row>
    <row r="579">
      <c r="A579" s="4" t="n"/>
      <c r="B579" s="5" t="n"/>
      <c r="C579" s="5" t="n"/>
      <c r="D579" s="5" t="n"/>
      <c r="E579" s="6">
        <f>IF(A579="","","B"&amp;TEXT(COUNT($A$2:A579),"00000"))</f>
        <v/>
      </c>
      <c r="F579" s="6">
        <f>IF(OR(C579="",D579=""),"",IFERROR(LOOKUP(2,1/(($C$1:C578=C579)*($D$1:D578=D579)*ISNUMBER($J$1:J578)),$J$1:J578),SUMIFS(Master!$G$2:$G$13,Master!$E$2:$E$13,C579,Master!$F$2:$F$13,D579)))</f>
        <v/>
      </c>
      <c r="G579" s="5" t="n"/>
      <c r="H579" s="5" t="n"/>
      <c r="I579" s="5" t="n"/>
      <c r="J579" s="6">
        <f>IF(OR(F579="",COUNT(G579:I579)&lt;3),"",F579+G579-H579-I579)</f>
        <v/>
      </c>
      <c r="K579" s="6">
        <f>IF(COUNTA(A579:D579,G579:I579)=0,"",IF(COUNTA(A579:D579,G579:I579)&lt;7,"LENGKAPI",IF(H579+I579&gt;N(F579)+G579,"ABNORMAL",IF(COUNTIFS($A$2:$A$2001,A579,$B$2:$B$2001,B579,$C$2:$C$2001,C579,$D$2:$D$2001,D579)&gt;1,"DUPLIKAT","OK"))))</f>
        <v/>
      </c>
    </row>
    <row r="580">
      <c r="A580" s="4" t="n"/>
      <c r="B580" s="5" t="n"/>
      <c r="C580" s="5" t="n"/>
      <c r="D580" s="5" t="n"/>
      <c r="E580" s="6">
        <f>IF(A580="","","B"&amp;TEXT(COUNT($A$2:A580),"00000"))</f>
        <v/>
      </c>
      <c r="F580" s="6">
        <f>IF(OR(C580="",D580=""),"",IFERROR(LOOKUP(2,1/(($C$1:C579=C580)*($D$1:D579=D580)*ISNUMBER($J$1:J579)),$J$1:J579),SUMIFS(Master!$G$2:$G$13,Master!$E$2:$E$13,C580,Master!$F$2:$F$13,D580)))</f>
        <v/>
      </c>
      <c r="G580" s="5" t="n"/>
      <c r="H580" s="5" t="n"/>
      <c r="I580" s="5" t="n"/>
      <c r="J580" s="6">
        <f>IF(OR(F580="",COUNT(G580:I580)&lt;3),"",F580+G580-H580-I580)</f>
        <v/>
      </c>
      <c r="K580" s="6">
        <f>IF(COUNTA(A580:D580,G580:I580)=0,"",IF(COUNTA(A580:D580,G580:I580)&lt;7,"LENGKAPI",IF(H580+I580&gt;N(F580)+G580,"ABNORMAL",IF(COUNTIFS($A$2:$A$2001,A580,$B$2:$B$2001,B580,$C$2:$C$2001,C580,$D$2:$D$2001,D580)&gt;1,"DUPLIKAT","OK"))))</f>
        <v/>
      </c>
    </row>
    <row r="581">
      <c r="A581" s="4" t="n"/>
      <c r="B581" s="5" t="n"/>
      <c r="C581" s="5" t="n"/>
      <c r="D581" s="5" t="n"/>
      <c r="E581" s="6">
        <f>IF(A581="","","B"&amp;TEXT(COUNT($A$2:A581),"00000"))</f>
        <v/>
      </c>
      <c r="F581" s="6">
        <f>IF(OR(C581="",D581=""),"",IFERROR(LOOKUP(2,1/(($C$1:C580=C581)*($D$1:D580=D581)*ISNUMBER($J$1:J580)),$J$1:J580),SUMIFS(Master!$G$2:$G$13,Master!$E$2:$E$13,C581,Master!$F$2:$F$13,D581)))</f>
        <v/>
      </c>
      <c r="G581" s="5" t="n"/>
      <c r="H581" s="5" t="n"/>
      <c r="I581" s="5" t="n"/>
      <c r="J581" s="6">
        <f>IF(OR(F581="",COUNT(G581:I581)&lt;3),"",F581+G581-H581-I581)</f>
        <v/>
      </c>
      <c r="K581" s="6">
        <f>IF(COUNTA(A581:D581,G581:I581)=0,"",IF(COUNTA(A581:D581,G581:I581)&lt;7,"LENGKAPI",IF(H581+I581&gt;N(F581)+G581,"ABNORMAL",IF(COUNTIFS($A$2:$A$2001,A581,$B$2:$B$2001,B581,$C$2:$C$2001,C581,$D$2:$D$2001,D581)&gt;1,"DUPLIKAT","OK"))))</f>
        <v/>
      </c>
    </row>
    <row r="582">
      <c r="A582" s="4" t="n"/>
      <c r="B582" s="5" t="n"/>
      <c r="C582" s="5" t="n"/>
      <c r="D582" s="5" t="n"/>
      <c r="E582" s="6">
        <f>IF(A582="","","B"&amp;TEXT(COUNT($A$2:A582),"00000"))</f>
        <v/>
      </c>
      <c r="F582" s="6">
        <f>IF(OR(C582="",D582=""),"",IFERROR(LOOKUP(2,1/(($C$1:C581=C582)*($D$1:D581=D582)*ISNUMBER($J$1:J581)),$J$1:J581),SUMIFS(Master!$G$2:$G$13,Master!$E$2:$E$13,C582,Master!$F$2:$F$13,D582)))</f>
        <v/>
      </c>
      <c r="G582" s="5" t="n"/>
      <c r="H582" s="5" t="n"/>
      <c r="I582" s="5" t="n"/>
      <c r="J582" s="6">
        <f>IF(OR(F582="",COUNT(G582:I582)&lt;3),"",F582+G582-H582-I582)</f>
        <v/>
      </c>
      <c r="K582" s="6">
        <f>IF(COUNTA(A582:D582,G582:I582)=0,"",IF(COUNTA(A582:D582,G582:I582)&lt;7,"LENGKAPI",IF(H582+I582&gt;N(F582)+G582,"ABNORMAL",IF(COUNTIFS($A$2:$A$2001,A582,$B$2:$B$2001,B582,$C$2:$C$2001,C582,$D$2:$D$2001,D582)&gt;1,"DUPLIKAT","OK"))))</f>
        <v/>
      </c>
    </row>
    <row r="583">
      <c r="A583" s="4" t="n"/>
      <c r="B583" s="5" t="n"/>
      <c r="C583" s="5" t="n"/>
      <c r="D583" s="5" t="n"/>
      <c r="E583" s="6">
        <f>IF(A583="","","B"&amp;TEXT(COUNT($A$2:A583),"00000"))</f>
        <v/>
      </c>
      <c r="F583" s="6">
        <f>IF(OR(C583="",D583=""),"",IFERROR(LOOKUP(2,1/(($C$1:C582=C583)*($D$1:D582=D583)*ISNUMBER($J$1:J582)),$J$1:J582),SUMIFS(Master!$G$2:$G$13,Master!$E$2:$E$13,C583,Master!$F$2:$F$13,D583)))</f>
        <v/>
      </c>
      <c r="G583" s="5" t="n"/>
      <c r="H583" s="5" t="n"/>
      <c r="I583" s="5" t="n"/>
      <c r="J583" s="6">
        <f>IF(OR(F583="",COUNT(G583:I583)&lt;3),"",F583+G583-H583-I583)</f>
        <v/>
      </c>
      <c r="K583" s="6">
        <f>IF(COUNTA(A583:D583,G583:I583)=0,"",IF(COUNTA(A583:D583,G583:I583)&lt;7,"LENGKAPI",IF(H583+I583&gt;N(F583)+G583,"ABNORMAL",IF(COUNTIFS($A$2:$A$2001,A583,$B$2:$B$2001,B583,$C$2:$C$2001,C583,$D$2:$D$2001,D583)&gt;1,"DUPLIKAT","OK"))))</f>
        <v/>
      </c>
    </row>
    <row r="584">
      <c r="A584" s="4" t="n"/>
      <c r="B584" s="5" t="n"/>
      <c r="C584" s="5" t="n"/>
      <c r="D584" s="5" t="n"/>
      <c r="E584" s="6">
        <f>IF(A584="","","B"&amp;TEXT(COUNT($A$2:A584),"00000"))</f>
        <v/>
      </c>
      <c r="F584" s="6">
        <f>IF(OR(C584="",D584=""),"",IFERROR(LOOKUP(2,1/(($C$1:C583=C584)*($D$1:D583=D584)*ISNUMBER($J$1:J583)),$J$1:J583),SUMIFS(Master!$G$2:$G$13,Master!$E$2:$E$13,C584,Master!$F$2:$F$13,D584)))</f>
        <v/>
      </c>
      <c r="G584" s="5" t="n"/>
      <c r="H584" s="5" t="n"/>
      <c r="I584" s="5" t="n"/>
      <c r="J584" s="6">
        <f>IF(OR(F584="",COUNT(G584:I584)&lt;3),"",F584+G584-H584-I584)</f>
        <v/>
      </c>
      <c r="K584" s="6">
        <f>IF(COUNTA(A584:D584,G584:I584)=0,"",IF(COUNTA(A584:D584,G584:I584)&lt;7,"LENGKAPI",IF(H584+I584&gt;N(F584)+G584,"ABNORMAL",IF(COUNTIFS($A$2:$A$2001,A584,$B$2:$B$2001,B584,$C$2:$C$2001,C584,$D$2:$D$2001,D584)&gt;1,"DUPLIKAT","OK"))))</f>
        <v/>
      </c>
    </row>
    <row r="585">
      <c r="A585" s="4" t="n"/>
      <c r="B585" s="5" t="n"/>
      <c r="C585" s="5" t="n"/>
      <c r="D585" s="5" t="n"/>
      <c r="E585" s="6">
        <f>IF(A585="","","B"&amp;TEXT(COUNT($A$2:A585),"00000"))</f>
        <v/>
      </c>
      <c r="F585" s="6">
        <f>IF(OR(C585="",D585=""),"",IFERROR(LOOKUP(2,1/(($C$1:C584=C585)*($D$1:D584=D585)*ISNUMBER($J$1:J584)),$J$1:J584),SUMIFS(Master!$G$2:$G$13,Master!$E$2:$E$13,C585,Master!$F$2:$F$13,D585)))</f>
        <v/>
      </c>
      <c r="G585" s="5" t="n"/>
      <c r="H585" s="5" t="n"/>
      <c r="I585" s="5" t="n"/>
      <c r="J585" s="6">
        <f>IF(OR(F585="",COUNT(G585:I585)&lt;3),"",F585+G585-H585-I585)</f>
        <v/>
      </c>
      <c r="K585" s="6">
        <f>IF(COUNTA(A585:D585,G585:I585)=0,"",IF(COUNTA(A585:D585,G585:I585)&lt;7,"LENGKAPI",IF(H585+I585&gt;N(F585)+G585,"ABNORMAL",IF(COUNTIFS($A$2:$A$2001,A585,$B$2:$B$2001,B585,$C$2:$C$2001,C585,$D$2:$D$2001,D585)&gt;1,"DUPLIKAT","OK"))))</f>
        <v/>
      </c>
    </row>
    <row r="586">
      <c r="A586" s="4" t="n"/>
      <c r="B586" s="5" t="n"/>
      <c r="C586" s="5" t="n"/>
      <c r="D586" s="5" t="n"/>
      <c r="E586" s="6">
        <f>IF(A586="","","B"&amp;TEXT(COUNT($A$2:A586),"00000"))</f>
        <v/>
      </c>
      <c r="F586" s="6">
        <f>IF(OR(C586="",D586=""),"",IFERROR(LOOKUP(2,1/(($C$1:C585=C586)*($D$1:D585=D586)*ISNUMBER($J$1:J585)),$J$1:J585),SUMIFS(Master!$G$2:$G$13,Master!$E$2:$E$13,C586,Master!$F$2:$F$13,D586)))</f>
        <v/>
      </c>
      <c r="G586" s="5" t="n"/>
      <c r="H586" s="5" t="n"/>
      <c r="I586" s="5" t="n"/>
      <c r="J586" s="6">
        <f>IF(OR(F586="",COUNT(G586:I586)&lt;3),"",F586+G586-H586-I586)</f>
        <v/>
      </c>
      <c r="K586" s="6">
        <f>IF(COUNTA(A586:D586,G586:I586)=0,"",IF(COUNTA(A586:D586,G586:I586)&lt;7,"LENGKAPI",IF(H586+I586&gt;N(F586)+G586,"ABNORMAL",IF(COUNTIFS($A$2:$A$2001,A586,$B$2:$B$2001,B586,$C$2:$C$2001,C586,$D$2:$D$2001,D586)&gt;1,"DUPLIKAT","OK"))))</f>
        <v/>
      </c>
    </row>
    <row r="587">
      <c r="A587" s="4" t="n"/>
      <c r="B587" s="5" t="n"/>
      <c r="C587" s="5" t="n"/>
      <c r="D587" s="5" t="n"/>
      <c r="E587" s="6">
        <f>IF(A587="","","B"&amp;TEXT(COUNT($A$2:A587),"00000"))</f>
        <v/>
      </c>
      <c r="F587" s="6">
        <f>IF(OR(C587="",D587=""),"",IFERROR(LOOKUP(2,1/(($C$1:C586=C587)*($D$1:D586=D587)*ISNUMBER($J$1:J586)),$J$1:J586),SUMIFS(Master!$G$2:$G$13,Master!$E$2:$E$13,C587,Master!$F$2:$F$13,D587)))</f>
        <v/>
      </c>
      <c r="G587" s="5" t="n"/>
      <c r="H587" s="5" t="n"/>
      <c r="I587" s="5" t="n"/>
      <c r="J587" s="6">
        <f>IF(OR(F587="",COUNT(G587:I587)&lt;3),"",F587+G587-H587-I587)</f>
        <v/>
      </c>
      <c r="K587" s="6">
        <f>IF(COUNTA(A587:D587,G587:I587)=0,"",IF(COUNTA(A587:D587,G587:I587)&lt;7,"LENGKAPI",IF(H587+I587&gt;N(F587)+G587,"ABNORMAL",IF(COUNTIFS($A$2:$A$2001,A587,$B$2:$B$2001,B587,$C$2:$C$2001,C587,$D$2:$D$2001,D587)&gt;1,"DUPLIKAT","OK"))))</f>
        <v/>
      </c>
    </row>
    <row r="588">
      <c r="A588" s="4" t="n"/>
      <c r="B588" s="5" t="n"/>
      <c r="C588" s="5" t="n"/>
      <c r="D588" s="5" t="n"/>
      <c r="E588" s="6">
        <f>IF(A588="","","B"&amp;TEXT(COUNT($A$2:A588),"00000"))</f>
        <v/>
      </c>
      <c r="F588" s="6">
        <f>IF(OR(C588="",D588=""),"",IFERROR(LOOKUP(2,1/(($C$1:C587=C588)*($D$1:D587=D588)*ISNUMBER($J$1:J587)),$J$1:J587),SUMIFS(Master!$G$2:$G$13,Master!$E$2:$E$13,C588,Master!$F$2:$F$13,D588)))</f>
        <v/>
      </c>
      <c r="G588" s="5" t="n"/>
      <c r="H588" s="5" t="n"/>
      <c r="I588" s="5" t="n"/>
      <c r="J588" s="6">
        <f>IF(OR(F588="",COUNT(G588:I588)&lt;3),"",F588+G588-H588-I588)</f>
        <v/>
      </c>
      <c r="K588" s="6">
        <f>IF(COUNTA(A588:D588,G588:I588)=0,"",IF(COUNTA(A588:D588,G588:I588)&lt;7,"LENGKAPI",IF(H588+I588&gt;N(F588)+G588,"ABNORMAL",IF(COUNTIFS($A$2:$A$2001,A588,$B$2:$B$2001,B588,$C$2:$C$2001,C588,$D$2:$D$2001,D588)&gt;1,"DUPLIKAT","OK"))))</f>
        <v/>
      </c>
    </row>
    <row r="589">
      <c r="A589" s="4" t="n"/>
      <c r="B589" s="5" t="n"/>
      <c r="C589" s="5" t="n"/>
      <c r="D589" s="5" t="n"/>
      <c r="E589" s="6">
        <f>IF(A589="","","B"&amp;TEXT(COUNT($A$2:A589),"00000"))</f>
        <v/>
      </c>
      <c r="F589" s="6">
        <f>IF(OR(C589="",D589=""),"",IFERROR(LOOKUP(2,1/(($C$1:C588=C589)*($D$1:D588=D589)*ISNUMBER($J$1:J588)),$J$1:J588),SUMIFS(Master!$G$2:$G$13,Master!$E$2:$E$13,C589,Master!$F$2:$F$13,D589)))</f>
        <v/>
      </c>
      <c r="G589" s="5" t="n"/>
      <c r="H589" s="5" t="n"/>
      <c r="I589" s="5" t="n"/>
      <c r="J589" s="6">
        <f>IF(OR(F589="",COUNT(G589:I589)&lt;3),"",F589+G589-H589-I589)</f>
        <v/>
      </c>
      <c r="K589" s="6">
        <f>IF(COUNTA(A589:D589,G589:I589)=0,"",IF(COUNTA(A589:D589,G589:I589)&lt;7,"LENGKAPI",IF(H589+I589&gt;N(F589)+G589,"ABNORMAL",IF(COUNTIFS($A$2:$A$2001,A589,$B$2:$B$2001,B589,$C$2:$C$2001,C589,$D$2:$D$2001,D589)&gt;1,"DUPLIKAT","OK"))))</f>
        <v/>
      </c>
    </row>
    <row r="590">
      <c r="A590" s="4" t="n"/>
      <c r="B590" s="5" t="n"/>
      <c r="C590" s="5" t="n"/>
      <c r="D590" s="5" t="n"/>
      <c r="E590" s="6">
        <f>IF(A590="","","B"&amp;TEXT(COUNT($A$2:A590),"00000"))</f>
        <v/>
      </c>
      <c r="F590" s="6">
        <f>IF(OR(C590="",D590=""),"",IFERROR(LOOKUP(2,1/(($C$1:C589=C590)*($D$1:D589=D590)*ISNUMBER($J$1:J589)),$J$1:J589),SUMIFS(Master!$G$2:$G$13,Master!$E$2:$E$13,C590,Master!$F$2:$F$13,D590)))</f>
        <v/>
      </c>
      <c r="G590" s="5" t="n"/>
      <c r="H590" s="5" t="n"/>
      <c r="I590" s="5" t="n"/>
      <c r="J590" s="6">
        <f>IF(OR(F590="",COUNT(G590:I590)&lt;3),"",F590+G590-H590-I590)</f>
        <v/>
      </c>
      <c r="K590" s="6">
        <f>IF(COUNTA(A590:D590,G590:I590)=0,"",IF(COUNTA(A590:D590,G590:I590)&lt;7,"LENGKAPI",IF(H590+I590&gt;N(F590)+G590,"ABNORMAL",IF(COUNTIFS($A$2:$A$2001,A590,$B$2:$B$2001,B590,$C$2:$C$2001,C590,$D$2:$D$2001,D590)&gt;1,"DUPLIKAT","OK"))))</f>
        <v/>
      </c>
    </row>
    <row r="591">
      <c r="A591" s="4" t="n"/>
      <c r="B591" s="5" t="n"/>
      <c r="C591" s="5" t="n"/>
      <c r="D591" s="5" t="n"/>
      <c r="E591" s="6">
        <f>IF(A591="","","B"&amp;TEXT(COUNT($A$2:A591),"00000"))</f>
        <v/>
      </c>
      <c r="F591" s="6">
        <f>IF(OR(C591="",D591=""),"",IFERROR(LOOKUP(2,1/(($C$1:C590=C591)*($D$1:D590=D591)*ISNUMBER($J$1:J590)),$J$1:J590),SUMIFS(Master!$G$2:$G$13,Master!$E$2:$E$13,C591,Master!$F$2:$F$13,D591)))</f>
        <v/>
      </c>
      <c r="G591" s="5" t="n"/>
      <c r="H591" s="5" t="n"/>
      <c r="I591" s="5" t="n"/>
      <c r="J591" s="6">
        <f>IF(OR(F591="",COUNT(G591:I591)&lt;3),"",F591+G591-H591-I591)</f>
        <v/>
      </c>
      <c r="K591" s="6">
        <f>IF(COUNTA(A591:D591,G591:I591)=0,"",IF(COUNTA(A591:D591,G591:I591)&lt;7,"LENGKAPI",IF(H591+I591&gt;N(F591)+G591,"ABNORMAL",IF(COUNTIFS($A$2:$A$2001,A591,$B$2:$B$2001,B591,$C$2:$C$2001,C591,$D$2:$D$2001,D591)&gt;1,"DUPLIKAT","OK"))))</f>
        <v/>
      </c>
    </row>
    <row r="592">
      <c r="A592" s="4" t="n"/>
      <c r="B592" s="5" t="n"/>
      <c r="C592" s="5" t="n"/>
      <c r="D592" s="5" t="n"/>
      <c r="E592" s="6">
        <f>IF(A592="","","B"&amp;TEXT(COUNT($A$2:A592),"00000"))</f>
        <v/>
      </c>
      <c r="F592" s="6">
        <f>IF(OR(C592="",D592=""),"",IFERROR(LOOKUP(2,1/(($C$1:C591=C592)*($D$1:D591=D592)*ISNUMBER($J$1:J591)),$J$1:J591),SUMIFS(Master!$G$2:$G$13,Master!$E$2:$E$13,C592,Master!$F$2:$F$13,D592)))</f>
        <v/>
      </c>
      <c r="G592" s="5" t="n"/>
      <c r="H592" s="5" t="n"/>
      <c r="I592" s="5" t="n"/>
      <c r="J592" s="6">
        <f>IF(OR(F592="",COUNT(G592:I592)&lt;3),"",F592+G592-H592-I592)</f>
        <v/>
      </c>
      <c r="K592" s="6">
        <f>IF(COUNTA(A592:D592,G592:I592)=0,"",IF(COUNTA(A592:D592,G592:I592)&lt;7,"LENGKAPI",IF(H592+I592&gt;N(F592)+G592,"ABNORMAL",IF(COUNTIFS($A$2:$A$2001,A592,$B$2:$B$2001,B592,$C$2:$C$2001,C592,$D$2:$D$2001,D592)&gt;1,"DUPLIKAT","OK"))))</f>
        <v/>
      </c>
    </row>
    <row r="593">
      <c r="A593" s="4" t="n"/>
      <c r="B593" s="5" t="n"/>
      <c r="C593" s="5" t="n"/>
      <c r="D593" s="5" t="n"/>
      <c r="E593" s="6">
        <f>IF(A593="","","B"&amp;TEXT(COUNT($A$2:A593),"00000"))</f>
        <v/>
      </c>
      <c r="F593" s="6">
        <f>IF(OR(C593="",D593=""),"",IFERROR(LOOKUP(2,1/(($C$1:C592=C593)*($D$1:D592=D593)*ISNUMBER($J$1:J592)),$J$1:J592),SUMIFS(Master!$G$2:$G$13,Master!$E$2:$E$13,C593,Master!$F$2:$F$13,D593)))</f>
        <v/>
      </c>
      <c r="G593" s="5" t="n"/>
      <c r="H593" s="5" t="n"/>
      <c r="I593" s="5" t="n"/>
      <c r="J593" s="6">
        <f>IF(OR(F593="",COUNT(G593:I593)&lt;3),"",F593+G593-H593-I593)</f>
        <v/>
      </c>
      <c r="K593" s="6">
        <f>IF(COUNTA(A593:D593,G593:I593)=0,"",IF(COUNTA(A593:D593,G593:I593)&lt;7,"LENGKAPI",IF(H593+I593&gt;N(F593)+G593,"ABNORMAL",IF(COUNTIFS($A$2:$A$2001,A593,$B$2:$B$2001,B593,$C$2:$C$2001,C593,$D$2:$D$2001,D593)&gt;1,"DUPLIKAT","OK"))))</f>
        <v/>
      </c>
    </row>
    <row r="594">
      <c r="A594" s="4" t="n"/>
      <c r="B594" s="5" t="n"/>
      <c r="C594" s="5" t="n"/>
      <c r="D594" s="5" t="n"/>
      <c r="E594" s="6">
        <f>IF(A594="","","B"&amp;TEXT(COUNT($A$2:A594),"00000"))</f>
        <v/>
      </c>
      <c r="F594" s="6">
        <f>IF(OR(C594="",D594=""),"",IFERROR(LOOKUP(2,1/(($C$1:C593=C594)*($D$1:D593=D594)*ISNUMBER($J$1:J593)),$J$1:J593),SUMIFS(Master!$G$2:$G$13,Master!$E$2:$E$13,C594,Master!$F$2:$F$13,D594)))</f>
        <v/>
      </c>
      <c r="G594" s="5" t="n"/>
      <c r="H594" s="5" t="n"/>
      <c r="I594" s="5" t="n"/>
      <c r="J594" s="6">
        <f>IF(OR(F594="",COUNT(G594:I594)&lt;3),"",F594+G594-H594-I594)</f>
        <v/>
      </c>
      <c r="K594" s="6">
        <f>IF(COUNTA(A594:D594,G594:I594)=0,"",IF(COUNTA(A594:D594,G594:I594)&lt;7,"LENGKAPI",IF(H594+I594&gt;N(F594)+G594,"ABNORMAL",IF(COUNTIFS($A$2:$A$2001,A594,$B$2:$B$2001,B594,$C$2:$C$2001,C594,$D$2:$D$2001,D594)&gt;1,"DUPLIKAT","OK"))))</f>
        <v/>
      </c>
    </row>
    <row r="595">
      <c r="A595" s="4" t="n"/>
      <c r="B595" s="5" t="n"/>
      <c r="C595" s="5" t="n"/>
      <c r="D595" s="5" t="n"/>
      <c r="E595" s="6">
        <f>IF(A595="","","B"&amp;TEXT(COUNT($A$2:A595),"00000"))</f>
        <v/>
      </c>
      <c r="F595" s="6">
        <f>IF(OR(C595="",D595=""),"",IFERROR(LOOKUP(2,1/(($C$1:C594=C595)*($D$1:D594=D595)*ISNUMBER($J$1:J594)),$J$1:J594),SUMIFS(Master!$G$2:$G$13,Master!$E$2:$E$13,C595,Master!$F$2:$F$13,D595)))</f>
        <v/>
      </c>
      <c r="G595" s="5" t="n"/>
      <c r="H595" s="5" t="n"/>
      <c r="I595" s="5" t="n"/>
      <c r="J595" s="6">
        <f>IF(OR(F595="",COUNT(G595:I595)&lt;3),"",F595+G595-H595-I595)</f>
        <v/>
      </c>
      <c r="K595" s="6">
        <f>IF(COUNTA(A595:D595,G595:I595)=0,"",IF(COUNTA(A595:D595,G595:I595)&lt;7,"LENGKAPI",IF(H595+I595&gt;N(F595)+G595,"ABNORMAL",IF(COUNTIFS($A$2:$A$2001,A595,$B$2:$B$2001,B595,$C$2:$C$2001,C595,$D$2:$D$2001,D595)&gt;1,"DUPLIKAT","OK"))))</f>
        <v/>
      </c>
    </row>
    <row r="596">
      <c r="A596" s="4" t="n"/>
      <c r="B596" s="5" t="n"/>
      <c r="C596" s="5" t="n"/>
      <c r="D596" s="5" t="n"/>
      <c r="E596" s="6">
        <f>IF(A596="","","B"&amp;TEXT(COUNT($A$2:A596),"00000"))</f>
        <v/>
      </c>
      <c r="F596" s="6">
        <f>IF(OR(C596="",D596=""),"",IFERROR(LOOKUP(2,1/(($C$1:C595=C596)*($D$1:D595=D596)*ISNUMBER($J$1:J595)),$J$1:J595),SUMIFS(Master!$G$2:$G$13,Master!$E$2:$E$13,C596,Master!$F$2:$F$13,D596)))</f>
        <v/>
      </c>
      <c r="G596" s="5" t="n"/>
      <c r="H596" s="5" t="n"/>
      <c r="I596" s="5" t="n"/>
      <c r="J596" s="6">
        <f>IF(OR(F596="",COUNT(G596:I596)&lt;3),"",F596+G596-H596-I596)</f>
        <v/>
      </c>
      <c r="K596" s="6">
        <f>IF(COUNTA(A596:D596,G596:I596)=0,"",IF(COUNTA(A596:D596,G596:I596)&lt;7,"LENGKAPI",IF(H596+I596&gt;N(F596)+G596,"ABNORMAL",IF(COUNTIFS($A$2:$A$2001,A596,$B$2:$B$2001,B596,$C$2:$C$2001,C596,$D$2:$D$2001,D596)&gt;1,"DUPLIKAT","OK"))))</f>
        <v/>
      </c>
    </row>
    <row r="597">
      <c r="A597" s="4" t="n"/>
      <c r="B597" s="5" t="n"/>
      <c r="C597" s="5" t="n"/>
      <c r="D597" s="5" t="n"/>
      <c r="E597" s="6">
        <f>IF(A597="","","B"&amp;TEXT(COUNT($A$2:A597),"00000"))</f>
        <v/>
      </c>
      <c r="F597" s="6">
        <f>IF(OR(C597="",D597=""),"",IFERROR(LOOKUP(2,1/(($C$1:C596=C597)*($D$1:D596=D597)*ISNUMBER($J$1:J596)),$J$1:J596),SUMIFS(Master!$G$2:$G$13,Master!$E$2:$E$13,C597,Master!$F$2:$F$13,D597)))</f>
        <v/>
      </c>
      <c r="G597" s="5" t="n"/>
      <c r="H597" s="5" t="n"/>
      <c r="I597" s="5" t="n"/>
      <c r="J597" s="6">
        <f>IF(OR(F597="",COUNT(G597:I597)&lt;3),"",F597+G597-H597-I597)</f>
        <v/>
      </c>
      <c r="K597" s="6">
        <f>IF(COUNTA(A597:D597,G597:I597)=0,"",IF(COUNTA(A597:D597,G597:I597)&lt;7,"LENGKAPI",IF(H597+I597&gt;N(F597)+G597,"ABNORMAL",IF(COUNTIFS($A$2:$A$2001,A597,$B$2:$B$2001,B597,$C$2:$C$2001,C597,$D$2:$D$2001,D597)&gt;1,"DUPLIKAT","OK"))))</f>
        <v/>
      </c>
    </row>
    <row r="598">
      <c r="A598" s="4" t="n"/>
      <c r="B598" s="5" t="n"/>
      <c r="C598" s="5" t="n"/>
      <c r="D598" s="5" t="n"/>
      <c r="E598" s="6">
        <f>IF(A598="","","B"&amp;TEXT(COUNT($A$2:A598),"00000"))</f>
        <v/>
      </c>
      <c r="F598" s="6">
        <f>IF(OR(C598="",D598=""),"",IFERROR(LOOKUP(2,1/(($C$1:C597=C598)*($D$1:D597=D598)*ISNUMBER($J$1:J597)),$J$1:J597),SUMIFS(Master!$G$2:$G$13,Master!$E$2:$E$13,C598,Master!$F$2:$F$13,D598)))</f>
        <v/>
      </c>
      <c r="G598" s="5" t="n"/>
      <c r="H598" s="5" t="n"/>
      <c r="I598" s="5" t="n"/>
      <c r="J598" s="6">
        <f>IF(OR(F598="",COUNT(G598:I598)&lt;3),"",F598+G598-H598-I598)</f>
        <v/>
      </c>
      <c r="K598" s="6">
        <f>IF(COUNTA(A598:D598,G598:I598)=0,"",IF(COUNTA(A598:D598,G598:I598)&lt;7,"LENGKAPI",IF(H598+I598&gt;N(F598)+G598,"ABNORMAL",IF(COUNTIFS($A$2:$A$2001,A598,$B$2:$B$2001,B598,$C$2:$C$2001,C598,$D$2:$D$2001,D598)&gt;1,"DUPLIKAT","OK"))))</f>
        <v/>
      </c>
    </row>
    <row r="599">
      <c r="A599" s="4" t="n"/>
      <c r="B599" s="5" t="n"/>
      <c r="C599" s="5" t="n"/>
      <c r="D599" s="5" t="n"/>
      <c r="E599" s="6">
        <f>IF(A599="","","B"&amp;TEXT(COUNT($A$2:A599),"00000"))</f>
        <v/>
      </c>
      <c r="F599" s="6">
        <f>IF(OR(C599="",D599=""),"",IFERROR(LOOKUP(2,1/(($C$1:C598=C599)*($D$1:D598=D599)*ISNUMBER($J$1:J598)),$J$1:J598),SUMIFS(Master!$G$2:$G$13,Master!$E$2:$E$13,C599,Master!$F$2:$F$13,D599)))</f>
        <v/>
      </c>
      <c r="G599" s="5" t="n"/>
      <c r="H599" s="5" t="n"/>
      <c r="I599" s="5" t="n"/>
      <c r="J599" s="6">
        <f>IF(OR(F599="",COUNT(G599:I599)&lt;3),"",F599+G599-H599-I599)</f>
        <v/>
      </c>
      <c r="K599" s="6">
        <f>IF(COUNTA(A599:D599,G599:I599)=0,"",IF(COUNTA(A599:D599,G599:I599)&lt;7,"LENGKAPI",IF(H599+I599&gt;N(F599)+G599,"ABNORMAL",IF(COUNTIFS($A$2:$A$2001,A599,$B$2:$B$2001,B599,$C$2:$C$2001,C599,$D$2:$D$2001,D599)&gt;1,"DUPLIKAT","OK"))))</f>
        <v/>
      </c>
    </row>
    <row r="600">
      <c r="A600" s="4" t="n"/>
      <c r="B600" s="5" t="n"/>
      <c r="C600" s="5" t="n"/>
      <c r="D600" s="5" t="n"/>
      <c r="E600" s="6">
        <f>IF(A600="","","B"&amp;TEXT(COUNT($A$2:A600),"00000"))</f>
        <v/>
      </c>
      <c r="F600" s="6">
        <f>IF(OR(C600="",D600=""),"",IFERROR(LOOKUP(2,1/(($C$1:C599=C600)*($D$1:D599=D600)*ISNUMBER($J$1:J599)),$J$1:J599),SUMIFS(Master!$G$2:$G$13,Master!$E$2:$E$13,C600,Master!$F$2:$F$13,D600)))</f>
        <v/>
      </c>
      <c r="G600" s="5" t="n"/>
      <c r="H600" s="5" t="n"/>
      <c r="I600" s="5" t="n"/>
      <c r="J600" s="6">
        <f>IF(OR(F600="",COUNT(G600:I600)&lt;3),"",F600+G600-H600-I600)</f>
        <v/>
      </c>
      <c r="K600" s="6">
        <f>IF(COUNTA(A600:D600,G600:I600)=0,"",IF(COUNTA(A600:D600,G600:I600)&lt;7,"LENGKAPI",IF(H600+I600&gt;N(F600)+G600,"ABNORMAL",IF(COUNTIFS($A$2:$A$2001,A600,$B$2:$B$2001,B600,$C$2:$C$2001,C600,$D$2:$D$2001,D600)&gt;1,"DUPLIKAT","OK"))))</f>
        <v/>
      </c>
    </row>
    <row r="601">
      <c r="A601" s="4" t="n"/>
      <c r="B601" s="5" t="n"/>
      <c r="C601" s="5" t="n"/>
      <c r="D601" s="5" t="n"/>
      <c r="E601" s="6">
        <f>IF(A601="","","B"&amp;TEXT(COUNT($A$2:A601),"00000"))</f>
        <v/>
      </c>
      <c r="F601" s="6">
        <f>IF(OR(C601="",D601=""),"",IFERROR(LOOKUP(2,1/(($C$1:C600=C601)*($D$1:D600=D601)*ISNUMBER($J$1:J600)),$J$1:J600),SUMIFS(Master!$G$2:$G$13,Master!$E$2:$E$13,C601,Master!$F$2:$F$13,D601)))</f>
        <v/>
      </c>
      <c r="G601" s="5" t="n"/>
      <c r="H601" s="5" t="n"/>
      <c r="I601" s="5" t="n"/>
      <c r="J601" s="6">
        <f>IF(OR(F601="",COUNT(G601:I601)&lt;3),"",F601+G601-H601-I601)</f>
        <v/>
      </c>
      <c r="K601" s="6">
        <f>IF(COUNTA(A601:D601,G601:I601)=0,"",IF(COUNTA(A601:D601,G601:I601)&lt;7,"LENGKAPI",IF(H601+I601&gt;N(F601)+G601,"ABNORMAL",IF(COUNTIFS($A$2:$A$2001,A601,$B$2:$B$2001,B601,$C$2:$C$2001,C601,$D$2:$D$2001,D601)&gt;1,"DUPLIKAT","OK"))))</f>
        <v/>
      </c>
    </row>
    <row r="602">
      <c r="A602" s="4" t="n"/>
      <c r="B602" s="5" t="n"/>
      <c r="C602" s="5" t="n"/>
      <c r="D602" s="5" t="n"/>
      <c r="E602" s="6">
        <f>IF(A602="","","B"&amp;TEXT(COUNT($A$2:A602),"00000"))</f>
        <v/>
      </c>
      <c r="F602" s="6">
        <f>IF(OR(C602="",D602=""),"",IFERROR(LOOKUP(2,1/(($C$1:C601=C602)*($D$1:D601=D602)*ISNUMBER($J$1:J601)),$J$1:J601),SUMIFS(Master!$G$2:$G$13,Master!$E$2:$E$13,C602,Master!$F$2:$F$13,D602)))</f>
        <v/>
      </c>
      <c r="G602" s="5" t="n"/>
      <c r="H602" s="5" t="n"/>
      <c r="I602" s="5" t="n"/>
      <c r="J602" s="6">
        <f>IF(OR(F602="",COUNT(G602:I602)&lt;3),"",F602+G602-H602-I602)</f>
        <v/>
      </c>
      <c r="K602" s="6">
        <f>IF(COUNTA(A602:D602,G602:I602)=0,"",IF(COUNTA(A602:D602,G602:I602)&lt;7,"LENGKAPI",IF(H602+I602&gt;N(F602)+G602,"ABNORMAL",IF(COUNTIFS($A$2:$A$2001,A602,$B$2:$B$2001,B602,$C$2:$C$2001,C602,$D$2:$D$2001,D602)&gt;1,"DUPLIKAT","OK"))))</f>
        <v/>
      </c>
    </row>
    <row r="603">
      <c r="A603" s="4" t="n"/>
      <c r="B603" s="5" t="n"/>
      <c r="C603" s="5" t="n"/>
      <c r="D603" s="5" t="n"/>
      <c r="E603" s="6">
        <f>IF(A603="","","B"&amp;TEXT(COUNT($A$2:A603),"00000"))</f>
        <v/>
      </c>
      <c r="F603" s="6">
        <f>IF(OR(C603="",D603=""),"",IFERROR(LOOKUP(2,1/(($C$1:C602=C603)*($D$1:D602=D603)*ISNUMBER($J$1:J602)),$J$1:J602),SUMIFS(Master!$G$2:$G$13,Master!$E$2:$E$13,C603,Master!$F$2:$F$13,D603)))</f>
        <v/>
      </c>
      <c r="G603" s="5" t="n"/>
      <c r="H603" s="5" t="n"/>
      <c r="I603" s="5" t="n"/>
      <c r="J603" s="6">
        <f>IF(OR(F603="",COUNT(G603:I603)&lt;3),"",F603+G603-H603-I603)</f>
        <v/>
      </c>
      <c r="K603" s="6">
        <f>IF(COUNTA(A603:D603,G603:I603)=0,"",IF(COUNTA(A603:D603,G603:I603)&lt;7,"LENGKAPI",IF(H603+I603&gt;N(F603)+G603,"ABNORMAL",IF(COUNTIFS($A$2:$A$2001,A603,$B$2:$B$2001,B603,$C$2:$C$2001,C603,$D$2:$D$2001,D603)&gt;1,"DUPLIKAT","OK"))))</f>
        <v/>
      </c>
    </row>
    <row r="604">
      <c r="A604" s="4" t="n"/>
      <c r="B604" s="5" t="n"/>
      <c r="C604" s="5" t="n"/>
      <c r="D604" s="5" t="n"/>
      <c r="E604" s="6">
        <f>IF(A604="","","B"&amp;TEXT(COUNT($A$2:A604),"00000"))</f>
        <v/>
      </c>
      <c r="F604" s="6">
        <f>IF(OR(C604="",D604=""),"",IFERROR(LOOKUP(2,1/(($C$1:C603=C604)*($D$1:D603=D604)*ISNUMBER($J$1:J603)),$J$1:J603),SUMIFS(Master!$G$2:$G$13,Master!$E$2:$E$13,C604,Master!$F$2:$F$13,D604)))</f>
        <v/>
      </c>
      <c r="G604" s="5" t="n"/>
      <c r="H604" s="5" t="n"/>
      <c r="I604" s="5" t="n"/>
      <c r="J604" s="6">
        <f>IF(OR(F604="",COUNT(G604:I604)&lt;3),"",F604+G604-H604-I604)</f>
        <v/>
      </c>
      <c r="K604" s="6">
        <f>IF(COUNTA(A604:D604,G604:I604)=0,"",IF(COUNTA(A604:D604,G604:I604)&lt;7,"LENGKAPI",IF(H604+I604&gt;N(F604)+G604,"ABNORMAL",IF(COUNTIFS($A$2:$A$2001,A604,$B$2:$B$2001,B604,$C$2:$C$2001,C604,$D$2:$D$2001,D604)&gt;1,"DUPLIKAT","OK"))))</f>
        <v/>
      </c>
    </row>
    <row r="605">
      <c r="A605" s="4" t="n"/>
      <c r="B605" s="5" t="n"/>
      <c r="C605" s="5" t="n"/>
      <c r="D605" s="5" t="n"/>
      <c r="E605" s="6">
        <f>IF(A605="","","B"&amp;TEXT(COUNT($A$2:A605),"00000"))</f>
        <v/>
      </c>
      <c r="F605" s="6">
        <f>IF(OR(C605="",D605=""),"",IFERROR(LOOKUP(2,1/(($C$1:C604=C605)*($D$1:D604=D605)*ISNUMBER($J$1:J604)),$J$1:J604),SUMIFS(Master!$G$2:$G$13,Master!$E$2:$E$13,C605,Master!$F$2:$F$13,D605)))</f>
        <v/>
      </c>
      <c r="G605" s="5" t="n"/>
      <c r="H605" s="5" t="n"/>
      <c r="I605" s="5" t="n"/>
      <c r="J605" s="6">
        <f>IF(OR(F605="",COUNT(G605:I605)&lt;3),"",F605+G605-H605-I605)</f>
        <v/>
      </c>
      <c r="K605" s="6">
        <f>IF(COUNTA(A605:D605,G605:I605)=0,"",IF(COUNTA(A605:D605,G605:I605)&lt;7,"LENGKAPI",IF(H605+I605&gt;N(F605)+G605,"ABNORMAL",IF(COUNTIFS($A$2:$A$2001,A605,$B$2:$B$2001,B605,$C$2:$C$2001,C605,$D$2:$D$2001,D605)&gt;1,"DUPLIKAT","OK"))))</f>
        <v/>
      </c>
    </row>
    <row r="606">
      <c r="A606" s="4" t="n"/>
      <c r="B606" s="5" t="n"/>
      <c r="C606" s="5" t="n"/>
      <c r="D606" s="5" t="n"/>
      <c r="E606" s="6">
        <f>IF(A606="","","B"&amp;TEXT(COUNT($A$2:A606),"00000"))</f>
        <v/>
      </c>
      <c r="F606" s="6">
        <f>IF(OR(C606="",D606=""),"",IFERROR(LOOKUP(2,1/(($C$1:C605=C606)*($D$1:D605=D606)*ISNUMBER($J$1:J605)),$J$1:J605),SUMIFS(Master!$G$2:$G$13,Master!$E$2:$E$13,C606,Master!$F$2:$F$13,D606)))</f>
        <v/>
      </c>
      <c r="G606" s="5" t="n"/>
      <c r="H606" s="5" t="n"/>
      <c r="I606" s="5" t="n"/>
      <c r="J606" s="6">
        <f>IF(OR(F606="",COUNT(G606:I606)&lt;3),"",F606+G606-H606-I606)</f>
        <v/>
      </c>
      <c r="K606" s="6">
        <f>IF(COUNTA(A606:D606,G606:I606)=0,"",IF(COUNTA(A606:D606,G606:I606)&lt;7,"LENGKAPI",IF(H606+I606&gt;N(F606)+G606,"ABNORMAL",IF(COUNTIFS($A$2:$A$2001,A606,$B$2:$B$2001,B606,$C$2:$C$2001,C606,$D$2:$D$2001,D606)&gt;1,"DUPLIKAT","OK"))))</f>
        <v/>
      </c>
    </row>
    <row r="607">
      <c r="A607" s="4" t="n"/>
      <c r="B607" s="5" t="n"/>
      <c r="C607" s="5" t="n"/>
      <c r="D607" s="5" t="n"/>
      <c r="E607" s="6">
        <f>IF(A607="","","B"&amp;TEXT(COUNT($A$2:A607),"00000"))</f>
        <v/>
      </c>
      <c r="F607" s="6">
        <f>IF(OR(C607="",D607=""),"",IFERROR(LOOKUP(2,1/(($C$1:C606=C607)*($D$1:D606=D607)*ISNUMBER($J$1:J606)),$J$1:J606),SUMIFS(Master!$G$2:$G$13,Master!$E$2:$E$13,C607,Master!$F$2:$F$13,D607)))</f>
        <v/>
      </c>
      <c r="G607" s="5" t="n"/>
      <c r="H607" s="5" t="n"/>
      <c r="I607" s="5" t="n"/>
      <c r="J607" s="6">
        <f>IF(OR(F607="",COUNT(G607:I607)&lt;3),"",F607+G607-H607-I607)</f>
        <v/>
      </c>
      <c r="K607" s="6">
        <f>IF(COUNTA(A607:D607,G607:I607)=0,"",IF(COUNTA(A607:D607,G607:I607)&lt;7,"LENGKAPI",IF(H607+I607&gt;N(F607)+G607,"ABNORMAL",IF(COUNTIFS($A$2:$A$2001,A607,$B$2:$B$2001,B607,$C$2:$C$2001,C607,$D$2:$D$2001,D607)&gt;1,"DUPLIKAT","OK"))))</f>
        <v/>
      </c>
    </row>
    <row r="608">
      <c r="A608" s="4" t="n"/>
      <c r="B608" s="5" t="n"/>
      <c r="C608" s="5" t="n"/>
      <c r="D608" s="5" t="n"/>
      <c r="E608" s="6">
        <f>IF(A608="","","B"&amp;TEXT(COUNT($A$2:A608),"00000"))</f>
        <v/>
      </c>
      <c r="F608" s="6">
        <f>IF(OR(C608="",D608=""),"",IFERROR(LOOKUP(2,1/(($C$1:C607=C608)*($D$1:D607=D608)*ISNUMBER($J$1:J607)),$J$1:J607),SUMIFS(Master!$G$2:$G$13,Master!$E$2:$E$13,C608,Master!$F$2:$F$13,D608)))</f>
        <v/>
      </c>
      <c r="G608" s="5" t="n"/>
      <c r="H608" s="5" t="n"/>
      <c r="I608" s="5" t="n"/>
      <c r="J608" s="6">
        <f>IF(OR(F608="",COUNT(G608:I608)&lt;3),"",F608+G608-H608-I608)</f>
        <v/>
      </c>
      <c r="K608" s="6">
        <f>IF(COUNTA(A608:D608,G608:I608)=0,"",IF(COUNTA(A608:D608,G608:I608)&lt;7,"LENGKAPI",IF(H608+I608&gt;N(F608)+G608,"ABNORMAL",IF(COUNTIFS($A$2:$A$2001,A608,$B$2:$B$2001,B608,$C$2:$C$2001,C608,$D$2:$D$2001,D608)&gt;1,"DUPLIKAT","OK"))))</f>
        <v/>
      </c>
    </row>
    <row r="609">
      <c r="A609" s="4" t="n"/>
      <c r="B609" s="5" t="n"/>
      <c r="C609" s="5" t="n"/>
      <c r="D609" s="5" t="n"/>
      <c r="E609" s="6">
        <f>IF(A609="","","B"&amp;TEXT(COUNT($A$2:A609),"00000"))</f>
        <v/>
      </c>
      <c r="F609" s="6">
        <f>IF(OR(C609="",D609=""),"",IFERROR(LOOKUP(2,1/(($C$1:C608=C609)*($D$1:D608=D609)*ISNUMBER($J$1:J608)),$J$1:J608),SUMIFS(Master!$G$2:$G$13,Master!$E$2:$E$13,C609,Master!$F$2:$F$13,D609)))</f>
        <v/>
      </c>
      <c r="G609" s="5" t="n"/>
      <c r="H609" s="5" t="n"/>
      <c r="I609" s="5" t="n"/>
      <c r="J609" s="6">
        <f>IF(OR(F609="",COUNT(G609:I609)&lt;3),"",F609+G609-H609-I609)</f>
        <v/>
      </c>
      <c r="K609" s="6">
        <f>IF(COUNTA(A609:D609,G609:I609)=0,"",IF(COUNTA(A609:D609,G609:I609)&lt;7,"LENGKAPI",IF(H609+I609&gt;N(F609)+G609,"ABNORMAL",IF(COUNTIFS($A$2:$A$2001,A609,$B$2:$B$2001,B609,$C$2:$C$2001,C609,$D$2:$D$2001,D609)&gt;1,"DUPLIKAT","OK"))))</f>
        <v/>
      </c>
    </row>
    <row r="610">
      <c r="A610" s="4" t="n"/>
      <c r="B610" s="5" t="n"/>
      <c r="C610" s="5" t="n"/>
      <c r="D610" s="5" t="n"/>
      <c r="E610" s="6">
        <f>IF(A610="","","B"&amp;TEXT(COUNT($A$2:A610),"00000"))</f>
        <v/>
      </c>
      <c r="F610" s="6">
        <f>IF(OR(C610="",D610=""),"",IFERROR(LOOKUP(2,1/(($C$1:C609=C610)*($D$1:D609=D610)*ISNUMBER($J$1:J609)),$J$1:J609),SUMIFS(Master!$G$2:$G$13,Master!$E$2:$E$13,C610,Master!$F$2:$F$13,D610)))</f>
        <v/>
      </c>
      <c r="G610" s="5" t="n"/>
      <c r="H610" s="5" t="n"/>
      <c r="I610" s="5" t="n"/>
      <c r="J610" s="6">
        <f>IF(OR(F610="",COUNT(G610:I610)&lt;3),"",F610+G610-H610-I610)</f>
        <v/>
      </c>
      <c r="K610" s="6">
        <f>IF(COUNTA(A610:D610,G610:I610)=0,"",IF(COUNTA(A610:D610,G610:I610)&lt;7,"LENGKAPI",IF(H610+I610&gt;N(F610)+G610,"ABNORMAL",IF(COUNTIFS($A$2:$A$2001,A610,$B$2:$B$2001,B610,$C$2:$C$2001,C610,$D$2:$D$2001,D610)&gt;1,"DUPLIKAT","OK"))))</f>
        <v/>
      </c>
    </row>
    <row r="611">
      <c r="A611" s="4" t="n"/>
      <c r="B611" s="5" t="n"/>
      <c r="C611" s="5" t="n"/>
      <c r="D611" s="5" t="n"/>
      <c r="E611" s="6">
        <f>IF(A611="","","B"&amp;TEXT(COUNT($A$2:A611),"00000"))</f>
        <v/>
      </c>
      <c r="F611" s="6">
        <f>IF(OR(C611="",D611=""),"",IFERROR(LOOKUP(2,1/(($C$1:C610=C611)*($D$1:D610=D611)*ISNUMBER($J$1:J610)),$J$1:J610),SUMIFS(Master!$G$2:$G$13,Master!$E$2:$E$13,C611,Master!$F$2:$F$13,D611)))</f>
        <v/>
      </c>
      <c r="G611" s="5" t="n"/>
      <c r="H611" s="5" t="n"/>
      <c r="I611" s="5" t="n"/>
      <c r="J611" s="6">
        <f>IF(OR(F611="",COUNT(G611:I611)&lt;3),"",F611+G611-H611-I611)</f>
        <v/>
      </c>
      <c r="K611" s="6">
        <f>IF(COUNTA(A611:D611,G611:I611)=0,"",IF(COUNTA(A611:D611,G611:I611)&lt;7,"LENGKAPI",IF(H611+I611&gt;N(F611)+G611,"ABNORMAL",IF(COUNTIFS($A$2:$A$2001,A611,$B$2:$B$2001,B611,$C$2:$C$2001,C611,$D$2:$D$2001,D611)&gt;1,"DUPLIKAT","OK"))))</f>
        <v/>
      </c>
    </row>
    <row r="612">
      <c r="A612" s="4" t="n"/>
      <c r="B612" s="5" t="n"/>
      <c r="C612" s="5" t="n"/>
      <c r="D612" s="5" t="n"/>
      <c r="E612" s="6">
        <f>IF(A612="","","B"&amp;TEXT(COUNT($A$2:A612),"00000"))</f>
        <v/>
      </c>
      <c r="F612" s="6">
        <f>IF(OR(C612="",D612=""),"",IFERROR(LOOKUP(2,1/(($C$1:C611=C612)*($D$1:D611=D612)*ISNUMBER($J$1:J611)),$J$1:J611),SUMIFS(Master!$G$2:$G$13,Master!$E$2:$E$13,C612,Master!$F$2:$F$13,D612)))</f>
        <v/>
      </c>
      <c r="G612" s="5" t="n"/>
      <c r="H612" s="5" t="n"/>
      <c r="I612" s="5" t="n"/>
      <c r="J612" s="6">
        <f>IF(OR(F612="",COUNT(G612:I612)&lt;3),"",F612+G612-H612-I612)</f>
        <v/>
      </c>
      <c r="K612" s="6">
        <f>IF(COUNTA(A612:D612,G612:I612)=0,"",IF(COUNTA(A612:D612,G612:I612)&lt;7,"LENGKAPI",IF(H612+I612&gt;N(F612)+G612,"ABNORMAL",IF(COUNTIFS($A$2:$A$2001,A612,$B$2:$B$2001,B612,$C$2:$C$2001,C612,$D$2:$D$2001,D612)&gt;1,"DUPLIKAT","OK"))))</f>
        <v/>
      </c>
    </row>
    <row r="613">
      <c r="A613" s="4" t="n"/>
      <c r="B613" s="5" t="n"/>
      <c r="C613" s="5" t="n"/>
      <c r="D613" s="5" t="n"/>
      <c r="E613" s="6">
        <f>IF(A613="","","B"&amp;TEXT(COUNT($A$2:A613),"00000"))</f>
        <v/>
      </c>
      <c r="F613" s="6">
        <f>IF(OR(C613="",D613=""),"",IFERROR(LOOKUP(2,1/(($C$1:C612=C613)*($D$1:D612=D613)*ISNUMBER($J$1:J612)),$J$1:J612),SUMIFS(Master!$G$2:$G$13,Master!$E$2:$E$13,C613,Master!$F$2:$F$13,D613)))</f>
        <v/>
      </c>
      <c r="G613" s="5" t="n"/>
      <c r="H613" s="5" t="n"/>
      <c r="I613" s="5" t="n"/>
      <c r="J613" s="6">
        <f>IF(OR(F613="",COUNT(G613:I613)&lt;3),"",F613+G613-H613-I613)</f>
        <v/>
      </c>
      <c r="K613" s="6">
        <f>IF(COUNTA(A613:D613,G613:I613)=0,"",IF(COUNTA(A613:D613,G613:I613)&lt;7,"LENGKAPI",IF(H613+I613&gt;N(F613)+G613,"ABNORMAL",IF(COUNTIFS($A$2:$A$2001,A613,$B$2:$B$2001,B613,$C$2:$C$2001,C613,$D$2:$D$2001,D613)&gt;1,"DUPLIKAT","OK"))))</f>
        <v/>
      </c>
    </row>
    <row r="614">
      <c r="A614" s="4" t="n"/>
      <c r="B614" s="5" t="n"/>
      <c r="C614" s="5" t="n"/>
      <c r="D614" s="5" t="n"/>
      <c r="E614" s="6">
        <f>IF(A614="","","B"&amp;TEXT(COUNT($A$2:A614),"00000"))</f>
        <v/>
      </c>
      <c r="F614" s="6">
        <f>IF(OR(C614="",D614=""),"",IFERROR(LOOKUP(2,1/(($C$1:C613=C614)*($D$1:D613=D614)*ISNUMBER($J$1:J613)),$J$1:J613),SUMIFS(Master!$G$2:$G$13,Master!$E$2:$E$13,C614,Master!$F$2:$F$13,D614)))</f>
        <v/>
      </c>
      <c r="G614" s="5" t="n"/>
      <c r="H614" s="5" t="n"/>
      <c r="I614" s="5" t="n"/>
      <c r="J614" s="6">
        <f>IF(OR(F614="",COUNT(G614:I614)&lt;3),"",F614+G614-H614-I614)</f>
        <v/>
      </c>
      <c r="K614" s="6">
        <f>IF(COUNTA(A614:D614,G614:I614)=0,"",IF(COUNTA(A614:D614,G614:I614)&lt;7,"LENGKAPI",IF(H614+I614&gt;N(F614)+G614,"ABNORMAL",IF(COUNTIFS($A$2:$A$2001,A614,$B$2:$B$2001,B614,$C$2:$C$2001,C614,$D$2:$D$2001,D614)&gt;1,"DUPLIKAT","OK"))))</f>
        <v/>
      </c>
    </row>
    <row r="615">
      <c r="A615" s="4" t="n"/>
      <c r="B615" s="5" t="n"/>
      <c r="C615" s="5" t="n"/>
      <c r="D615" s="5" t="n"/>
      <c r="E615" s="6">
        <f>IF(A615="","","B"&amp;TEXT(COUNT($A$2:A615),"00000"))</f>
        <v/>
      </c>
      <c r="F615" s="6">
        <f>IF(OR(C615="",D615=""),"",IFERROR(LOOKUP(2,1/(($C$1:C614=C615)*($D$1:D614=D615)*ISNUMBER($J$1:J614)),$J$1:J614),SUMIFS(Master!$G$2:$G$13,Master!$E$2:$E$13,C615,Master!$F$2:$F$13,D615)))</f>
        <v/>
      </c>
      <c r="G615" s="5" t="n"/>
      <c r="H615" s="5" t="n"/>
      <c r="I615" s="5" t="n"/>
      <c r="J615" s="6">
        <f>IF(OR(F615="",COUNT(G615:I615)&lt;3),"",F615+G615-H615-I615)</f>
        <v/>
      </c>
      <c r="K615" s="6">
        <f>IF(COUNTA(A615:D615,G615:I615)=0,"",IF(COUNTA(A615:D615,G615:I615)&lt;7,"LENGKAPI",IF(H615+I615&gt;N(F615)+G615,"ABNORMAL",IF(COUNTIFS($A$2:$A$2001,A615,$B$2:$B$2001,B615,$C$2:$C$2001,C615,$D$2:$D$2001,D615)&gt;1,"DUPLIKAT","OK"))))</f>
        <v/>
      </c>
    </row>
    <row r="616">
      <c r="A616" s="4" t="n"/>
      <c r="B616" s="5" t="n"/>
      <c r="C616" s="5" t="n"/>
      <c r="D616" s="5" t="n"/>
      <c r="E616" s="6">
        <f>IF(A616="","","B"&amp;TEXT(COUNT($A$2:A616),"00000"))</f>
        <v/>
      </c>
      <c r="F616" s="6">
        <f>IF(OR(C616="",D616=""),"",IFERROR(LOOKUP(2,1/(($C$1:C615=C616)*($D$1:D615=D616)*ISNUMBER($J$1:J615)),$J$1:J615),SUMIFS(Master!$G$2:$G$13,Master!$E$2:$E$13,C616,Master!$F$2:$F$13,D616)))</f>
        <v/>
      </c>
      <c r="G616" s="5" t="n"/>
      <c r="H616" s="5" t="n"/>
      <c r="I616" s="5" t="n"/>
      <c r="J616" s="6">
        <f>IF(OR(F616="",COUNT(G616:I616)&lt;3),"",F616+G616-H616-I616)</f>
        <v/>
      </c>
      <c r="K616" s="6">
        <f>IF(COUNTA(A616:D616,G616:I616)=0,"",IF(COUNTA(A616:D616,G616:I616)&lt;7,"LENGKAPI",IF(H616+I616&gt;N(F616)+G616,"ABNORMAL",IF(COUNTIFS($A$2:$A$2001,A616,$B$2:$B$2001,B616,$C$2:$C$2001,C616,$D$2:$D$2001,D616)&gt;1,"DUPLIKAT","OK"))))</f>
        <v/>
      </c>
    </row>
    <row r="617">
      <c r="A617" s="4" t="n"/>
      <c r="B617" s="5" t="n"/>
      <c r="C617" s="5" t="n"/>
      <c r="D617" s="5" t="n"/>
      <c r="E617" s="6">
        <f>IF(A617="","","B"&amp;TEXT(COUNT($A$2:A617),"00000"))</f>
        <v/>
      </c>
      <c r="F617" s="6">
        <f>IF(OR(C617="",D617=""),"",IFERROR(LOOKUP(2,1/(($C$1:C616=C617)*($D$1:D616=D617)*ISNUMBER($J$1:J616)),$J$1:J616),SUMIFS(Master!$G$2:$G$13,Master!$E$2:$E$13,C617,Master!$F$2:$F$13,D617)))</f>
        <v/>
      </c>
      <c r="G617" s="5" t="n"/>
      <c r="H617" s="5" t="n"/>
      <c r="I617" s="5" t="n"/>
      <c r="J617" s="6">
        <f>IF(OR(F617="",COUNT(G617:I617)&lt;3),"",F617+G617-H617-I617)</f>
        <v/>
      </c>
      <c r="K617" s="6">
        <f>IF(COUNTA(A617:D617,G617:I617)=0,"",IF(COUNTA(A617:D617,G617:I617)&lt;7,"LENGKAPI",IF(H617+I617&gt;N(F617)+G617,"ABNORMAL",IF(COUNTIFS($A$2:$A$2001,A617,$B$2:$B$2001,B617,$C$2:$C$2001,C617,$D$2:$D$2001,D617)&gt;1,"DUPLIKAT","OK"))))</f>
        <v/>
      </c>
    </row>
    <row r="618">
      <c r="A618" s="4" t="n"/>
      <c r="B618" s="5" t="n"/>
      <c r="C618" s="5" t="n"/>
      <c r="D618" s="5" t="n"/>
      <c r="E618" s="6">
        <f>IF(A618="","","B"&amp;TEXT(COUNT($A$2:A618),"00000"))</f>
        <v/>
      </c>
      <c r="F618" s="6">
        <f>IF(OR(C618="",D618=""),"",IFERROR(LOOKUP(2,1/(($C$1:C617=C618)*($D$1:D617=D618)*ISNUMBER($J$1:J617)),$J$1:J617),SUMIFS(Master!$G$2:$G$13,Master!$E$2:$E$13,C618,Master!$F$2:$F$13,D618)))</f>
        <v/>
      </c>
      <c r="G618" s="5" t="n"/>
      <c r="H618" s="5" t="n"/>
      <c r="I618" s="5" t="n"/>
      <c r="J618" s="6">
        <f>IF(OR(F618="",COUNT(G618:I618)&lt;3),"",F618+G618-H618-I618)</f>
        <v/>
      </c>
      <c r="K618" s="6">
        <f>IF(COUNTA(A618:D618,G618:I618)=0,"",IF(COUNTA(A618:D618,G618:I618)&lt;7,"LENGKAPI",IF(H618+I618&gt;N(F618)+G618,"ABNORMAL",IF(COUNTIFS($A$2:$A$2001,A618,$B$2:$B$2001,B618,$C$2:$C$2001,C618,$D$2:$D$2001,D618)&gt;1,"DUPLIKAT","OK"))))</f>
        <v/>
      </c>
    </row>
    <row r="619">
      <c r="A619" s="4" t="n"/>
      <c r="B619" s="5" t="n"/>
      <c r="C619" s="5" t="n"/>
      <c r="D619" s="5" t="n"/>
      <c r="E619" s="6">
        <f>IF(A619="","","B"&amp;TEXT(COUNT($A$2:A619),"00000"))</f>
        <v/>
      </c>
      <c r="F619" s="6">
        <f>IF(OR(C619="",D619=""),"",IFERROR(LOOKUP(2,1/(($C$1:C618=C619)*($D$1:D618=D619)*ISNUMBER($J$1:J618)),$J$1:J618),SUMIFS(Master!$G$2:$G$13,Master!$E$2:$E$13,C619,Master!$F$2:$F$13,D619)))</f>
        <v/>
      </c>
      <c r="G619" s="5" t="n"/>
      <c r="H619" s="5" t="n"/>
      <c r="I619" s="5" t="n"/>
      <c r="J619" s="6">
        <f>IF(OR(F619="",COUNT(G619:I619)&lt;3),"",F619+G619-H619-I619)</f>
        <v/>
      </c>
      <c r="K619" s="6">
        <f>IF(COUNTA(A619:D619,G619:I619)=0,"",IF(COUNTA(A619:D619,G619:I619)&lt;7,"LENGKAPI",IF(H619+I619&gt;N(F619)+G619,"ABNORMAL",IF(COUNTIFS($A$2:$A$2001,A619,$B$2:$B$2001,B619,$C$2:$C$2001,C619,$D$2:$D$2001,D619)&gt;1,"DUPLIKAT","OK"))))</f>
        <v/>
      </c>
    </row>
    <row r="620">
      <c r="A620" s="4" t="n"/>
      <c r="B620" s="5" t="n"/>
      <c r="C620" s="5" t="n"/>
      <c r="D620" s="5" t="n"/>
      <c r="E620" s="6">
        <f>IF(A620="","","B"&amp;TEXT(COUNT($A$2:A620),"00000"))</f>
        <v/>
      </c>
      <c r="F620" s="6">
        <f>IF(OR(C620="",D620=""),"",IFERROR(LOOKUP(2,1/(($C$1:C619=C620)*($D$1:D619=D620)*ISNUMBER($J$1:J619)),$J$1:J619),SUMIFS(Master!$G$2:$G$13,Master!$E$2:$E$13,C620,Master!$F$2:$F$13,D620)))</f>
        <v/>
      </c>
      <c r="G620" s="5" t="n"/>
      <c r="H620" s="5" t="n"/>
      <c r="I620" s="5" t="n"/>
      <c r="J620" s="6">
        <f>IF(OR(F620="",COUNT(G620:I620)&lt;3),"",F620+G620-H620-I620)</f>
        <v/>
      </c>
      <c r="K620" s="6">
        <f>IF(COUNTA(A620:D620,G620:I620)=0,"",IF(COUNTA(A620:D620,G620:I620)&lt;7,"LENGKAPI",IF(H620+I620&gt;N(F620)+G620,"ABNORMAL",IF(COUNTIFS($A$2:$A$2001,A620,$B$2:$B$2001,B620,$C$2:$C$2001,C620,$D$2:$D$2001,D620)&gt;1,"DUPLIKAT","OK"))))</f>
        <v/>
      </c>
    </row>
    <row r="621">
      <c r="A621" s="4" t="n"/>
      <c r="B621" s="5" t="n"/>
      <c r="C621" s="5" t="n"/>
      <c r="D621" s="5" t="n"/>
      <c r="E621" s="6">
        <f>IF(A621="","","B"&amp;TEXT(COUNT($A$2:A621),"00000"))</f>
        <v/>
      </c>
      <c r="F621" s="6">
        <f>IF(OR(C621="",D621=""),"",IFERROR(LOOKUP(2,1/(($C$1:C620=C621)*($D$1:D620=D621)*ISNUMBER($J$1:J620)),$J$1:J620),SUMIFS(Master!$G$2:$G$13,Master!$E$2:$E$13,C621,Master!$F$2:$F$13,D621)))</f>
        <v/>
      </c>
      <c r="G621" s="5" t="n"/>
      <c r="H621" s="5" t="n"/>
      <c r="I621" s="5" t="n"/>
      <c r="J621" s="6">
        <f>IF(OR(F621="",COUNT(G621:I621)&lt;3),"",F621+G621-H621-I621)</f>
        <v/>
      </c>
      <c r="K621" s="6">
        <f>IF(COUNTA(A621:D621,G621:I621)=0,"",IF(COUNTA(A621:D621,G621:I621)&lt;7,"LENGKAPI",IF(H621+I621&gt;N(F621)+G621,"ABNORMAL",IF(COUNTIFS($A$2:$A$2001,A621,$B$2:$B$2001,B621,$C$2:$C$2001,C621,$D$2:$D$2001,D621)&gt;1,"DUPLIKAT","OK"))))</f>
        <v/>
      </c>
    </row>
    <row r="622">
      <c r="A622" s="4" t="n"/>
      <c r="B622" s="5" t="n"/>
      <c r="C622" s="5" t="n"/>
      <c r="D622" s="5" t="n"/>
      <c r="E622" s="6">
        <f>IF(A622="","","B"&amp;TEXT(COUNT($A$2:A622),"00000"))</f>
        <v/>
      </c>
      <c r="F622" s="6">
        <f>IF(OR(C622="",D622=""),"",IFERROR(LOOKUP(2,1/(($C$1:C621=C622)*($D$1:D621=D622)*ISNUMBER($J$1:J621)),$J$1:J621),SUMIFS(Master!$G$2:$G$13,Master!$E$2:$E$13,C622,Master!$F$2:$F$13,D622)))</f>
        <v/>
      </c>
      <c r="G622" s="5" t="n"/>
      <c r="H622" s="5" t="n"/>
      <c r="I622" s="5" t="n"/>
      <c r="J622" s="6">
        <f>IF(OR(F622="",COUNT(G622:I622)&lt;3),"",F622+G622-H622-I622)</f>
        <v/>
      </c>
      <c r="K622" s="6">
        <f>IF(COUNTA(A622:D622,G622:I622)=0,"",IF(COUNTA(A622:D622,G622:I622)&lt;7,"LENGKAPI",IF(H622+I622&gt;N(F622)+G622,"ABNORMAL",IF(COUNTIFS($A$2:$A$2001,A622,$B$2:$B$2001,B622,$C$2:$C$2001,C622,$D$2:$D$2001,D622)&gt;1,"DUPLIKAT","OK"))))</f>
        <v/>
      </c>
    </row>
    <row r="623">
      <c r="A623" s="4" t="n"/>
      <c r="B623" s="5" t="n"/>
      <c r="C623" s="5" t="n"/>
      <c r="D623" s="5" t="n"/>
      <c r="E623" s="6">
        <f>IF(A623="","","B"&amp;TEXT(COUNT($A$2:A623),"00000"))</f>
        <v/>
      </c>
      <c r="F623" s="6">
        <f>IF(OR(C623="",D623=""),"",IFERROR(LOOKUP(2,1/(($C$1:C622=C623)*($D$1:D622=D623)*ISNUMBER($J$1:J622)),$J$1:J622),SUMIFS(Master!$G$2:$G$13,Master!$E$2:$E$13,C623,Master!$F$2:$F$13,D623)))</f>
        <v/>
      </c>
      <c r="G623" s="5" t="n"/>
      <c r="H623" s="5" t="n"/>
      <c r="I623" s="5" t="n"/>
      <c r="J623" s="6">
        <f>IF(OR(F623="",COUNT(G623:I623)&lt;3),"",F623+G623-H623-I623)</f>
        <v/>
      </c>
      <c r="K623" s="6">
        <f>IF(COUNTA(A623:D623,G623:I623)=0,"",IF(COUNTA(A623:D623,G623:I623)&lt;7,"LENGKAPI",IF(H623+I623&gt;N(F623)+G623,"ABNORMAL",IF(COUNTIFS($A$2:$A$2001,A623,$B$2:$B$2001,B623,$C$2:$C$2001,C623,$D$2:$D$2001,D623)&gt;1,"DUPLIKAT","OK"))))</f>
        <v/>
      </c>
    </row>
    <row r="624">
      <c r="A624" s="4" t="n"/>
      <c r="B624" s="5" t="n"/>
      <c r="C624" s="5" t="n"/>
      <c r="D624" s="5" t="n"/>
      <c r="E624" s="6">
        <f>IF(A624="","","B"&amp;TEXT(COUNT($A$2:A624),"00000"))</f>
        <v/>
      </c>
      <c r="F624" s="6">
        <f>IF(OR(C624="",D624=""),"",IFERROR(LOOKUP(2,1/(($C$1:C623=C624)*($D$1:D623=D624)*ISNUMBER($J$1:J623)),$J$1:J623),SUMIFS(Master!$G$2:$G$13,Master!$E$2:$E$13,C624,Master!$F$2:$F$13,D624)))</f>
        <v/>
      </c>
      <c r="G624" s="5" t="n"/>
      <c r="H624" s="5" t="n"/>
      <c r="I624" s="5" t="n"/>
      <c r="J624" s="6">
        <f>IF(OR(F624="",COUNT(G624:I624)&lt;3),"",F624+G624-H624-I624)</f>
        <v/>
      </c>
      <c r="K624" s="6">
        <f>IF(COUNTA(A624:D624,G624:I624)=0,"",IF(COUNTA(A624:D624,G624:I624)&lt;7,"LENGKAPI",IF(H624+I624&gt;N(F624)+G624,"ABNORMAL",IF(COUNTIFS($A$2:$A$2001,A624,$B$2:$B$2001,B624,$C$2:$C$2001,C624,$D$2:$D$2001,D624)&gt;1,"DUPLIKAT","OK"))))</f>
        <v/>
      </c>
    </row>
    <row r="625">
      <c r="A625" s="4" t="n"/>
      <c r="B625" s="5" t="n"/>
      <c r="C625" s="5" t="n"/>
      <c r="D625" s="5" t="n"/>
      <c r="E625" s="6">
        <f>IF(A625="","","B"&amp;TEXT(COUNT($A$2:A625),"00000"))</f>
        <v/>
      </c>
      <c r="F625" s="6">
        <f>IF(OR(C625="",D625=""),"",IFERROR(LOOKUP(2,1/(($C$1:C624=C625)*($D$1:D624=D625)*ISNUMBER($J$1:J624)),$J$1:J624),SUMIFS(Master!$G$2:$G$13,Master!$E$2:$E$13,C625,Master!$F$2:$F$13,D625)))</f>
        <v/>
      </c>
      <c r="G625" s="5" t="n"/>
      <c r="H625" s="5" t="n"/>
      <c r="I625" s="5" t="n"/>
      <c r="J625" s="6">
        <f>IF(OR(F625="",COUNT(G625:I625)&lt;3),"",F625+G625-H625-I625)</f>
        <v/>
      </c>
      <c r="K625" s="6">
        <f>IF(COUNTA(A625:D625,G625:I625)=0,"",IF(COUNTA(A625:D625,G625:I625)&lt;7,"LENGKAPI",IF(H625+I625&gt;N(F625)+G625,"ABNORMAL",IF(COUNTIFS($A$2:$A$2001,A625,$B$2:$B$2001,B625,$C$2:$C$2001,C625,$D$2:$D$2001,D625)&gt;1,"DUPLIKAT","OK"))))</f>
        <v/>
      </c>
    </row>
    <row r="626">
      <c r="A626" s="4" t="n"/>
      <c r="B626" s="5" t="n"/>
      <c r="C626" s="5" t="n"/>
      <c r="D626" s="5" t="n"/>
      <c r="E626" s="6">
        <f>IF(A626="","","B"&amp;TEXT(COUNT($A$2:A626),"00000"))</f>
        <v/>
      </c>
      <c r="F626" s="6">
        <f>IF(OR(C626="",D626=""),"",IFERROR(LOOKUP(2,1/(($C$1:C625=C626)*($D$1:D625=D626)*ISNUMBER($J$1:J625)),$J$1:J625),SUMIFS(Master!$G$2:$G$13,Master!$E$2:$E$13,C626,Master!$F$2:$F$13,D626)))</f>
        <v/>
      </c>
      <c r="G626" s="5" t="n"/>
      <c r="H626" s="5" t="n"/>
      <c r="I626" s="5" t="n"/>
      <c r="J626" s="6">
        <f>IF(OR(F626="",COUNT(G626:I626)&lt;3),"",F626+G626-H626-I626)</f>
        <v/>
      </c>
      <c r="K626" s="6">
        <f>IF(COUNTA(A626:D626,G626:I626)=0,"",IF(COUNTA(A626:D626,G626:I626)&lt;7,"LENGKAPI",IF(H626+I626&gt;N(F626)+G626,"ABNORMAL",IF(COUNTIFS($A$2:$A$2001,A626,$B$2:$B$2001,B626,$C$2:$C$2001,C626,$D$2:$D$2001,D626)&gt;1,"DUPLIKAT","OK"))))</f>
        <v/>
      </c>
    </row>
    <row r="627">
      <c r="A627" s="4" t="n"/>
      <c r="B627" s="5" t="n"/>
      <c r="C627" s="5" t="n"/>
      <c r="D627" s="5" t="n"/>
      <c r="E627" s="6">
        <f>IF(A627="","","B"&amp;TEXT(COUNT($A$2:A627),"00000"))</f>
        <v/>
      </c>
      <c r="F627" s="6">
        <f>IF(OR(C627="",D627=""),"",IFERROR(LOOKUP(2,1/(($C$1:C626=C627)*($D$1:D626=D627)*ISNUMBER($J$1:J626)),$J$1:J626),SUMIFS(Master!$G$2:$G$13,Master!$E$2:$E$13,C627,Master!$F$2:$F$13,D627)))</f>
        <v/>
      </c>
      <c r="G627" s="5" t="n"/>
      <c r="H627" s="5" t="n"/>
      <c r="I627" s="5" t="n"/>
      <c r="J627" s="6">
        <f>IF(OR(F627="",COUNT(G627:I627)&lt;3),"",F627+G627-H627-I627)</f>
        <v/>
      </c>
      <c r="K627" s="6">
        <f>IF(COUNTA(A627:D627,G627:I627)=0,"",IF(COUNTA(A627:D627,G627:I627)&lt;7,"LENGKAPI",IF(H627+I627&gt;N(F627)+G627,"ABNORMAL",IF(COUNTIFS($A$2:$A$2001,A627,$B$2:$B$2001,B627,$C$2:$C$2001,C627,$D$2:$D$2001,D627)&gt;1,"DUPLIKAT","OK"))))</f>
        <v/>
      </c>
    </row>
    <row r="628">
      <c r="A628" s="4" t="n"/>
      <c r="B628" s="5" t="n"/>
      <c r="C628" s="5" t="n"/>
      <c r="D628" s="5" t="n"/>
      <c r="E628" s="6">
        <f>IF(A628="","","B"&amp;TEXT(COUNT($A$2:A628),"00000"))</f>
        <v/>
      </c>
      <c r="F628" s="6">
        <f>IF(OR(C628="",D628=""),"",IFERROR(LOOKUP(2,1/(($C$1:C627=C628)*($D$1:D627=D628)*ISNUMBER($J$1:J627)),$J$1:J627),SUMIFS(Master!$G$2:$G$13,Master!$E$2:$E$13,C628,Master!$F$2:$F$13,D628)))</f>
        <v/>
      </c>
      <c r="G628" s="5" t="n"/>
      <c r="H628" s="5" t="n"/>
      <c r="I628" s="5" t="n"/>
      <c r="J628" s="6">
        <f>IF(OR(F628="",COUNT(G628:I628)&lt;3),"",F628+G628-H628-I628)</f>
        <v/>
      </c>
      <c r="K628" s="6">
        <f>IF(COUNTA(A628:D628,G628:I628)=0,"",IF(COUNTA(A628:D628,G628:I628)&lt;7,"LENGKAPI",IF(H628+I628&gt;N(F628)+G628,"ABNORMAL",IF(COUNTIFS($A$2:$A$2001,A628,$B$2:$B$2001,B628,$C$2:$C$2001,C628,$D$2:$D$2001,D628)&gt;1,"DUPLIKAT","OK"))))</f>
        <v/>
      </c>
    </row>
    <row r="629">
      <c r="A629" s="4" t="n"/>
      <c r="B629" s="5" t="n"/>
      <c r="C629" s="5" t="n"/>
      <c r="D629" s="5" t="n"/>
      <c r="E629" s="6">
        <f>IF(A629="","","B"&amp;TEXT(COUNT($A$2:A629),"00000"))</f>
        <v/>
      </c>
      <c r="F629" s="6">
        <f>IF(OR(C629="",D629=""),"",IFERROR(LOOKUP(2,1/(($C$1:C628=C629)*($D$1:D628=D629)*ISNUMBER($J$1:J628)),$J$1:J628),SUMIFS(Master!$G$2:$G$13,Master!$E$2:$E$13,C629,Master!$F$2:$F$13,D629)))</f>
        <v/>
      </c>
      <c r="G629" s="5" t="n"/>
      <c r="H629" s="5" t="n"/>
      <c r="I629" s="5" t="n"/>
      <c r="J629" s="6">
        <f>IF(OR(F629="",COUNT(G629:I629)&lt;3),"",F629+G629-H629-I629)</f>
        <v/>
      </c>
      <c r="K629" s="6">
        <f>IF(COUNTA(A629:D629,G629:I629)=0,"",IF(COUNTA(A629:D629,G629:I629)&lt;7,"LENGKAPI",IF(H629+I629&gt;N(F629)+G629,"ABNORMAL",IF(COUNTIFS($A$2:$A$2001,A629,$B$2:$B$2001,B629,$C$2:$C$2001,C629,$D$2:$D$2001,D629)&gt;1,"DUPLIKAT","OK"))))</f>
        <v/>
      </c>
    </row>
    <row r="630">
      <c r="A630" s="4" t="n"/>
      <c r="B630" s="5" t="n"/>
      <c r="C630" s="5" t="n"/>
      <c r="D630" s="5" t="n"/>
      <c r="E630" s="6">
        <f>IF(A630="","","B"&amp;TEXT(COUNT($A$2:A630),"00000"))</f>
        <v/>
      </c>
      <c r="F630" s="6">
        <f>IF(OR(C630="",D630=""),"",IFERROR(LOOKUP(2,1/(($C$1:C629=C630)*($D$1:D629=D630)*ISNUMBER($J$1:J629)),$J$1:J629),SUMIFS(Master!$G$2:$G$13,Master!$E$2:$E$13,C630,Master!$F$2:$F$13,D630)))</f>
        <v/>
      </c>
      <c r="G630" s="5" t="n"/>
      <c r="H630" s="5" t="n"/>
      <c r="I630" s="5" t="n"/>
      <c r="J630" s="6">
        <f>IF(OR(F630="",COUNT(G630:I630)&lt;3),"",F630+G630-H630-I630)</f>
        <v/>
      </c>
      <c r="K630" s="6">
        <f>IF(COUNTA(A630:D630,G630:I630)=0,"",IF(COUNTA(A630:D630,G630:I630)&lt;7,"LENGKAPI",IF(H630+I630&gt;N(F630)+G630,"ABNORMAL",IF(COUNTIFS($A$2:$A$2001,A630,$B$2:$B$2001,B630,$C$2:$C$2001,C630,$D$2:$D$2001,D630)&gt;1,"DUPLIKAT","OK"))))</f>
        <v/>
      </c>
    </row>
    <row r="631">
      <c r="A631" s="4" t="n"/>
      <c r="B631" s="5" t="n"/>
      <c r="C631" s="5" t="n"/>
      <c r="D631" s="5" t="n"/>
      <c r="E631" s="6">
        <f>IF(A631="","","B"&amp;TEXT(COUNT($A$2:A631),"00000"))</f>
        <v/>
      </c>
      <c r="F631" s="6">
        <f>IF(OR(C631="",D631=""),"",IFERROR(LOOKUP(2,1/(($C$1:C630=C631)*($D$1:D630=D631)*ISNUMBER($J$1:J630)),$J$1:J630),SUMIFS(Master!$G$2:$G$13,Master!$E$2:$E$13,C631,Master!$F$2:$F$13,D631)))</f>
        <v/>
      </c>
      <c r="G631" s="5" t="n"/>
      <c r="H631" s="5" t="n"/>
      <c r="I631" s="5" t="n"/>
      <c r="J631" s="6">
        <f>IF(OR(F631="",COUNT(G631:I631)&lt;3),"",F631+G631-H631-I631)</f>
        <v/>
      </c>
      <c r="K631" s="6">
        <f>IF(COUNTA(A631:D631,G631:I631)=0,"",IF(COUNTA(A631:D631,G631:I631)&lt;7,"LENGKAPI",IF(H631+I631&gt;N(F631)+G631,"ABNORMAL",IF(COUNTIFS($A$2:$A$2001,A631,$B$2:$B$2001,B631,$C$2:$C$2001,C631,$D$2:$D$2001,D631)&gt;1,"DUPLIKAT","OK"))))</f>
        <v/>
      </c>
    </row>
    <row r="632">
      <c r="A632" s="4" t="n"/>
      <c r="B632" s="5" t="n"/>
      <c r="C632" s="5" t="n"/>
      <c r="D632" s="5" t="n"/>
      <c r="E632" s="6">
        <f>IF(A632="","","B"&amp;TEXT(COUNT($A$2:A632),"00000"))</f>
        <v/>
      </c>
      <c r="F632" s="6">
        <f>IF(OR(C632="",D632=""),"",IFERROR(LOOKUP(2,1/(($C$1:C631=C632)*($D$1:D631=D632)*ISNUMBER($J$1:J631)),$J$1:J631),SUMIFS(Master!$G$2:$G$13,Master!$E$2:$E$13,C632,Master!$F$2:$F$13,D632)))</f>
        <v/>
      </c>
      <c r="G632" s="5" t="n"/>
      <c r="H632" s="5" t="n"/>
      <c r="I632" s="5" t="n"/>
      <c r="J632" s="6">
        <f>IF(OR(F632="",COUNT(G632:I632)&lt;3),"",F632+G632-H632-I632)</f>
        <v/>
      </c>
      <c r="K632" s="6">
        <f>IF(COUNTA(A632:D632,G632:I632)=0,"",IF(COUNTA(A632:D632,G632:I632)&lt;7,"LENGKAPI",IF(H632+I632&gt;N(F632)+G632,"ABNORMAL",IF(COUNTIFS($A$2:$A$2001,A632,$B$2:$B$2001,B632,$C$2:$C$2001,C632,$D$2:$D$2001,D632)&gt;1,"DUPLIKAT","OK"))))</f>
        <v/>
      </c>
    </row>
    <row r="633">
      <c r="A633" s="4" t="n"/>
      <c r="B633" s="5" t="n"/>
      <c r="C633" s="5" t="n"/>
      <c r="D633" s="5" t="n"/>
      <c r="E633" s="6">
        <f>IF(A633="","","B"&amp;TEXT(COUNT($A$2:A633),"00000"))</f>
        <v/>
      </c>
      <c r="F633" s="6">
        <f>IF(OR(C633="",D633=""),"",IFERROR(LOOKUP(2,1/(($C$1:C632=C633)*($D$1:D632=D633)*ISNUMBER($J$1:J632)),$J$1:J632),SUMIFS(Master!$G$2:$G$13,Master!$E$2:$E$13,C633,Master!$F$2:$F$13,D633)))</f>
        <v/>
      </c>
      <c r="G633" s="5" t="n"/>
      <c r="H633" s="5" t="n"/>
      <c r="I633" s="5" t="n"/>
      <c r="J633" s="6">
        <f>IF(OR(F633="",COUNT(G633:I633)&lt;3),"",F633+G633-H633-I633)</f>
        <v/>
      </c>
      <c r="K633" s="6">
        <f>IF(COUNTA(A633:D633,G633:I633)=0,"",IF(COUNTA(A633:D633,G633:I633)&lt;7,"LENGKAPI",IF(H633+I633&gt;N(F633)+G633,"ABNORMAL",IF(COUNTIFS($A$2:$A$2001,A633,$B$2:$B$2001,B633,$C$2:$C$2001,C633,$D$2:$D$2001,D633)&gt;1,"DUPLIKAT","OK"))))</f>
        <v/>
      </c>
    </row>
    <row r="634">
      <c r="A634" s="4" t="n"/>
      <c r="B634" s="5" t="n"/>
      <c r="C634" s="5" t="n"/>
      <c r="D634" s="5" t="n"/>
      <c r="E634" s="6">
        <f>IF(A634="","","B"&amp;TEXT(COUNT($A$2:A634),"00000"))</f>
        <v/>
      </c>
      <c r="F634" s="6">
        <f>IF(OR(C634="",D634=""),"",IFERROR(LOOKUP(2,1/(($C$1:C633=C634)*($D$1:D633=D634)*ISNUMBER($J$1:J633)),$J$1:J633),SUMIFS(Master!$G$2:$G$13,Master!$E$2:$E$13,C634,Master!$F$2:$F$13,D634)))</f>
        <v/>
      </c>
      <c r="G634" s="5" t="n"/>
      <c r="H634" s="5" t="n"/>
      <c r="I634" s="5" t="n"/>
      <c r="J634" s="6">
        <f>IF(OR(F634="",COUNT(G634:I634)&lt;3),"",F634+G634-H634-I634)</f>
        <v/>
      </c>
      <c r="K634" s="6">
        <f>IF(COUNTA(A634:D634,G634:I634)=0,"",IF(COUNTA(A634:D634,G634:I634)&lt;7,"LENGKAPI",IF(H634+I634&gt;N(F634)+G634,"ABNORMAL",IF(COUNTIFS($A$2:$A$2001,A634,$B$2:$B$2001,B634,$C$2:$C$2001,C634,$D$2:$D$2001,D634)&gt;1,"DUPLIKAT","OK"))))</f>
        <v/>
      </c>
    </row>
    <row r="635">
      <c r="A635" s="4" t="n"/>
      <c r="B635" s="5" t="n"/>
      <c r="C635" s="5" t="n"/>
      <c r="D635" s="5" t="n"/>
      <c r="E635" s="6">
        <f>IF(A635="","","B"&amp;TEXT(COUNT($A$2:A635),"00000"))</f>
        <v/>
      </c>
      <c r="F635" s="6">
        <f>IF(OR(C635="",D635=""),"",IFERROR(LOOKUP(2,1/(($C$1:C634=C635)*($D$1:D634=D635)*ISNUMBER($J$1:J634)),$J$1:J634),SUMIFS(Master!$G$2:$G$13,Master!$E$2:$E$13,C635,Master!$F$2:$F$13,D635)))</f>
        <v/>
      </c>
      <c r="G635" s="5" t="n"/>
      <c r="H635" s="5" t="n"/>
      <c r="I635" s="5" t="n"/>
      <c r="J635" s="6">
        <f>IF(OR(F635="",COUNT(G635:I635)&lt;3),"",F635+G635-H635-I635)</f>
        <v/>
      </c>
      <c r="K635" s="6">
        <f>IF(COUNTA(A635:D635,G635:I635)=0,"",IF(COUNTA(A635:D635,G635:I635)&lt;7,"LENGKAPI",IF(H635+I635&gt;N(F635)+G635,"ABNORMAL",IF(COUNTIFS($A$2:$A$2001,A635,$B$2:$B$2001,B635,$C$2:$C$2001,C635,$D$2:$D$2001,D635)&gt;1,"DUPLIKAT","OK"))))</f>
        <v/>
      </c>
    </row>
    <row r="636">
      <c r="A636" s="4" t="n"/>
      <c r="B636" s="5" t="n"/>
      <c r="C636" s="5" t="n"/>
      <c r="D636" s="5" t="n"/>
      <c r="E636" s="6">
        <f>IF(A636="","","B"&amp;TEXT(COUNT($A$2:A636),"00000"))</f>
        <v/>
      </c>
      <c r="F636" s="6">
        <f>IF(OR(C636="",D636=""),"",IFERROR(LOOKUP(2,1/(($C$1:C635=C636)*($D$1:D635=D636)*ISNUMBER($J$1:J635)),$J$1:J635),SUMIFS(Master!$G$2:$G$13,Master!$E$2:$E$13,C636,Master!$F$2:$F$13,D636)))</f>
        <v/>
      </c>
      <c r="G636" s="5" t="n"/>
      <c r="H636" s="5" t="n"/>
      <c r="I636" s="5" t="n"/>
      <c r="J636" s="6">
        <f>IF(OR(F636="",COUNT(G636:I636)&lt;3),"",F636+G636-H636-I636)</f>
        <v/>
      </c>
      <c r="K636" s="6">
        <f>IF(COUNTA(A636:D636,G636:I636)=0,"",IF(COUNTA(A636:D636,G636:I636)&lt;7,"LENGKAPI",IF(H636+I636&gt;N(F636)+G636,"ABNORMAL",IF(COUNTIFS($A$2:$A$2001,A636,$B$2:$B$2001,B636,$C$2:$C$2001,C636,$D$2:$D$2001,D636)&gt;1,"DUPLIKAT","OK"))))</f>
        <v/>
      </c>
    </row>
    <row r="637">
      <c r="A637" s="4" t="n"/>
      <c r="B637" s="5" t="n"/>
      <c r="C637" s="5" t="n"/>
      <c r="D637" s="5" t="n"/>
      <c r="E637" s="6">
        <f>IF(A637="","","B"&amp;TEXT(COUNT($A$2:A637),"00000"))</f>
        <v/>
      </c>
      <c r="F637" s="6">
        <f>IF(OR(C637="",D637=""),"",IFERROR(LOOKUP(2,1/(($C$1:C636=C637)*($D$1:D636=D637)*ISNUMBER($J$1:J636)),$J$1:J636),SUMIFS(Master!$G$2:$G$13,Master!$E$2:$E$13,C637,Master!$F$2:$F$13,D637)))</f>
        <v/>
      </c>
      <c r="G637" s="5" t="n"/>
      <c r="H637" s="5" t="n"/>
      <c r="I637" s="5" t="n"/>
      <c r="J637" s="6">
        <f>IF(OR(F637="",COUNT(G637:I637)&lt;3),"",F637+G637-H637-I637)</f>
        <v/>
      </c>
      <c r="K637" s="6">
        <f>IF(COUNTA(A637:D637,G637:I637)=0,"",IF(COUNTA(A637:D637,G637:I637)&lt;7,"LENGKAPI",IF(H637+I637&gt;N(F637)+G637,"ABNORMAL",IF(COUNTIFS($A$2:$A$2001,A637,$B$2:$B$2001,B637,$C$2:$C$2001,C637,$D$2:$D$2001,D637)&gt;1,"DUPLIKAT","OK"))))</f>
        <v/>
      </c>
    </row>
    <row r="638">
      <c r="A638" s="4" t="n"/>
      <c r="B638" s="5" t="n"/>
      <c r="C638" s="5" t="n"/>
      <c r="D638" s="5" t="n"/>
      <c r="E638" s="6">
        <f>IF(A638="","","B"&amp;TEXT(COUNT($A$2:A638),"00000"))</f>
        <v/>
      </c>
      <c r="F638" s="6">
        <f>IF(OR(C638="",D638=""),"",IFERROR(LOOKUP(2,1/(($C$1:C637=C638)*($D$1:D637=D638)*ISNUMBER($J$1:J637)),$J$1:J637),SUMIFS(Master!$G$2:$G$13,Master!$E$2:$E$13,C638,Master!$F$2:$F$13,D638)))</f>
        <v/>
      </c>
      <c r="G638" s="5" t="n"/>
      <c r="H638" s="5" t="n"/>
      <c r="I638" s="5" t="n"/>
      <c r="J638" s="6">
        <f>IF(OR(F638="",COUNT(G638:I638)&lt;3),"",F638+G638-H638-I638)</f>
        <v/>
      </c>
      <c r="K638" s="6">
        <f>IF(COUNTA(A638:D638,G638:I638)=0,"",IF(COUNTA(A638:D638,G638:I638)&lt;7,"LENGKAPI",IF(H638+I638&gt;N(F638)+G638,"ABNORMAL",IF(COUNTIFS($A$2:$A$2001,A638,$B$2:$B$2001,B638,$C$2:$C$2001,C638,$D$2:$D$2001,D638)&gt;1,"DUPLIKAT","OK"))))</f>
        <v/>
      </c>
    </row>
    <row r="639">
      <c r="A639" s="4" t="n"/>
      <c r="B639" s="5" t="n"/>
      <c r="C639" s="5" t="n"/>
      <c r="D639" s="5" t="n"/>
      <c r="E639" s="6">
        <f>IF(A639="","","B"&amp;TEXT(COUNT($A$2:A639),"00000"))</f>
        <v/>
      </c>
      <c r="F639" s="6">
        <f>IF(OR(C639="",D639=""),"",IFERROR(LOOKUP(2,1/(($C$1:C638=C639)*($D$1:D638=D639)*ISNUMBER($J$1:J638)),$J$1:J638),SUMIFS(Master!$G$2:$G$13,Master!$E$2:$E$13,C639,Master!$F$2:$F$13,D639)))</f>
        <v/>
      </c>
      <c r="G639" s="5" t="n"/>
      <c r="H639" s="5" t="n"/>
      <c r="I639" s="5" t="n"/>
      <c r="J639" s="6">
        <f>IF(OR(F639="",COUNT(G639:I639)&lt;3),"",F639+G639-H639-I639)</f>
        <v/>
      </c>
      <c r="K639" s="6">
        <f>IF(COUNTA(A639:D639,G639:I639)=0,"",IF(COUNTA(A639:D639,G639:I639)&lt;7,"LENGKAPI",IF(H639+I639&gt;N(F639)+G639,"ABNORMAL",IF(COUNTIFS($A$2:$A$2001,A639,$B$2:$B$2001,B639,$C$2:$C$2001,C639,$D$2:$D$2001,D639)&gt;1,"DUPLIKAT","OK"))))</f>
        <v/>
      </c>
    </row>
    <row r="640">
      <c r="A640" s="4" t="n"/>
      <c r="B640" s="5" t="n"/>
      <c r="C640" s="5" t="n"/>
      <c r="D640" s="5" t="n"/>
      <c r="E640" s="6">
        <f>IF(A640="","","B"&amp;TEXT(COUNT($A$2:A640),"00000"))</f>
        <v/>
      </c>
      <c r="F640" s="6">
        <f>IF(OR(C640="",D640=""),"",IFERROR(LOOKUP(2,1/(($C$1:C639=C640)*($D$1:D639=D640)*ISNUMBER($J$1:J639)),$J$1:J639),SUMIFS(Master!$G$2:$G$13,Master!$E$2:$E$13,C640,Master!$F$2:$F$13,D640)))</f>
        <v/>
      </c>
      <c r="G640" s="5" t="n"/>
      <c r="H640" s="5" t="n"/>
      <c r="I640" s="5" t="n"/>
      <c r="J640" s="6">
        <f>IF(OR(F640="",COUNT(G640:I640)&lt;3),"",F640+G640-H640-I640)</f>
        <v/>
      </c>
      <c r="K640" s="6">
        <f>IF(COUNTA(A640:D640,G640:I640)=0,"",IF(COUNTA(A640:D640,G640:I640)&lt;7,"LENGKAPI",IF(H640+I640&gt;N(F640)+G640,"ABNORMAL",IF(COUNTIFS($A$2:$A$2001,A640,$B$2:$B$2001,B640,$C$2:$C$2001,C640,$D$2:$D$2001,D640)&gt;1,"DUPLIKAT","OK"))))</f>
        <v/>
      </c>
    </row>
    <row r="641">
      <c r="A641" s="4" t="n"/>
      <c r="B641" s="5" t="n"/>
      <c r="C641" s="5" t="n"/>
      <c r="D641" s="5" t="n"/>
      <c r="E641" s="6">
        <f>IF(A641="","","B"&amp;TEXT(COUNT($A$2:A641),"00000"))</f>
        <v/>
      </c>
      <c r="F641" s="6">
        <f>IF(OR(C641="",D641=""),"",IFERROR(LOOKUP(2,1/(($C$1:C640=C641)*($D$1:D640=D641)*ISNUMBER($J$1:J640)),$J$1:J640),SUMIFS(Master!$G$2:$G$13,Master!$E$2:$E$13,C641,Master!$F$2:$F$13,D641)))</f>
        <v/>
      </c>
      <c r="G641" s="5" t="n"/>
      <c r="H641" s="5" t="n"/>
      <c r="I641" s="5" t="n"/>
      <c r="J641" s="6">
        <f>IF(OR(F641="",COUNT(G641:I641)&lt;3),"",F641+G641-H641-I641)</f>
        <v/>
      </c>
      <c r="K641" s="6">
        <f>IF(COUNTA(A641:D641,G641:I641)=0,"",IF(COUNTA(A641:D641,G641:I641)&lt;7,"LENGKAPI",IF(H641+I641&gt;N(F641)+G641,"ABNORMAL",IF(COUNTIFS($A$2:$A$2001,A641,$B$2:$B$2001,B641,$C$2:$C$2001,C641,$D$2:$D$2001,D641)&gt;1,"DUPLIKAT","OK"))))</f>
        <v/>
      </c>
    </row>
    <row r="642">
      <c r="A642" s="4" t="n"/>
      <c r="B642" s="5" t="n"/>
      <c r="C642" s="5" t="n"/>
      <c r="D642" s="5" t="n"/>
      <c r="E642" s="6">
        <f>IF(A642="","","B"&amp;TEXT(COUNT($A$2:A642),"00000"))</f>
        <v/>
      </c>
      <c r="F642" s="6">
        <f>IF(OR(C642="",D642=""),"",IFERROR(LOOKUP(2,1/(($C$1:C641=C642)*($D$1:D641=D642)*ISNUMBER($J$1:J641)),$J$1:J641),SUMIFS(Master!$G$2:$G$13,Master!$E$2:$E$13,C642,Master!$F$2:$F$13,D642)))</f>
        <v/>
      </c>
      <c r="G642" s="5" t="n"/>
      <c r="H642" s="5" t="n"/>
      <c r="I642" s="5" t="n"/>
      <c r="J642" s="6">
        <f>IF(OR(F642="",COUNT(G642:I642)&lt;3),"",F642+G642-H642-I642)</f>
        <v/>
      </c>
      <c r="K642" s="6">
        <f>IF(COUNTA(A642:D642,G642:I642)=0,"",IF(COUNTA(A642:D642,G642:I642)&lt;7,"LENGKAPI",IF(H642+I642&gt;N(F642)+G642,"ABNORMAL",IF(COUNTIFS($A$2:$A$2001,A642,$B$2:$B$2001,B642,$C$2:$C$2001,C642,$D$2:$D$2001,D642)&gt;1,"DUPLIKAT","OK"))))</f>
        <v/>
      </c>
    </row>
    <row r="643">
      <c r="A643" s="4" t="n"/>
      <c r="B643" s="5" t="n"/>
      <c r="C643" s="5" t="n"/>
      <c r="D643" s="5" t="n"/>
      <c r="E643" s="6">
        <f>IF(A643="","","B"&amp;TEXT(COUNT($A$2:A643),"00000"))</f>
        <v/>
      </c>
      <c r="F643" s="6">
        <f>IF(OR(C643="",D643=""),"",IFERROR(LOOKUP(2,1/(($C$1:C642=C643)*($D$1:D642=D643)*ISNUMBER($J$1:J642)),$J$1:J642),SUMIFS(Master!$G$2:$G$13,Master!$E$2:$E$13,C643,Master!$F$2:$F$13,D643)))</f>
        <v/>
      </c>
      <c r="G643" s="5" t="n"/>
      <c r="H643" s="5" t="n"/>
      <c r="I643" s="5" t="n"/>
      <c r="J643" s="6">
        <f>IF(OR(F643="",COUNT(G643:I643)&lt;3),"",F643+G643-H643-I643)</f>
        <v/>
      </c>
      <c r="K643" s="6">
        <f>IF(COUNTA(A643:D643,G643:I643)=0,"",IF(COUNTA(A643:D643,G643:I643)&lt;7,"LENGKAPI",IF(H643+I643&gt;N(F643)+G643,"ABNORMAL",IF(COUNTIFS($A$2:$A$2001,A643,$B$2:$B$2001,B643,$C$2:$C$2001,C643,$D$2:$D$2001,D643)&gt;1,"DUPLIKAT","OK"))))</f>
        <v/>
      </c>
    </row>
    <row r="644">
      <c r="A644" s="4" t="n"/>
      <c r="B644" s="5" t="n"/>
      <c r="C644" s="5" t="n"/>
      <c r="D644" s="5" t="n"/>
      <c r="E644" s="6">
        <f>IF(A644="","","B"&amp;TEXT(COUNT($A$2:A644),"00000"))</f>
        <v/>
      </c>
      <c r="F644" s="6">
        <f>IF(OR(C644="",D644=""),"",IFERROR(LOOKUP(2,1/(($C$1:C643=C644)*($D$1:D643=D644)*ISNUMBER($J$1:J643)),$J$1:J643),SUMIFS(Master!$G$2:$G$13,Master!$E$2:$E$13,C644,Master!$F$2:$F$13,D644)))</f>
        <v/>
      </c>
      <c r="G644" s="5" t="n"/>
      <c r="H644" s="5" t="n"/>
      <c r="I644" s="5" t="n"/>
      <c r="J644" s="6">
        <f>IF(OR(F644="",COUNT(G644:I644)&lt;3),"",F644+G644-H644-I644)</f>
        <v/>
      </c>
      <c r="K644" s="6">
        <f>IF(COUNTA(A644:D644,G644:I644)=0,"",IF(COUNTA(A644:D644,G644:I644)&lt;7,"LENGKAPI",IF(H644+I644&gt;N(F644)+G644,"ABNORMAL",IF(COUNTIFS($A$2:$A$2001,A644,$B$2:$B$2001,B644,$C$2:$C$2001,C644,$D$2:$D$2001,D644)&gt;1,"DUPLIKAT","OK"))))</f>
        <v/>
      </c>
    </row>
    <row r="645">
      <c r="A645" s="4" t="n"/>
      <c r="B645" s="5" t="n"/>
      <c r="C645" s="5" t="n"/>
      <c r="D645" s="5" t="n"/>
      <c r="E645" s="6">
        <f>IF(A645="","","B"&amp;TEXT(COUNT($A$2:A645),"00000"))</f>
        <v/>
      </c>
      <c r="F645" s="6">
        <f>IF(OR(C645="",D645=""),"",IFERROR(LOOKUP(2,1/(($C$1:C644=C645)*($D$1:D644=D645)*ISNUMBER($J$1:J644)),$J$1:J644),SUMIFS(Master!$G$2:$G$13,Master!$E$2:$E$13,C645,Master!$F$2:$F$13,D645)))</f>
        <v/>
      </c>
      <c r="G645" s="5" t="n"/>
      <c r="H645" s="5" t="n"/>
      <c r="I645" s="5" t="n"/>
      <c r="J645" s="6">
        <f>IF(OR(F645="",COUNT(G645:I645)&lt;3),"",F645+G645-H645-I645)</f>
        <v/>
      </c>
      <c r="K645" s="6">
        <f>IF(COUNTA(A645:D645,G645:I645)=0,"",IF(COUNTA(A645:D645,G645:I645)&lt;7,"LENGKAPI",IF(H645+I645&gt;N(F645)+G645,"ABNORMAL",IF(COUNTIFS($A$2:$A$2001,A645,$B$2:$B$2001,B645,$C$2:$C$2001,C645,$D$2:$D$2001,D645)&gt;1,"DUPLIKAT","OK"))))</f>
        <v/>
      </c>
    </row>
    <row r="646">
      <c r="A646" s="4" t="n"/>
      <c r="B646" s="5" t="n"/>
      <c r="C646" s="5" t="n"/>
      <c r="D646" s="5" t="n"/>
      <c r="E646" s="6">
        <f>IF(A646="","","B"&amp;TEXT(COUNT($A$2:A646),"00000"))</f>
        <v/>
      </c>
      <c r="F646" s="6">
        <f>IF(OR(C646="",D646=""),"",IFERROR(LOOKUP(2,1/(($C$1:C645=C646)*($D$1:D645=D646)*ISNUMBER($J$1:J645)),$J$1:J645),SUMIFS(Master!$G$2:$G$13,Master!$E$2:$E$13,C646,Master!$F$2:$F$13,D646)))</f>
        <v/>
      </c>
      <c r="G646" s="5" t="n"/>
      <c r="H646" s="5" t="n"/>
      <c r="I646" s="5" t="n"/>
      <c r="J646" s="6">
        <f>IF(OR(F646="",COUNT(G646:I646)&lt;3),"",F646+G646-H646-I646)</f>
        <v/>
      </c>
      <c r="K646" s="6">
        <f>IF(COUNTA(A646:D646,G646:I646)=0,"",IF(COUNTA(A646:D646,G646:I646)&lt;7,"LENGKAPI",IF(H646+I646&gt;N(F646)+G646,"ABNORMAL",IF(COUNTIFS($A$2:$A$2001,A646,$B$2:$B$2001,B646,$C$2:$C$2001,C646,$D$2:$D$2001,D646)&gt;1,"DUPLIKAT","OK"))))</f>
        <v/>
      </c>
    </row>
    <row r="647">
      <c r="A647" s="4" t="n"/>
      <c r="B647" s="5" t="n"/>
      <c r="C647" s="5" t="n"/>
      <c r="D647" s="5" t="n"/>
      <c r="E647" s="6">
        <f>IF(A647="","","B"&amp;TEXT(COUNT($A$2:A647),"00000"))</f>
        <v/>
      </c>
      <c r="F647" s="6">
        <f>IF(OR(C647="",D647=""),"",IFERROR(LOOKUP(2,1/(($C$1:C646=C647)*($D$1:D646=D647)*ISNUMBER($J$1:J646)),$J$1:J646),SUMIFS(Master!$G$2:$G$13,Master!$E$2:$E$13,C647,Master!$F$2:$F$13,D647)))</f>
        <v/>
      </c>
      <c r="G647" s="5" t="n"/>
      <c r="H647" s="5" t="n"/>
      <c r="I647" s="5" t="n"/>
      <c r="J647" s="6">
        <f>IF(OR(F647="",COUNT(G647:I647)&lt;3),"",F647+G647-H647-I647)</f>
        <v/>
      </c>
      <c r="K647" s="6">
        <f>IF(COUNTA(A647:D647,G647:I647)=0,"",IF(COUNTA(A647:D647,G647:I647)&lt;7,"LENGKAPI",IF(H647+I647&gt;N(F647)+G647,"ABNORMAL",IF(COUNTIFS($A$2:$A$2001,A647,$B$2:$B$2001,B647,$C$2:$C$2001,C647,$D$2:$D$2001,D647)&gt;1,"DUPLIKAT","OK"))))</f>
        <v/>
      </c>
    </row>
    <row r="648">
      <c r="A648" s="4" t="n"/>
      <c r="B648" s="5" t="n"/>
      <c r="C648" s="5" t="n"/>
      <c r="D648" s="5" t="n"/>
      <c r="E648" s="6">
        <f>IF(A648="","","B"&amp;TEXT(COUNT($A$2:A648),"00000"))</f>
        <v/>
      </c>
      <c r="F648" s="6">
        <f>IF(OR(C648="",D648=""),"",IFERROR(LOOKUP(2,1/(($C$1:C647=C648)*($D$1:D647=D648)*ISNUMBER($J$1:J647)),$J$1:J647),SUMIFS(Master!$G$2:$G$13,Master!$E$2:$E$13,C648,Master!$F$2:$F$13,D648)))</f>
        <v/>
      </c>
      <c r="G648" s="5" t="n"/>
      <c r="H648" s="5" t="n"/>
      <c r="I648" s="5" t="n"/>
      <c r="J648" s="6">
        <f>IF(OR(F648="",COUNT(G648:I648)&lt;3),"",F648+G648-H648-I648)</f>
        <v/>
      </c>
      <c r="K648" s="6">
        <f>IF(COUNTA(A648:D648,G648:I648)=0,"",IF(COUNTA(A648:D648,G648:I648)&lt;7,"LENGKAPI",IF(H648+I648&gt;N(F648)+G648,"ABNORMAL",IF(COUNTIFS($A$2:$A$2001,A648,$B$2:$B$2001,B648,$C$2:$C$2001,C648,$D$2:$D$2001,D648)&gt;1,"DUPLIKAT","OK"))))</f>
        <v/>
      </c>
    </row>
    <row r="649">
      <c r="A649" s="4" t="n"/>
      <c r="B649" s="5" t="n"/>
      <c r="C649" s="5" t="n"/>
      <c r="D649" s="5" t="n"/>
      <c r="E649" s="6">
        <f>IF(A649="","","B"&amp;TEXT(COUNT($A$2:A649),"00000"))</f>
        <v/>
      </c>
      <c r="F649" s="6">
        <f>IF(OR(C649="",D649=""),"",IFERROR(LOOKUP(2,1/(($C$1:C648=C649)*($D$1:D648=D649)*ISNUMBER($J$1:J648)),$J$1:J648),SUMIFS(Master!$G$2:$G$13,Master!$E$2:$E$13,C649,Master!$F$2:$F$13,D649)))</f>
        <v/>
      </c>
      <c r="G649" s="5" t="n"/>
      <c r="H649" s="5" t="n"/>
      <c r="I649" s="5" t="n"/>
      <c r="J649" s="6">
        <f>IF(OR(F649="",COUNT(G649:I649)&lt;3),"",F649+G649-H649-I649)</f>
        <v/>
      </c>
      <c r="K649" s="6">
        <f>IF(COUNTA(A649:D649,G649:I649)=0,"",IF(COUNTA(A649:D649,G649:I649)&lt;7,"LENGKAPI",IF(H649+I649&gt;N(F649)+G649,"ABNORMAL",IF(COUNTIFS($A$2:$A$2001,A649,$B$2:$B$2001,B649,$C$2:$C$2001,C649,$D$2:$D$2001,D649)&gt;1,"DUPLIKAT","OK"))))</f>
        <v/>
      </c>
    </row>
    <row r="650">
      <c r="A650" s="4" t="n"/>
      <c r="B650" s="5" t="n"/>
      <c r="C650" s="5" t="n"/>
      <c r="D650" s="5" t="n"/>
      <c r="E650" s="6">
        <f>IF(A650="","","B"&amp;TEXT(COUNT($A$2:A650),"00000"))</f>
        <v/>
      </c>
      <c r="F650" s="6">
        <f>IF(OR(C650="",D650=""),"",IFERROR(LOOKUP(2,1/(($C$1:C649=C650)*($D$1:D649=D650)*ISNUMBER($J$1:J649)),$J$1:J649),SUMIFS(Master!$G$2:$G$13,Master!$E$2:$E$13,C650,Master!$F$2:$F$13,D650)))</f>
        <v/>
      </c>
      <c r="G650" s="5" t="n"/>
      <c r="H650" s="5" t="n"/>
      <c r="I650" s="5" t="n"/>
      <c r="J650" s="6">
        <f>IF(OR(F650="",COUNT(G650:I650)&lt;3),"",F650+G650-H650-I650)</f>
        <v/>
      </c>
      <c r="K650" s="6">
        <f>IF(COUNTA(A650:D650,G650:I650)=0,"",IF(COUNTA(A650:D650,G650:I650)&lt;7,"LENGKAPI",IF(H650+I650&gt;N(F650)+G650,"ABNORMAL",IF(COUNTIFS($A$2:$A$2001,A650,$B$2:$B$2001,B650,$C$2:$C$2001,C650,$D$2:$D$2001,D650)&gt;1,"DUPLIKAT","OK"))))</f>
        <v/>
      </c>
    </row>
    <row r="651">
      <c r="A651" s="4" t="n"/>
      <c r="B651" s="5" t="n"/>
      <c r="C651" s="5" t="n"/>
      <c r="D651" s="5" t="n"/>
      <c r="E651" s="6">
        <f>IF(A651="","","B"&amp;TEXT(COUNT($A$2:A651),"00000"))</f>
        <v/>
      </c>
      <c r="F651" s="6">
        <f>IF(OR(C651="",D651=""),"",IFERROR(LOOKUP(2,1/(($C$1:C650=C651)*($D$1:D650=D651)*ISNUMBER($J$1:J650)),$J$1:J650),SUMIFS(Master!$G$2:$G$13,Master!$E$2:$E$13,C651,Master!$F$2:$F$13,D651)))</f>
        <v/>
      </c>
      <c r="G651" s="5" t="n"/>
      <c r="H651" s="5" t="n"/>
      <c r="I651" s="5" t="n"/>
      <c r="J651" s="6">
        <f>IF(OR(F651="",COUNT(G651:I651)&lt;3),"",F651+G651-H651-I651)</f>
        <v/>
      </c>
      <c r="K651" s="6">
        <f>IF(COUNTA(A651:D651,G651:I651)=0,"",IF(COUNTA(A651:D651,G651:I651)&lt;7,"LENGKAPI",IF(H651+I651&gt;N(F651)+G651,"ABNORMAL",IF(COUNTIFS($A$2:$A$2001,A651,$B$2:$B$2001,B651,$C$2:$C$2001,C651,$D$2:$D$2001,D651)&gt;1,"DUPLIKAT","OK"))))</f>
        <v/>
      </c>
    </row>
    <row r="652">
      <c r="A652" s="4" t="n"/>
      <c r="B652" s="5" t="n"/>
      <c r="C652" s="5" t="n"/>
      <c r="D652" s="5" t="n"/>
      <c r="E652" s="6">
        <f>IF(A652="","","B"&amp;TEXT(COUNT($A$2:A652),"00000"))</f>
        <v/>
      </c>
      <c r="F652" s="6">
        <f>IF(OR(C652="",D652=""),"",IFERROR(LOOKUP(2,1/(($C$1:C651=C652)*($D$1:D651=D652)*ISNUMBER($J$1:J651)),$J$1:J651),SUMIFS(Master!$G$2:$G$13,Master!$E$2:$E$13,C652,Master!$F$2:$F$13,D652)))</f>
        <v/>
      </c>
      <c r="G652" s="5" t="n"/>
      <c r="H652" s="5" t="n"/>
      <c r="I652" s="5" t="n"/>
      <c r="J652" s="6">
        <f>IF(OR(F652="",COUNT(G652:I652)&lt;3),"",F652+G652-H652-I652)</f>
        <v/>
      </c>
      <c r="K652" s="6">
        <f>IF(COUNTA(A652:D652,G652:I652)=0,"",IF(COUNTA(A652:D652,G652:I652)&lt;7,"LENGKAPI",IF(H652+I652&gt;N(F652)+G652,"ABNORMAL",IF(COUNTIFS($A$2:$A$2001,A652,$B$2:$B$2001,B652,$C$2:$C$2001,C652,$D$2:$D$2001,D652)&gt;1,"DUPLIKAT","OK"))))</f>
        <v/>
      </c>
    </row>
    <row r="653">
      <c r="A653" s="4" t="n"/>
      <c r="B653" s="5" t="n"/>
      <c r="C653" s="5" t="n"/>
      <c r="D653" s="5" t="n"/>
      <c r="E653" s="6">
        <f>IF(A653="","","B"&amp;TEXT(COUNT($A$2:A653),"00000"))</f>
        <v/>
      </c>
      <c r="F653" s="6">
        <f>IF(OR(C653="",D653=""),"",IFERROR(LOOKUP(2,1/(($C$1:C652=C653)*($D$1:D652=D653)*ISNUMBER($J$1:J652)),$J$1:J652),SUMIFS(Master!$G$2:$G$13,Master!$E$2:$E$13,C653,Master!$F$2:$F$13,D653)))</f>
        <v/>
      </c>
      <c r="G653" s="5" t="n"/>
      <c r="H653" s="5" t="n"/>
      <c r="I653" s="5" t="n"/>
      <c r="J653" s="6">
        <f>IF(OR(F653="",COUNT(G653:I653)&lt;3),"",F653+G653-H653-I653)</f>
        <v/>
      </c>
      <c r="K653" s="6">
        <f>IF(COUNTA(A653:D653,G653:I653)=0,"",IF(COUNTA(A653:D653,G653:I653)&lt;7,"LENGKAPI",IF(H653+I653&gt;N(F653)+G653,"ABNORMAL",IF(COUNTIFS($A$2:$A$2001,A653,$B$2:$B$2001,B653,$C$2:$C$2001,C653,$D$2:$D$2001,D653)&gt;1,"DUPLIKAT","OK"))))</f>
        <v/>
      </c>
    </row>
    <row r="654">
      <c r="A654" s="4" t="n"/>
      <c r="B654" s="5" t="n"/>
      <c r="C654" s="5" t="n"/>
      <c r="D654" s="5" t="n"/>
      <c r="E654" s="6">
        <f>IF(A654="","","B"&amp;TEXT(COUNT($A$2:A654),"00000"))</f>
        <v/>
      </c>
      <c r="F654" s="6">
        <f>IF(OR(C654="",D654=""),"",IFERROR(LOOKUP(2,1/(($C$1:C653=C654)*($D$1:D653=D654)*ISNUMBER($J$1:J653)),$J$1:J653),SUMIFS(Master!$G$2:$G$13,Master!$E$2:$E$13,C654,Master!$F$2:$F$13,D654)))</f>
        <v/>
      </c>
      <c r="G654" s="5" t="n"/>
      <c r="H654" s="5" t="n"/>
      <c r="I654" s="5" t="n"/>
      <c r="J654" s="6">
        <f>IF(OR(F654="",COUNT(G654:I654)&lt;3),"",F654+G654-H654-I654)</f>
        <v/>
      </c>
      <c r="K654" s="6">
        <f>IF(COUNTA(A654:D654,G654:I654)=0,"",IF(COUNTA(A654:D654,G654:I654)&lt;7,"LENGKAPI",IF(H654+I654&gt;N(F654)+G654,"ABNORMAL",IF(COUNTIFS($A$2:$A$2001,A654,$B$2:$B$2001,B654,$C$2:$C$2001,C654,$D$2:$D$2001,D654)&gt;1,"DUPLIKAT","OK"))))</f>
        <v/>
      </c>
    </row>
    <row r="655">
      <c r="A655" s="4" t="n"/>
      <c r="B655" s="5" t="n"/>
      <c r="C655" s="5" t="n"/>
      <c r="D655" s="5" t="n"/>
      <c r="E655" s="6">
        <f>IF(A655="","","B"&amp;TEXT(COUNT($A$2:A655),"00000"))</f>
        <v/>
      </c>
      <c r="F655" s="6">
        <f>IF(OR(C655="",D655=""),"",IFERROR(LOOKUP(2,1/(($C$1:C654=C655)*($D$1:D654=D655)*ISNUMBER($J$1:J654)),$J$1:J654),SUMIFS(Master!$G$2:$G$13,Master!$E$2:$E$13,C655,Master!$F$2:$F$13,D655)))</f>
        <v/>
      </c>
      <c r="G655" s="5" t="n"/>
      <c r="H655" s="5" t="n"/>
      <c r="I655" s="5" t="n"/>
      <c r="J655" s="6">
        <f>IF(OR(F655="",COUNT(G655:I655)&lt;3),"",F655+G655-H655-I655)</f>
        <v/>
      </c>
      <c r="K655" s="6">
        <f>IF(COUNTA(A655:D655,G655:I655)=0,"",IF(COUNTA(A655:D655,G655:I655)&lt;7,"LENGKAPI",IF(H655+I655&gt;N(F655)+G655,"ABNORMAL",IF(COUNTIFS($A$2:$A$2001,A655,$B$2:$B$2001,B655,$C$2:$C$2001,C655,$D$2:$D$2001,D655)&gt;1,"DUPLIKAT","OK"))))</f>
        <v/>
      </c>
    </row>
    <row r="656">
      <c r="A656" s="4" t="n"/>
      <c r="B656" s="5" t="n"/>
      <c r="C656" s="5" t="n"/>
      <c r="D656" s="5" t="n"/>
      <c r="E656" s="6">
        <f>IF(A656="","","B"&amp;TEXT(COUNT($A$2:A656),"00000"))</f>
        <v/>
      </c>
      <c r="F656" s="6">
        <f>IF(OR(C656="",D656=""),"",IFERROR(LOOKUP(2,1/(($C$1:C655=C656)*($D$1:D655=D656)*ISNUMBER($J$1:J655)),$J$1:J655),SUMIFS(Master!$G$2:$G$13,Master!$E$2:$E$13,C656,Master!$F$2:$F$13,D656)))</f>
        <v/>
      </c>
      <c r="G656" s="5" t="n"/>
      <c r="H656" s="5" t="n"/>
      <c r="I656" s="5" t="n"/>
      <c r="J656" s="6">
        <f>IF(OR(F656="",COUNT(G656:I656)&lt;3),"",F656+G656-H656-I656)</f>
        <v/>
      </c>
      <c r="K656" s="6">
        <f>IF(COUNTA(A656:D656,G656:I656)=0,"",IF(COUNTA(A656:D656,G656:I656)&lt;7,"LENGKAPI",IF(H656+I656&gt;N(F656)+G656,"ABNORMAL",IF(COUNTIFS($A$2:$A$2001,A656,$B$2:$B$2001,B656,$C$2:$C$2001,C656,$D$2:$D$2001,D656)&gt;1,"DUPLIKAT","OK"))))</f>
        <v/>
      </c>
    </row>
    <row r="657">
      <c r="A657" s="4" t="n"/>
      <c r="B657" s="5" t="n"/>
      <c r="C657" s="5" t="n"/>
      <c r="D657" s="5" t="n"/>
      <c r="E657" s="6">
        <f>IF(A657="","","B"&amp;TEXT(COUNT($A$2:A657),"00000"))</f>
        <v/>
      </c>
      <c r="F657" s="6">
        <f>IF(OR(C657="",D657=""),"",IFERROR(LOOKUP(2,1/(($C$1:C656=C657)*($D$1:D656=D657)*ISNUMBER($J$1:J656)),$J$1:J656),SUMIFS(Master!$G$2:$G$13,Master!$E$2:$E$13,C657,Master!$F$2:$F$13,D657)))</f>
        <v/>
      </c>
      <c r="G657" s="5" t="n"/>
      <c r="H657" s="5" t="n"/>
      <c r="I657" s="5" t="n"/>
      <c r="J657" s="6">
        <f>IF(OR(F657="",COUNT(G657:I657)&lt;3),"",F657+G657-H657-I657)</f>
        <v/>
      </c>
      <c r="K657" s="6">
        <f>IF(COUNTA(A657:D657,G657:I657)=0,"",IF(COUNTA(A657:D657,G657:I657)&lt;7,"LENGKAPI",IF(H657+I657&gt;N(F657)+G657,"ABNORMAL",IF(COUNTIFS($A$2:$A$2001,A657,$B$2:$B$2001,B657,$C$2:$C$2001,C657,$D$2:$D$2001,D657)&gt;1,"DUPLIKAT","OK"))))</f>
        <v/>
      </c>
    </row>
    <row r="658">
      <c r="A658" s="4" t="n"/>
      <c r="B658" s="5" t="n"/>
      <c r="C658" s="5" t="n"/>
      <c r="D658" s="5" t="n"/>
      <c r="E658" s="6">
        <f>IF(A658="","","B"&amp;TEXT(COUNT($A$2:A658),"00000"))</f>
        <v/>
      </c>
      <c r="F658" s="6">
        <f>IF(OR(C658="",D658=""),"",IFERROR(LOOKUP(2,1/(($C$1:C657=C658)*($D$1:D657=D658)*ISNUMBER($J$1:J657)),$J$1:J657),SUMIFS(Master!$G$2:$G$13,Master!$E$2:$E$13,C658,Master!$F$2:$F$13,D658)))</f>
        <v/>
      </c>
      <c r="G658" s="5" t="n"/>
      <c r="H658" s="5" t="n"/>
      <c r="I658" s="5" t="n"/>
      <c r="J658" s="6">
        <f>IF(OR(F658="",COUNT(G658:I658)&lt;3),"",F658+G658-H658-I658)</f>
        <v/>
      </c>
      <c r="K658" s="6">
        <f>IF(COUNTA(A658:D658,G658:I658)=0,"",IF(COUNTA(A658:D658,G658:I658)&lt;7,"LENGKAPI",IF(H658+I658&gt;N(F658)+G658,"ABNORMAL",IF(COUNTIFS($A$2:$A$2001,A658,$B$2:$B$2001,B658,$C$2:$C$2001,C658,$D$2:$D$2001,D658)&gt;1,"DUPLIKAT","OK"))))</f>
        <v/>
      </c>
    </row>
    <row r="659">
      <c r="A659" s="4" t="n"/>
      <c r="B659" s="5" t="n"/>
      <c r="C659" s="5" t="n"/>
      <c r="D659" s="5" t="n"/>
      <c r="E659" s="6">
        <f>IF(A659="","","B"&amp;TEXT(COUNT($A$2:A659),"00000"))</f>
        <v/>
      </c>
      <c r="F659" s="6">
        <f>IF(OR(C659="",D659=""),"",IFERROR(LOOKUP(2,1/(($C$1:C658=C659)*($D$1:D658=D659)*ISNUMBER($J$1:J658)),$J$1:J658),SUMIFS(Master!$G$2:$G$13,Master!$E$2:$E$13,C659,Master!$F$2:$F$13,D659)))</f>
        <v/>
      </c>
      <c r="G659" s="5" t="n"/>
      <c r="H659" s="5" t="n"/>
      <c r="I659" s="5" t="n"/>
      <c r="J659" s="6">
        <f>IF(OR(F659="",COUNT(G659:I659)&lt;3),"",F659+G659-H659-I659)</f>
        <v/>
      </c>
      <c r="K659" s="6">
        <f>IF(COUNTA(A659:D659,G659:I659)=0,"",IF(COUNTA(A659:D659,G659:I659)&lt;7,"LENGKAPI",IF(H659+I659&gt;N(F659)+G659,"ABNORMAL",IF(COUNTIFS($A$2:$A$2001,A659,$B$2:$B$2001,B659,$C$2:$C$2001,C659,$D$2:$D$2001,D659)&gt;1,"DUPLIKAT","OK"))))</f>
        <v/>
      </c>
    </row>
    <row r="660">
      <c r="A660" s="4" t="n"/>
      <c r="B660" s="5" t="n"/>
      <c r="C660" s="5" t="n"/>
      <c r="D660" s="5" t="n"/>
      <c r="E660" s="6">
        <f>IF(A660="","","B"&amp;TEXT(COUNT($A$2:A660),"00000"))</f>
        <v/>
      </c>
      <c r="F660" s="6">
        <f>IF(OR(C660="",D660=""),"",IFERROR(LOOKUP(2,1/(($C$1:C659=C660)*($D$1:D659=D660)*ISNUMBER($J$1:J659)),$J$1:J659),SUMIFS(Master!$G$2:$G$13,Master!$E$2:$E$13,C660,Master!$F$2:$F$13,D660)))</f>
        <v/>
      </c>
      <c r="G660" s="5" t="n"/>
      <c r="H660" s="5" t="n"/>
      <c r="I660" s="5" t="n"/>
      <c r="J660" s="6">
        <f>IF(OR(F660="",COUNT(G660:I660)&lt;3),"",F660+G660-H660-I660)</f>
        <v/>
      </c>
      <c r="K660" s="6">
        <f>IF(COUNTA(A660:D660,G660:I660)=0,"",IF(COUNTA(A660:D660,G660:I660)&lt;7,"LENGKAPI",IF(H660+I660&gt;N(F660)+G660,"ABNORMAL",IF(COUNTIFS($A$2:$A$2001,A660,$B$2:$B$2001,B660,$C$2:$C$2001,C660,$D$2:$D$2001,D660)&gt;1,"DUPLIKAT","OK"))))</f>
        <v/>
      </c>
    </row>
    <row r="661">
      <c r="A661" s="4" t="n"/>
      <c r="B661" s="5" t="n"/>
      <c r="C661" s="5" t="n"/>
      <c r="D661" s="5" t="n"/>
      <c r="E661" s="6">
        <f>IF(A661="","","B"&amp;TEXT(COUNT($A$2:A661),"00000"))</f>
        <v/>
      </c>
      <c r="F661" s="6">
        <f>IF(OR(C661="",D661=""),"",IFERROR(LOOKUP(2,1/(($C$1:C660=C661)*($D$1:D660=D661)*ISNUMBER($J$1:J660)),$J$1:J660),SUMIFS(Master!$G$2:$G$13,Master!$E$2:$E$13,C661,Master!$F$2:$F$13,D661)))</f>
        <v/>
      </c>
      <c r="G661" s="5" t="n"/>
      <c r="H661" s="5" t="n"/>
      <c r="I661" s="5" t="n"/>
      <c r="J661" s="6">
        <f>IF(OR(F661="",COUNT(G661:I661)&lt;3),"",F661+G661-H661-I661)</f>
        <v/>
      </c>
      <c r="K661" s="6">
        <f>IF(COUNTA(A661:D661,G661:I661)=0,"",IF(COUNTA(A661:D661,G661:I661)&lt;7,"LENGKAPI",IF(H661+I661&gt;N(F661)+G661,"ABNORMAL",IF(COUNTIFS($A$2:$A$2001,A661,$B$2:$B$2001,B661,$C$2:$C$2001,C661,$D$2:$D$2001,D661)&gt;1,"DUPLIKAT","OK"))))</f>
        <v/>
      </c>
    </row>
    <row r="662">
      <c r="A662" s="4" t="n"/>
      <c r="B662" s="5" t="n"/>
      <c r="C662" s="5" t="n"/>
      <c r="D662" s="5" t="n"/>
      <c r="E662" s="6">
        <f>IF(A662="","","B"&amp;TEXT(COUNT($A$2:A662),"00000"))</f>
        <v/>
      </c>
      <c r="F662" s="6">
        <f>IF(OR(C662="",D662=""),"",IFERROR(LOOKUP(2,1/(($C$1:C661=C662)*($D$1:D661=D662)*ISNUMBER($J$1:J661)),$J$1:J661),SUMIFS(Master!$G$2:$G$13,Master!$E$2:$E$13,C662,Master!$F$2:$F$13,D662)))</f>
        <v/>
      </c>
      <c r="G662" s="5" t="n"/>
      <c r="H662" s="5" t="n"/>
      <c r="I662" s="5" t="n"/>
      <c r="J662" s="6">
        <f>IF(OR(F662="",COUNT(G662:I662)&lt;3),"",F662+G662-H662-I662)</f>
        <v/>
      </c>
      <c r="K662" s="6">
        <f>IF(COUNTA(A662:D662,G662:I662)=0,"",IF(COUNTA(A662:D662,G662:I662)&lt;7,"LENGKAPI",IF(H662+I662&gt;N(F662)+G662,"ABNORMAL",IF(COUNTIFS($A$2:$A$2001,A662,$B$2:$B$2001,B662,$C$2:$C$2001,C662,$D$2:$D$2001,D662)&gt;1,"DUPLIKAT","OK"))))</f>
        <v/>
      </c>
    </row>
    <row r="663">
      <c r="A663" s="4" t="n"/>
      <c r="B663" s="5" t="n"/>
      <c r="C663" s="5" t="n"/>
      <c r="D663" s="5" t="n"/>
      <c r="E663" s="6">
        <f>IF(A663="","","B"&amp;TEXT(COUNT($A$2:A663),"00000"))</f>
        <v/>
      </c>
      <c r="F663" s="6">
        <f>IF(OR(C663="",D663=""),"",IFERROR(LOOKUP(2,1/(($C$1:C662=C663)*($D$1:D662=D663)*ISNUMBER($J$1:J662)),$J$1:J662),SUMIFS(Master!$G$2:$G$13,Master!$E$2:$E$13,C663,Master!$F$2:$F$13,D663)))</f>
        <v/>
      </c>
      <c r="G663" s="5" t="n"/>
      <c r="H663" s="5" t="n"/>
      <c r="I663" s="5" t="n"/>
      <c r="J663" s="6">
        <f>IF(OR(F663="",COUNT(G663:I663)&lt;3),"",F663+G663-H663-I663)</f>
        <v/>
      </c>
      <c r="K663" s="6">
        <f>IF(COUNTA(A663:D663,G663:I663)=0,"",IF(COUNTA(A663:D663,G663:I663)&lt;7,"LENGKAPI",IF(H663+I663&gt;N(F663)+G663,"ABNORMAL",IF(COUNTIFS($A$2:$A$2001,A663,$B$2:$B$2001,B663,$C$2:$C$2001,C663,$D$2:$D$2001,D663)&gt;1,"DUPLIKAT","OK"))))</f>
        <v/>
      </c>
    </row>
    <row r="664">
      <c r="A664" s="4" t="n"/>
      <c r="B664" s="5" t="n"/>
      <c r="C664" s="5" t="n"/>
      <c r="D664" s="5" t="n"/>
      <c r="E664" s="6">
        <f>IF(A664="","","B"&amp;TEXT(COUNT($A$2:A664),"00000"))</f>
        <v/>
      </c>
      <c r="F664" s="6">
        <f>IF(OR(C664="",D664=""),"",IFERROR(LOOKUP(2,1/(($C$1:C663=C664)*($D$1:D663=D664)*ISNUMBER($J$1:J663)),$J$1:J663),SUMIFS(Master!$G$2:$G$13,Master!$E$2:$E$13,C664,Master!$F$2:$F$13,D664)))</f>
        <v/>
      </c>
      <c r="G664" s="5" t="n"/>
      <c r="H664" s="5" t="n"/>
      <c r="I664" s="5" t="n"/>
      <c r="J664" s="6">
        <f>IF(OR(F664="",COUNT(G664:I664)&lt;3),"",F664+G664-H664-I664)</f>
        <v/>
      </c>
      <c r="K664" s="6">
        <f>IF(COUNTA(A664:D664,G664:I664)=0,"",IF(COUNTA(A664:D664,G664:I664)&lt;7,"LENGKAPI",IF(H664+I664&gt;N(F664)+G664,"ABNORMAL",IF(COUNTIFS($A$2:$A$2001,A664,$B$2:$B$2001,B664,$C$2:$C$2001,C664,$D$2:$D$2001,D664)&gt;1,"DUPLIKAT","OK"))))</f>
        <v/>
      </c>
    </row>
    <row r="665">
      <c r="A665" s="4" t="n"/>
      <c r="B665" s="5" t="n"/>
      <c r="C665" s="5" t="n"/>
      <c r="D665" s="5" t="n"/>
      <c r="E665" s="6">
        <f>IF(A665="","","B"&amp;TEXT(COUNT($A$2:A665),"00000"))</f>
        <v/>
      </c>
      <c r="F665" s="6">
        <f>IF(OR(C665="",D665=""),"",IFERROR(LOOKUP(2,1/(($C$1:C664=C665)*($D$1:D664=D665)*ISNUMBER($J$1:J664)),$J$1:J664),SUMIFS(Master!$G$2:$G$13,Master!$E$2:$E$13,C665,Master!$F$2:$F$13,D665)))</f>
        <v/>
      </c>
      <c r="G665" s="5" t="n"/>
      <c r="H665" s="5" t="n"/>
      <c r="I665" s="5" t="n"/>
      <c r="J665" s="6">
        <f>IF(OR(F665="",COUNT(G665:I665)&lt;3),"",F665+G665-H665-I665)</f>
        <v/>
      </c>
      <c r="K665" s="6">
        <f>IF(COUNTA(A665:D665,G665:I665)=0,"",IF(COUNTA(A665:D665,G665:I665)&lt;7,"LENGKAPI",IF(H665+I665&gt;N(F665)+G665,"ABNORMAL",IF(COUNTIFS($A$2:$A$2001,A665,$B$2:$B$2001,B665,$C$2:$C$2001,C665,$D$2:$D$2001,D665)&gt;1,"DUPLIKAT","OK"))))</f>
        <v/>
      </c>
    </row>
    <row r="666">
      <c r="A666" s="4" t="n"/>
      <c r="B666" s="5" t="n"/>
      <c r="C666" s="5" t="n"/>
      <c r="D666" s="5" t="n"/>
      <c r="E666" s="6">
        <f>IF(A666="","","B"&amp;TEXT(COUNT($A$2:A666),"00000"))</f>
        <v/>
      </c>
      <c r="F666" s="6">
        <f>IF(OR(C666="",D666=""),"",IFERROR(LOOKUP(2,1/(($C$1:C665=C666)*($D$1:D665=D666)*ISNUMBER($J$1:J665)),$J$1:J665),SUMIFS(Master!$G$2:$G$13,Master!$E$2:$E$13,C666,Master!$F$2:$F$13,D666)))</f>
        <v/>
      </c>
      <c r="G666" s="5" t="n"/>
      <c r="H666" s="5" t="n"/>
      <c r="I666" s="5" t="n"/>
      <c r="J666" s="6">
        <f>IF(OR(F666="",COUNT(G666:I666)&lt;3),"",F666+G666-H666-I666)</f>
        <v/>
      </c>
      <c r="K666" s="6">
        <f>IF(COUNTA(A666:D666,G666:I666)=0,"",IF(COUNTA(A666:D666,G666:I666)&lt;7,"LENGKAPI",IF(H666+I666&gt;N(F666)+G666,"ABNORMAL",IF(COUNTIFS($A$2:$A$2001,A666,$B$2:$B$2001,B666,$C$2:$C$2001,C666,$D$2:$D$2001,D666)&gt;1,"DUPLIKAT","OK"))))</f>
        <v/>
      </c>
    </row>
    <row r="667">
      <c r="A667" s="4" t="n"/>
      <c r="B667" s="5" t="n"/>
      <c r="C667" s="5" t="n"/>
      <c r="D667" s="5" t="n"/>
      <c r="E667" s="6">
        <f>IF(A667="","","B"&amp;TEXT(COUNT($A$2:A667),"00000"))</f>
        <v/>
      </c>
      <c r="F667" s="6">
        <f>IF(OR(C667="",D667=""),"",IFERROR(LOOKUP(2,1/(($C$1:C666=C667)*($D$1:D666=D667)*ISNUMBER($J$1:J666)),$J$1:J666),SUMIFS(Master!$G$2:$G$13,Master!$E$2:$E$13,C667,Master!$F$2:$F$13,D667)))</f>
        <v/>
      </c>
      <c r="G667" s="5" t="n"/>
      <c r="H667" s="5" t="n"/>
      <c r="I667" s="5" t="n"/>
      <c r="J667" s="6">
        <f>IF(OR(F667="",COUNT(G667:I667)&lt;3),"",F667+G667-H667-I667)</f>
        <v/>
      </c>
      <c r="K667" s="6">
        <f>IF(COUNTA(A667:D667,G667:I667)=0,"",IF(COUNTA(A667:D667,G667:I667)&lt;7,"LENGKAPI",IF(H667+I667&gt;N(F667)+G667,"ABNORMAL",IF(COUNTIFS($A$2:$A$2001,A667,$B$2:$B$2001,B667,$C$2:$C$2001,C667,$D$2:$D$2001,D667)&gt;1,"DUPLIKAT","OK"))))</f>
        <v/>
      </c>
    </row>
    <row r="668">
      <c r="A668" s="4" t="n"/>
      <c r="B668" s="5" t="n"/>
      <c r="C668" s="5" t="n"/>
      <c r="D668" s="5" t="n"/>
      <c r="E668" s="6">
        <f>IF(A668="","","B"&amp;TEXT(COUNT($A$2:A668),"00000"))</f>
        <v/>
      </c>
      <c r="F668" s="6">
        <f>IF(OR(C668="",D668=""),"",IFERROR(LOOKUP(2,1/(($C$1:C667=C668)*($D$1:D667=D668)*ISNUMBER($J$1:J667)),$J$1:J667),SUMIFS(Master!$G$2:$G$13,Master!$E$2:$E$13,C668,Master!$F$2:$F$13,D668)))</f>
        <v/>
      </c>
      <c r="G668" s="5" t="n"/>
      <c r="H668" s="5" t="n"/>
      <c r="I668" s="5" t="n"/>
      <c r="J668" s="6">
        <f>IF(OR(F668="",COUNT(G668:I668)&lt;3),"",F668+G668-H668-I668)</f>
        <v/>
      </c>
      <c r="K668" s="6">
        <f>IF(COUNTA(A668:D668,G668:I668)=0,"",IF(COUNTA(A668:D668,G668:I668)&lt;7,"LENGKAPI",IF(H668+I668&gt;N(F668)+G668,"ABNORMAL",IF(COUNTIFS($A$2:$A$2001,A668,$B$2:$B$2001,B668,$C$2:$C$2001,C668,$D$2:$D$2001,D668)&gt;1,"DUPLIKAT","OK"))))</f>
        <v/>
      </c>
    </row>
    <row r="669">
      <c r="A669" s="4" t="n"/>
      <c r="B669" s="5" t="n"/>
      <c r="C669" s="5" t="n"/>
      <c r="D669" s="5" t="n"/>
      <c r="E669" s="6">
        <f>IF(A669="","","B"&amp;TEXT(COUNT($A$2:A669),"00000"))</f>
        <v/>
      </c>
      <c r="F669" s="6">
        <f>IF(OR(C669="",D669=""),"",IFERROR(LOOKUP(2,1/(($C$1:C668=C669)*($D$1:D668=D669)*ISNUMBER($J$1:J668)),$J$1:J668),SUMIFS(Master!$G$2:$G$13,Master!$E$2:$E$13,C669,Master!$F$2:$F$13,D669)))</f>
        <v/>
      </c>
      <c r="G669" s="5" t="n"/>
      <c r="H669" s="5" t="n"/>
      <c r="I669" s="5" t="n"/>
      <c r="J669" s="6">
        <f>IF(OR(F669="",COUNT(G669:I669)&lt;3),"",F669+G669-H669-I669)</f>
        <v/>
      </c>
      <c r="K669" s="6">
        <f>IF(COUNTA(A669:D669,G669:I669)=0,"",IF(COUNTA(A669:D669,G669:I669)&lt;7,"LENGKAPI",IF(H669+I669&gt;N(F669)+G669,"ABNORMAL",IF(COUNTIFS($A$2:$A$2001,A669,$B$2:$B$2001,B669,$C$2:$C$2001,C669,$D$2:$D$2001,D669)&gt;1,"DUPLIKAT","OK"))))</f>
        <v/>
      </c>
    </row>
    <row r="670">
      <c r="A670" s="4" t="n"/>
      <c r="B670" s="5" t="n"/>
      <c r="C670" s="5" t="n"/>
      <c r="D670" s="5" t="n"/>
      <c r="E670" s="6">
        <f>IF(A670="","","B"&amp;TEXT(COUNT($A$2:A670),"00000"))</f>
        <v/>
      </c>
      <c r="F670" s="6">
        <f>IF(OR(C670="",D670=""),"",IFERROR(LOOKUP(2,1/(($C$1:C669=C670)*($D$1:D669=D670)*ISNUMBER($J$1:J669)),$J$1:J669),SUMIFS(Master!$G$2:$G$13,Master!$E$2:$E$13,C670,Master!$F$2:$F$13,D670)))</f>
        <v/>
      </c>
      <c r="G670" s="5" t="n"/>
      <c r="H670" s="5" t="n"/>
      <c r="I670" s="5" t="n"/>
      <c r="J670" s="6">
        <f>IF(OR(F670="",COUNT(G670:I670)&lt;3),"",F670+G670-H670-I670)</f>
        <v/>
      </c>
      <c r="K670" s="6">
        <f>IF(COUNTA(A670:D670,G670:I670)=0,"",IF(COUNTA(A670:D670,G670:I670)&lt;7,"LENGKAPI",IF(H670+I670&gt;N(F670)+G670,"ABNORMAL",IF(COUNTIFS($A$2:$A$2001,A670,$B$2:$B$2001,B670,$C$2:$C$2001,C670,$D$2:$D$2001,D670)&gt;1,"DUPLIKAT","OK"))))</f>
        <v/>
      </c>
    </row>
    <row r="671">
      <c r="A671" s="4" t="n"/>
      <c r="B671" s="5" t="n"/>
      <c r="C671" s="5" t="n"/>
      <c r="D671" s="5" t="n"/>
      <c r="E671" s="6">
        <f>IF(A671="","","B"&amp;TEXT(COUNT($A$2:A671),"00000"))</f>
        <v/>
      </c>
      <c r="F671" s="6">
        <f>IF(OR(C671="",D671=""),"",IFERROR(LOOKUP(2,1/(($C$1:C670=C671)*($D$1:D670=D671)*ISNUMBER($J$1:J670)),$J$1:J670),SUMIFS(Master!$G$2:$G$13,Master!$E$2:$E$13,C671,Master!$F$2:$F$13,D671)))</f>
        <v/>
      </c>
      <c r="G671" s="5" t="n"/>
      <c r="H671" s="5" t="n"/>
      <c r="I671" s="5" t="n"/>
      <c r="J671" s="6">
        <f>IF(OR(F671="",COUNT(G671:I671)&lt;3),"",F671+G671-H671-I671)</f>
        <v/>
      </c>
      <c r="K671" s="6">
        <f>IF(COUNTA(A671:D671,G671:I671)=0,"",IF(COUNTA(A671:D671,G671:I671)&lt;7,"LENGKAPI",IF(H671+I671&gt;N(F671)+G671,"ABNORMAL",IF(COUNTIFS($A$2:$A$2001,A671,$B$2:$B$2001,B671,$C$2:$C$2001,C671,$D$2:$D$2001,D671)&gt;1,"DUPLIKAT","OK"))))</f>
        <v/>
      </c>
    </row>
    <row r="672">
      <c r="A672" s="4" t="n"/>
      <c r="B672" s="5" t="n"/>
      <c r="C672" s="5" t="n"/>
      <c r="D672" s="5" t="n"/>
      <c r="E672" s="6">
        <f>IF(A672="","","B"&amp;TEXT(COUNT($A$2:A672),"00000"))</f>
        <v/>
      </c>
      <c r="F672" s="6">
        <f>IF(OR(C672="",D672=""),"",IFERROR(LOOKUP(2,1/(($C$1:C671=C672)*($D$1:D671=D672)*ISNUMBER($J$1:J671)),$J$1:J671),SUMIFS(Master!$G$2:$G$13,Master!$E$2:$E$13,C672,Master!$F$2:$F$13,D672)))</f>
        <v/>
      </c>
      <c r="G672" s="5" t="n"/>
      <c r="H672" s="5" t="n"/>
      <c r="I672" s="5" t="n"/>
      <c r="J672" s="6">
        <f>IF(OR(F672="",COUNT(G672:I672)&lt;3),"",F672+G672-H672-I672)</f>
        <v/>
      </c>
      <c r="K672" s="6">
        <f>IF(COUNTA(A672:D672,G672:I672)=0,"",IF(COUNTA(A672:D672,G672:I672)&lt;7,"LENGKAPI",IF(H672+I672&gt;N(F672)+G672,"ABNORMAL",IF(COUNTIFS($A$2:$A$2001,A672,$B$2:$B$2001,B672,$C$2:$C$2001,C672,$D$2:$D$2001,D672)&gt;1,"DUPLIKAT","OK"))))</f>
        <v/>
      </c>
    </row>
    <row r="673">
      <c r="A673" s="4" t="n"/>
      <c r="B673" s="5" t="n"/>
      <c r="C673" s="5" t="n"/>
      <c r="D673" s="5" t="n"/>
      <c r="E673" s="6">
        <f>IF(A673="","","B"&amp;TEXT(COUNT($A$2:A673),"00000"))</f>
        <v/>
      </c>
      <c r="F673" s="6">
        <f>IF(OR(C673="",D673=""),"",IFERROR(LOOKUP(2,1/(($C$1:C672=C673)*($D$1:D672=D673)*ISNUMBER($J$1:J672)),$J$1:J672),SUMIFS(Master!$G$2:$G$13,Master!$E$2:$E$13,C673,Master!$F$2:$F$13,D673)))</f>
        <v/>
      </c>
      <c r="G673" s="5" t="n"/>
      <c r="H673" s="5" t="n"/>
      <c r="I673" s="5" t="n"/>
      <c r="J673" s="6">
        <f>IF(OR(F673="",COUNT(G673:I673)&lt;3),"",F673+G673-H673-I673)</f>
        <v/>
      </c>
      <c r="K673" s="6">
        <f>IF(COUNTA(A673:D673,G673:I673)=0,"",IF(COUNTA(A673:D673,G673:I673)&lt;7,"LENGKAPI",IF(H673+I673&gt;N(F673)+G673,"ABNORMAL",IF(COUNTIFS($A$2:$A$2001,A673,$B$2:$B$2001,B673,$C$2:$C$2001,C673,$D$2:$D$2001,D673)&gt;1,"DUPLIKAT","OK"))))</f>
        <v/>
      </c>
    </row>
    <row r="674">
      <c r="A674" s="4" t="n"/>
      <c r="B674" s="5" t="n"/>
      <c r="C674" s="5" t="n"/>
      <c r="D674" s="5" t="n"/>
      <c r="E674" s="6">
        <f>IF(A674="","","B"&amp;TEXT(COUNT($A$2:A674),"00000"))</f>
        <v/>
      </c>
      <c r="F674" s="6">
        <f>IF(OR(C674="",D674=""),"",IFERROR(LOOKUP(2,1/(($C$1:C673=C674)*($D$1:D673=D674)*ISNUMBER($J$1:J673)),$J$1:J673),SUMIFS(Master!$G$2:$G$13,Master!$E$2:$E$13,C674,Master!$F$2:$F$13,D674)))</f>
        <v/>
      </c>
      <c r="G674" s="5" t="n"/>
      <c r="H674" s="5" t="n"/>
      <c r="I674" s="5" t="n"/>
      <c r="J674" s="6">
        <f>IF(OR(F674="",COUNT(G674:I674)&lt;3),"",F674+G674-H674-I674)</f>
        <v/>
      </c>
      <c r="K674" s="6">
        <f>IF(COUNTA(A674:D674,G674:I674)=0,"",IF(COUNTA(A674:D674,G674:I674)&lt;7,"LENGKAPI",IF(H674+I674&gt;N(F674)+G674,"ABNORMAL",IF(COUNTIFS($A$2:$A$2001,A674,$B$2:$B$2001,B674,$C$2:$C$2001,C674,$D$2:$D$2001,D674)&gt;1,"DUPLIKAT","OK"))))</f>
        <v/>
      </c>
    </row>
    <row r="675">
      <c r="A675" s="4" t="n"/>
      <c r="B675" s="5" t="n"/>
      <c r="C675" s="5" t="n"/>
      <c r="D675" s="5" t="n"/>
      <c r="E675" s="6">
        <f>IF(A675="","","B"&amp;TEXT(COUNT($A$2:A675),"00000"))</f>
        <v/>
      </c>
      <c r="F675" s="6">
        <f>IF(OR(C675="",D675=""),"",IFERROR(LOOKUP(2,1/(($C$1:C674=C675)*($D$1:D674=D675)*ISNUMBER($J$1:J674)),$J$1:J674),SUMIFS(Master!$G$2:$G$13,Master!$E$2:$E$13,C675,Master!$F$2:$F$13,D675)))</f>
        <v/>
      </c>
      <c r="G675" s="5" t="n"/>
      <c r="H675" s="5" t="n"/>
      <c r="I675" s="5" t="n"/>
      <c r="J675" s="6">
        <f>IF(OR(F675="",COUNT(G675:I675)&lt;3),"",F675+G675-H675-I675)</f>
        <v/>
      </c>
      <c r="K675" s="6">
        <f>IF(COUNTA(A675:D675,G675:I675)=0,"",IF(COUNTA(A675:D675,G675:I675)&lt;7,"LENGKAPI",IF(H675+I675&gt;N(F675)+G675,"ABNORMAL",IF(COUNTIFS($A$2:$A$2001,A675,$B$2:$B$2001,B675,$C$2:$C$2001,C675,$D$2:$D$2001,D675)&gt;1,"DUPLIKAT","OK"))))</f>
        <v/>
      </c>
    </row>
    <row r="676">
      <c r="A676" s="4" t="n"/>
      <c r="B676" s="5" t="n"/>
      <c r="C676" s="5" t="n"/>
      <c r="D676" s="5" t="n"/>
      <c r="E676" s="6">
        <f>IF(A676="","","B"&amp;TEXT(COUNT($A$2:A676),"00000"))</f>
        <v/>
      </c>
      <c r="F676" s="6">
        <f>IF(OR(C676="",D676=""),"",IFERROR(LOOKUP(2,1/(($C$1:C675=C676)*($D$1:D675=D676)*ISNUMBER($J$1:J675)),$J$1:J675),SUMIFS(Master!$G$2:$G$13,Master!$E$2:$E$13,C676,Master!$F$2:$F$13,D676)))</f>
        <v/>
      </c>
      <c r="G676" s="5" t="n"/>
      <c r="H676" s="5" t="n"/>
      <c r="I676" s="5" t="n"/>
      <c r="J676" s="6">
        <f>IF(OR(F676="",COUNT(G676:I676)&lt;3),"",F676+G676-H676-I676)</f>
        <v/>
      </c>
      <c r="K676" s="6">
        <f>IF(COUNTA(A676:D676,G676:I676)=0,"",IF(COUNTA(A676:D676,G676:I676)&lt;7,"LENGKAPI",IF(H676+I676&gt;N(F676)+G676,"ABNORMAL",IF(COUNTIFS($A$2:$A$2001,A676,$B$2:$B$2001,B676,$C$2:$C$2001,C676,$D$2:$D$2001,D676)&gt;1,"DUPLIKAT","OK"))))</f>
        <v/>
      </c>
    </row>
    <row r="677">
      <c r="A677" s="4" t="n"/>
      <c r="B677" s="5" t="n"/>
      <c r="C677" s="5" t="n"/>
      <c r="D677" s="5" t="n"/>
      <c r="E677" s="6">
        <f>IF(A677="","","B"&amp;TEXT(COUNT($A$2:A677),"00000"))</f>
        <v/>
      </c>
      <c r="F677" s="6">
        <f>IF(OR(C677="",D677=""),"",IFERROR(LOOKUP(2,1/(($C$1:C676=C677)*($D$1:D676=D677)*ISNUMBER($J$1:J676)),$J$1:J676),SUMIFS(Master!$G$2:$G$13,Master!$E$2:$E$13,C677,Master!$F$2:$F$13,D677)))</f>
        <v/>
      </c>
      <c r="G677" s="5" t="n"/>
      <c r="H677" s="5" t="n"/>
      <c r="I677" s="5" t="n"/>
      <c r="J677" s="6">
        <f>IF(OR(F677="",COUNT(G677:I677)&lt;3),"",F677+G677-H677-I677)</f>
        <v/>
      </c>
      <c r="K677" s="6">
        <f>IF(COUNTA(A677:D677,G677:I677)=0,"",IF(COUNTA(A677:D677,G677:I677)&lt;7,"LENGKAPI",IF(H677+I677&gt;N(F677)+G677,"ABNORMAL",IF(COUNTIFS($A$2:$A$2001,A677,$B$2:$B$2001,B677,$C$2:$C$2001,C677,$D$2:$D$2001,D677)&gt;1,"DUPLIKAT","OK"))))</f>
        <v/>
      </c>
    </row>
    <row r="678">
      <c r="A678" s="4" t="n"/>
      <c r="B678" s="5" t="n"/>
      <c r="C678" s="5" t="n"/>
      <c r="D678" s="5" t="n"/>
      <c r="E678" s="6">
        <f>IF(A678="","","B"&amp;TEXT(COUNT($A$2:A678),"00000"))</f>
        <v/>
      </c>
      <c r="F678" s="6">
        <f>IF(OR(C678="",D678=""),"",IFERROR(LOOKUP(2,1/(($C$1:C677=C678)*($D$1:D677=D678)*ISNUMBER($J$1:J677)),$J$1:J677),SUMIFS(Master!$G$2:$G$13,Master!$E$2:$E$13,C678,Master!$F$2:$F$13,D678)))</f>
        <v/>
      </c>
      <c r="G678" s="5" t="n"/>
      <c r="H678" s="5" t="n"/>
      <c r="I678" s="5" t="n"/>
      <c r="J678" s="6">
        <f>IF(OR(F678="",COUNT(G678:I678)&lt;3),"",F678+G678-H678-I678)</f>
        <v/>
      </c>
      <c r="K678" s="6">
        <f>IF(COUNTA(A678:D678,G678:I678)=0,"",IF(COUNTA(A678:D678,G678:I678)&lt;7,"LENGKAPI",IF(H678+I678&gt;N(F678)+G678,"ABNORMAL",IF(COUNTIFS($A$2:$A$2001,A678,$B$2:$B$2001,B678,$C$2:$C$2001,C678,$D$2:$D$2001,D678)&gt;1,"DUPLIKAT","OK"))))</f>
        <v/>
      </c>
    </row>
    <row r="679">
      <c r="A679" s="4" t="n"/>
      <c r="B679" s="5" t="n"/>
      <c r="C679" s="5" t="n"/>
      <c r="D679" s="5" t="n"/>
      <c r="E679" s="6">
        <f>IF(A679="","","B"&amp;TEXT(COUNT($A$2:A679),"00000"))</f>
        <v/>
      </c>
      <c r="F679" s="6">
        <f>IF(OR(C679="",D679=""),"",IFERROR(LOOKUP(2,1/(($C$1:C678=C679)*($D$1:D678=D679)*ISNUMBER($J$1:J678)),$J$1:J678),SUMIFS(Master!$G$2:$G$13,Master!$E$2:$E$13,C679,Master!$F$2:$F$13,D679)))</f>
        <v/>
      </c>
      <c r="G679" s="5" t="n"/>
      <c r="H679" s="5" t="n"/>
      <c r="I679" s="5" t="n"/>
      <c r="J679" s="6">
        <f>IF(OR(F679="",COUNT(G679:I679)&lt;3),"",F679+G679-H679-I679)</f>
        <v/>
      </c>
      <c r="K679" s="6">
        <f>IF(COUNTA(A679:D679,G679:I679)=0,"",IF(COUNTA(A679:D679,G679:I679)&lt;7,"LENGKAPI",IF(H679+I679&gt;N(F679)+G679,"ABNORMAL",IF(COUNTIFS($A$2:$A$2001,A679,$B$2:$B$2001,B679,$C$2:$C$2001,C679,$D$2:$D$2001,D679)&gt;1,"DUPLIKAT","OK"))))</f>
        <v/>
      </c>
    </row>
    <row r="680">
      <c r="A680" s="4" t="n"/>
      <c r="B680" s="5" t="n"/>
      <c r="C680" s="5" t="n"/>
      <c r="D680" s="5" t="n"/>
      <c r="E680" s="6">
        <f>IF(A680="","","B"&amp;TEXT(COUNT($A$2:A680),"00000"))</f>
        <v/>
      </c>
      <c r="F680" s="6">
        <f>IF(OR(C680="",D680=""),"",IFERROR(LOOKUP(2,1/(($C$1:C679=C680)*($D$1:D679=D680)*ISNUMBER($J$1:J679)),$J$1:J679),SUMIFS(Master!$G$2:$G$13,Master!$E$2:$E$13,C680,Master!$F$2:$F$13,D680)))</f>
        <v/>
      </c>
      <c r="G680" s="5" t="n"/>
      <c r="H680" s="5" t="n"/>
      <c r="I680" s="5" t="n"/>
      <c r="J680" s="6">
        <f>IF(OR(F680="",COUNT(G680:I680)&lt;3),"",F680+G680-H680-I680)</f>
        <v/>
      </c>
      <c r="K680" s="6">
        <f>IF(COUNTA(A680:D680,G680:I680)=0,"",IF(COUNTA(A680:D680,G680:I680)&lt;7,"LENGKAPI",IF(H680+I680&gt;N(F680)+G680,"ABNORMAL",IF(COUNTIFS($A$2:$A$2001,A680,$B$2:$B$2001,B680,$C$2:$C$2001,C680,$D$2:$D$2001,D680)&gt;1,"DUPLIKAT","OK"))))</f>
        <v/>
      </c>
    </row>
    <row r="681">
      <c r="A681" s="4" t="n"/>
      <c r="B681" s="5" t="n"/>
      <c r="C681" s="5" t="n"/>
      <c r="D681" s="5" t="n"/>
      <c r="E681" s="6">
        <f>IF(A681="","","B"&amp;TEXT(COUNT($A$2:A681),"00000"))</f>
        <v/>
      </c>
      <c r="F681" s="6">
        <f>IF(OR(C681="",D681=""),"",IFERROR(LOOKUP(2,1/(($C$1:C680=C681)*($D$1:D680=D681)*ISNUMBER($J$1:J680)),$J$1:J680),SUMIFS(Master!$G$2:$G$13,Master!$E$2:$E$13,C681,Master!$F$2:$F$13,D681)))</f>
        <v/>
      </c>
      <c r="G681" s="5" t="n"/>
      <c r="H681" s="5" t="n"/>
      <c r="I681" s="5" t="n"/>
      <c r="J681" s="6">
        <f>IF(OR(F681="",COUNT(G681:I681)&lt;3),"",F681+G681-H681-I681)</f>
        <v/>
      </c>
      <c r="K681" s="6">
        <f>IF(COUNTA(A681:D681,G681:I681)=0,"",IF(COUNTA(A681:D681,G681:I681)&lt;7,"LENGKAPI",IF(H681+I681&gt;N(F681)+G681,"ABNORMAL",IF(COUNTIFS($A$2:$A$2001,A681,$B$2:$B$2001,B681,$C$2:$C$2001,C681,$D$2:$D$2001,D681)&gt;1,"DUPLIKAT","OK"))))</f>
        <v/>
      </c>
    </row>
    <row r="682">
      <c r="A682" s="4" t="n"/>
      <c r="B682" s="5" t="n"/>
      <c r="C682" s="5" t="n"/>
      <c r="D682" s="5" t="n"/>
      <c r="E682" s="6">
        <f>IF(A682="","","B"&amp;TEXT(COUNT($A$2:A682),"00000"))</f>
        <v/>
      </c>
      <c r="F682" s="6">
        <f>IF(OR(C682="",D682=""),"",IFERROR(LOOKUP(2,1/(($C$1:C681=C682)*($D$1:D681=D682)*ISNUMBER($J$1:J681)),$J$1:J681),SUMIFS(Master!$G$2:$G$13,Master!$E$2:$E$13,C682,Master!$F$2:$F$13,D682)))</f>
        <v/>
      </c>
      <c r="G682" s="5" t="n"/>
      <c r="H682" s="5" t="n"/>
      <c r="I682" s="5" t="n"/>
      <c r="J682" s="6">
        <f>IF(OR(F682="",COUNT(G682:I682)&lt;3),"",F682+G682-H682-I682)</f>
        <v/>
      </c>
      <c r="K682" s="6">
        <f>IF(COUNTA(A682:D682,G682:I682)=0,"",IF(COUNTA(A682:D682,G682:I682)&lt;7,"LENGKAPI",IF(H682+I682&gt;N(F682)+G682,"ABNORMAL",IF(COUNTIFS($A$2:$A$2001,A682,$B$2:$B$2001,B682,$C$2:$C$2001,C682,$D$2:$D$2001,D682)&gt;1,"DUPLIKAT","OK"))))</f>
        <v/>
      </c>
    </row>
    <row r="683">
      <c r="A683" s="4" t="n"/>
      <c r="B683" s="5" t="n"/>
      <c r="C683" s="5" t="n"/>
      <c r="D683" s="5" t="n"/>
      <c r="E683" s="6">
        <f>IF(A683="","","B"&amp;TEXT(COUNT($A$2:A683),"00000"))</f>
        <v/>
      </c>
      <c r="F683" s="6">
        <f>IF(OR(C683="",D683=""),"",IFERROR(LOOKUP(2,1/(($C$1:C682=C683)*($D$1:D682=D683)*ISNUMBER($J$1:J682)),$J$1:J682),SUMIFS(Master!$G$2:$G$13,Master!$E$2:$E$13,C683,Master!$F$2:$F$13,D683)))</f>
        <v/>
      </c>
      <c r="G683" s="5" t="n"/>
      <c r="H683" s="5" t="n"/>
      <c r="I683" s="5" t="n"/>
      <c r="J683" s="6">
        <f>IF(OR(F683="",COUNT(G683:I683)&lt;3),"",F683+G683-H683-I683)</f>
        <v/>
      </c>
      <c r="K683" s="6">
        <f>IF(COUNTA(A683:D683,G683:I683)=0,"",IF(COUNTA(A683:D683,G683:I683)&lt;7,"LENGKAPI",IF(H683+I683&gt;N(F683)+G683,"ABNORMAL",IF(COUNTIFS($A$2:$A$2001,A683,$B$2:$B$2001,B683,$C$2:$C$2001,C683,$D$2:$D$2001,D683)&gt;1,"DUPLIKAT","OK"))))</f>
        <v/>
      </c>
    </row>
    <row r="684">
      <c r="A684" s="4" t="n"/>
      <c r="B684" s="5" t="n"/>
      <c r="C684" s="5" t="n"/>
      <c r="D684" s="5" t="n"/>
      <c r="E684" s="6">
        <f>IF(A684="","","B"&amp;TEXT(COUNT($A$2:A684),"00000"))</f>
        <v/>
      </c>
      <c r="F684" s="6">
        <f>IF(OR(C684="",D684=""),"",IFERROR(LOOKUP(2,1/(($C$1:C683=C684)*($D$1:D683=D684)*ISNUMBER($J$1:J683)),$J$1:J683),SUMIFS(Master!$G$2:$G$13,Master!$E$2:$E$13,C684,Master!$F$2:$F$13,D684)))</f>
        <v/>
      </c>
      <c r="G684" s="5" t="n"/>
      <c r="H684" s="5" t="n"/>
      <c r="I684" s="5" t="n"/>
      <c r="J684" s="6">
        <f>IF(OR(F684="",COUNT(G684:I684)&lt;3),"",F684+G684-H684-I684)</f>
        <v/>
      </c>
      <c r="K684" s="6">
        <f>IF(COUNTA(A684:D684,G684:I684)=0,"",IF(COUNTA(A684:D684,G684:I684)&lt;7,"LENGKAPI",IF(H684+I684&gt;N(F684)+G684,"ABNORMAL",IF(COUNTIFS($A$2:$A$2001,A684,$B$2:$B$2001,B684,$C$2:$C$2001,C684,$D$2:$D$2001,D684)&gt;1,"DUPLIKAT","OK"))))</f>
        <v/>
      </c>
    </row>
    <row r="685">
      <c r="A685" s="4" t="n"/>
      <c r="B685" s="5" t="n"/>
      <c r="C685" s="5" t="n"/>
      <c r="D685" s="5" t="n"/>
      <c r="E685" s="6">
        <f>IF(A685="","","B"&amp;TEXT(COUNT($A$2:A685),"00000"))</f>
        <v/>
      </c>
      <c r="F685" s="6">
        <f>IF(OR(C685="",D685=""),"",IFERROR(LOOKUP(2,1/(($C$1:C684=C685)*($D$1:D684=D685)*ISNUMBER($J$1:J684)),$J$1:J684),SUMIFS(Master!$G$2:$G$13,Master!$E$2:$E$13,C685,Master!$F$2:$F$13,D685)))</f>
        <v/>
      </c>
      <c r="G685" s="5" t="n"/>
      <c r="H685" s="5" t="n"/>
      <c r="I685" s="5" t="n"/>
      <c r="J685" s="6">
        <f>IF(OR(F685="",COUNT(G685:I685)&lt;3),"",F685+G685-H685-I685)</f>
        <v/>
      </c>
      <c r="K685" s="6">
        <f>IF(COUNTA(A685:D685,G685:I685)=0,"",IF(COUNTA(A685:D685,G685:I685)&lt;7,"LENGKAPI",IF(H685+I685&gt;N(F685)+G685,"ABNORMAL",IF(COUNTIFS($A$2:$A$2001,A685,$B$2:$B$2001,B685,$C$2:$C$2001,C685,$D$2:$D$2001,D685)&gt;1,"DUPLIKAT","OK"))))</f>
        <v/>
      </c>
    </row>
    <row r="686">
      <c r="A686" s="4" t="n"/>
      <c r="B686" s="5" t="n"/>
      <c r="C686" s="5" t="n"/>
      <c r="D686" s="5" t="n"/>
      <c r="E686" s="6">
        <f>IF(A686="","","B"&amp;TEXT(COUNT($A$2:A686),"00000"))</f>
        <v/>
      </c>
      <c r="F686" s="6">
        <f>IF(OR(C686="",D686=""),"",IFERROR(LOOKUP(2,1/(($C$1:C685=C686)*($D$1:D685=D686)*ISNUMBER($J$1:J685)),$J$1:J685),SUMIFS(Master!$G$2:$G$13,Master!$E$2:$E$13,C686,Master!$F$2:$F$13,D686)))</f>
        <v/>
      </c>
      <c r="G686" s="5" t="n"/>
      <c r="H686" s="5" t="n"/>
      <c r="I686" s="5" t="n"/>
      <c r="J686" s="6">
        <f>IF(OR(F686="",COUNT(G686:I686)&lt;3),"",F686+G686-H686-I686)</f>
        <v/>
      </c>
      <c r="K686" s="6">
        <f>IF(COUNTA(A686:D686,G686:I686)=0,"",IF(COUNTA(A686:D686,G686:I686)&lt;7,"LENGKAPI",IF(H686+I686&gt;N(F686)+G686,"ABNORMAL",IF(COUNTIFS($A$2:$A$2001,A686,$B$2:$B$2001,B686,$C$2:$C$2001,C686,$D$2:$D$2001,D686)&gt;1,"DUPLIKAT","OK"))))</f>
        <v/>
      </c>
    </row>
    <row r="687">
      <c r="A687" s="4" t="n"/>
      <c r="B687" s="5" t="n"/>
      <c r="C687" s="5" t="n"/>
      <c r="D687" s="5" t="n"/>
      <c r="E687" s="6">
        <f>IF(A687="","","B"&amp;TEXT(COUNT($A$2:A687),"00000"))</f>
        <v/>
      </c>
      <c r="F687" s="6">
        <f>IF(OR(C687="",D687=""),"",IFERROR(LOOKUP(2,1/(($C$1:C686=C687)*($D$1:D686=D687)*ISNUMBER($J$1:J686)),$J$1:J686),SUMIFS(Master!$G$2:$G$13,Master!$E$2:$E$13,C687,Master!$F$2:$F$13,D687)))</f>
        <v/>
      </c>
      <c r="G687" s="5" t="n"/>
      <c r="H687" s="5" t="n"/>
      <c r="I687" s="5" t="n"/>
      <c r="J687" s="6">
        <f>IF(OR(F687="",COUNT(G687:I687)&lt;3),"",F687+G687-H687-I687)</f>
        <v/>
      </c>
      <c r="K687" s="6">
        <f>IF(COUNTA(A687:D687,G687:I687)=0,"",IF(COUNTA(A687:D687,G687:I687)&lt;7,"LENGKAPI",IF(H687+I687&gt;N(F687)+G687,"ABNORMAL",IF(COUNTIFS($A$2:$A$2001,A687,$B$2:$B$2001,B687,$C$2:$C$2001,C687,$D$2:$D$2001,D687)&gt;1,"DUPLIKAT","OK"))))</f>
        <v/>
      </c>
    </row>
    <row r="688">
      <c r="A688" s="4" t="n"/>
      <c r="B688" s="5" t="n"/>
      <c r="C688" s="5" t="n"/>
      <c r="D688" s="5" t="n"/>
      <c r="E688" s="6">
        <f>IF(A688="","","B"&amp;TEXT(COUNT($A$2:A688),"00000"))</f>
        <v/>
      </c>
      <c r="F688" s="6">
        <f>IF(OR(C688="",D688=""),"",IFERROR(LOOKUP(2,1/(($C$1:C687=C688)*($D$1:D687=D688)*ISNUMBER($J$1:J687)),$J$1:J687),SUMIFS(Master!$G$2:$G$13,Master!$E$2:$E$13,C688,Master!$F$2:$F$13,D688)))</f>
        <v/>
      </c>
      <c r="G688" s="5" t="n"/>
      <c r="H688" s="5" t="n"/>
      <c r="I688" s="5" t="n"/>
      <c r="J688" s="6">
        <f>IF(OR(F688="",COUNT(G688:I688)&lt;3),"",F688+G688-H688-I688)</f>
        <v/>
      </c>
      <c r="K688" s="6">
        <f>IF(COUNTA(A688:D688,G688:I688)=0,"",IF(COUNTA(A688:D688,G688:I688)&lt;7,"LENGKAPI",IF(H688+I688&gt;N(F688)+G688,"ABNORMAL",IF(COUNTIFS($A$2:$A$2001,A688,$B$2:$B$2001,B688,$C$2:$C$2001,C688,$D$2:$D$2001,D688)&gt;1,"DUPLIKAT","OK"))))</f>
        <v/>
      </c>
    </row>
    <row r="689">
      <c r="A689" s="4" t="n"/>
      <c r="B689" s="5" t="n"/>
      <c r="C689" s="5" t="n"/>
      <c r="D689" s="5" t="n"/>
      <c r="E689" s="6">
        <f>IF(A689="","","B"&amp;TEXT(COUNT($A$2:A689),"00000"))</f>
        <v/>
      </c>
      <c r="F689" s="6">
        <f>IF(OR(C689="",D689=""),"",IFERROR(LOOKUP(2,1/(($C$1:C688=C689)*($D$1:D688=D689)*ISNUMBER($J$1:J688)),$J$1:J688),SUMIFS(Master!$G$2:$G$13,Master!$E$2:$E$13,C689,Master!$F$2:$F$13,D689)))</f>
        <v/>
      </c>
      <c r="G689" s="5" t="n"/>
      <c r="H689" s="5" t="n"/>
      <c r="I689" s="5" t="n"/>
      <c r="J689" s="6">
        <f>IF(OR(F689="",COUNT(G689:I689)&lt;3),"",F689+G689-H689-I689)</f>
        <v/>
      </c>
      <c r="K689" s="6">
        <f>IF(COUNTA(A689:D689,G689:I689)=0,"",IF(COUNTA(A689:D689,G689:I689)&lt;7,"LENGKAPI",IF(H689+I689&gt;N(F689)+G689,"ABNORMAL",IF(COUNTIFS($A$2:$A$2001,A689,$B$2:$B$2001,B689,$C$2:$C$2001,C689,$D$2:$D$2001,D689)&gt;1,"DUPLIKAT","OK"))))</f>
        <v/>
      </c>
    </row>
    <row r="690">
      <c r="A690" s="4" t="n"/>
      <c r="B690" s="5" t="n"/>
      <c r="C690" s="5" t="n"/>
      <c r="D690" s="5" t="n"/>
      <c r="E690" s="6">
        <f>IF(A690="","","B"&amp;TEXT(COUNT($A$2:A690),"00000"))</f>
        <v/>
      </c>
      <c r="F690" s="6">
        <f>IF(OR(C690="",D690=""),"",IFERROR(LOOKUP(2,1/(($C$1:C689=C690)*($D$1:D689=D690)*ISNUMBER($J$1:J689)),$J$1:J689),SUMIFS(Master!$G$2:$G$13,Master!$E$2:$E$13,C690,Master!$F$2:$F$13,D690)))</f>
        <v/>
      </c>
      <c r="G690" s="5" t="n"/>
      <c r="H690" s="5" t="n"/>
      <c r="I690" s="5" t="n"/>
      <c r="J690" s="6">
        <f>IF(OR(F690="",COUNT(G690:I690)&lt;3),"",F690+G690-H690-I690)</f>
        <v/>
      </c>
      <c r="K690" s="6">
        <f>IF(COUNTA(A690:D690,G690:I690)=0,"",IF(COUNTA(A690:D690,G690:I690)&lt;7,"LENGKAPI",IF(H690+I690&gt;N(F690)+G690,"ABNORMAL",IF(COUNTIFS($A$2:$A$2001,A690,$B$2:$B$2001,B690,$C$2:$C$2001,C690,$D$2:$D$2001,D690)&gt;1,"DUPLIKAT","OK"))))</f>
        <v/>
      </c>
    </row>
    <row r="691">
      <c r="A691" s="4" t="n"/>
      <c r="B691" s="5" t="n"/>
      <c r="C691" s="5" t="n"/>
      <c r="D691" s="5" t="n"/>
      <c r="E691" s="6">
        <f>IF(A691="","","B"&amp;TEXT(COUNT($A$2:A691),"00000"))</f>
        <v/>
      </c>
      <c r="F691" s="6">
        <f>IF(OR(C691="",D691=""),"",IFERROR(LOOKUP(2,1/(($C$1:C690=C691)*($D$1:D690=D691)*ISNUMBER($J$1:J690)),$J$1:J690),SUMIFS(Master!$G$2:$G$13,Master!$E$2:$E$13,C691,Master!$F$2:$F$13,D691)))</f>
        <v/>
      </c>
      <c r="G691" s="5" t="n"/>
      <c r="H691" s="5" t="n"/>
      <c r="I691" s="5" t="n"/>
      <c r="J691" s="6">
        <f>IF(OR(F691="",COUNT(G691:I691)&lt;3),"",F691+G691-H691-I691)</f>
        <v/>
      </c>
      <c r="K691" s="6">
        <f>IF(COUNTA(A691:D691,G691:I691)=0,"",IF(COUNTA(A691:D691,G691:I691)&lt;7,"LENGKAPI",IF(H691+I691&gt;N(F691)+G691,"ABNORMAL",IF(COUNTIFS($A$2:$A$2001,A691,$B$2:$B$2001,B691,$C$2:$C$2001,C691,$D$2:$D$2001,D691)&gt;1,"DUPLIKAT","OK"))))</f>
        <v/>
      </c>
    </row>
    <row r="692">
      <c r="A692" s="4" t="n"/>
      <c r="B692" s="5" t="n"/>
      <c r="C692" s="5" t="n"/>
      <c r="D692" s="5" t="n"/>
      <c r="E692" s="6">
        <f>IF(A692="","","B"&amp;TEXT(COUNT($A$2:A692),"00000"))</f>
        <v/>
      </c>
      <c r="F692" s="6">
        <f>IF(OR(C692="",D692=""),"",IFERROR(LOOKUP(2,1/(($C$1:C691=C692)*($D$1:D691=D692)*ISNUMBER($J$1:J691)),$J$1:J691),SUMIFS(Master!$G$2:$G$13,Master!$E$2:$E$13,C692,Master!$F$2:$F$13,D692)))</f>
        <v/>
      </c>
      <c r="G692" s="5" t="n"/>
      <c r="H692" s="5" t="n"/>
      <c r="I692" s="5" t="n"/>
      <c r="J692" s="6">
        <f>IF(OR(F692="",COUNT(G692:I692)&lt;3),"",F692+G692-H692-I692)</f>
        <v/>
      </c>
      <c r="K692" s="6">
        <f>IF(COUNTA(A692:D692,G692:I692)=0,"",IF(COUNTA(A692:D692,G692:I692)&lt;7,"LENGKAPI",IF(H692+I692&gt;N(F692)+G692,"ABNORMAL",IF(COUNTIFS($A$2:$A$2001,A692,$B$2:$B$2001,B692,$C$2:$C$2001,C692,$D$2:$D$2001,D692)&gt;1,"DUPLIKAT","OK"))))</f>
        <v/>
      </c>
    </row>
    <row r="693">
      <c r="A693" s="4" t="n"/>
      <c r="B693" s="5" t="n"/>
      <c r="C693" s="5" t="n"/>
      <c r="D693" s="5" t="n"/>
      <c r="E693" s="6">
        <f>IF(A693="","","B"&amp;TEXT(COUNT($A$2:A693),"00000"))</f>
        <v/>
      </c>
      <c r="F693" s="6">
        <f>IF(OR(C693="",D693=""),"",IFERROR(LOOKUP(2,1/(($C$1:C692=C693)*($D$1:D692=D693)*ISNUMBER($J$1:J692)),$J$1:J692),SUMIFS(Master!$G$2:$G$13,Master!$E$2:$E$13,C693,Master!$F$2:$F$13,D693)))</f>
        <v/>
      </c>
      <c r="G693" s="5" t="n"/>
      <c r="H693" s="5" t="n"/>
      <c r="I693" s="5" t="n"/>
      <c r="J693" s="6">
        <f>IF(OR(F693="",COUNT(G693:I693)&lt;3),"",F693+G693-H693-I693)</f>
        <v/>
      </c>
      <c r="K693" s="6">
        <f>IF(COUNTA(A693:D693,G693:I693)=0,"",IF(COUNTA(A693:D693,G693:I693)&lt;7,"LENGKAPI",IF(H693+I693&gt;N(F693)+G693,"ABNORMAL",IF(COUNTIFS($A$2:$A$2001,A693,$B$2:$B$2001,B693,$C$2:$C$2001,C693,$D$2:$D$2001,D693)&gt;1,"DUPLIKAT","OK"))))</f>
        <v/>
      </c>
    </row>
    <row r="694">
      <c r="A694" s="4" t="n"/>
      <c r="B694" s="5" t="n"/>
      <c r="C694" s="5" t="n"/>
      <c r="D694" s="5" t="n"/>
      <c r="E694" s="6">
        <f>IF(A694="","","B"&amp;TEXT(COUNT($A$2:A694),"00000"))</f>
        <v/>
      </c>
      <c r="F694" s="6">
        <f>IF(OR(C694="",D694=""),"",IFERROR(LOOKUP(2,1/(($C$1:C693=C694)*($D$1:D693=D694)*ISNUMBER($J$1:J693)),$J$1:J693),SUMIFS(Master!$G$2:$G$13,Master!$E$2:$E$13,C694,Master!$F$2:$F$13,D694)))</f>
        <v/>
      </c>
      <c r="G694" s="5" t="n"/>
      <c r="H694" s="5" t="n"/>
      <c r="I694" s="5" t="n"/>
      <c r="J694" s="6">
        <f>IF(OR(F694="",COUNT(G694:I694)&lt;3),"",F694+G694-H694-I694)</f>
        <v/>
      </c>
      <c r="K694" s="6">
        <f>IF(COUNTA(A694:D694,G694:I694)=0,"",IF(COUNTA(A694:D694,G694:I694)&lt;7,"LENGKAPI",IF(H694+I694&gt;N(F694)+G694,"ABNORMAL",IF(COUNTIFS($A$2:$A$2001,A694,$B$2:$B$2001,B694,$C$2:$C$2001,C694,$D$2:$D$2001,D694)&gt;1,"DUPLIKAT","OK"))))</f>
        <v/>
      </c>
    </row>
    <row r="695">
      <c r="A695" s="4" t="n"/>
      <c r="B695" s="5" t="n"/>
      <c r="C695" s="5" t="n"/>
      <c r="D695" s="5" t="n"/>
      <c r="E695" s="6">
        <f>IF(A695="","","B"&amp;TEXT(COUNT($A$2:A695),"00000"))</f>
        <v/>
      </c>
      <c r="F695" s="6">
        <f>IF(OR(C695="",D695=""),"",IFERROR(LOOKUP(2,1/(($C$1:C694=C695)*($D$1:D694=D695)*ISNUMBER($J$1:J694)),$J$1:J694),SUMIFS(Master!$G$2:$G$13,Master!$E$2:$E$13,C695,Master!$F$2:$F$13,D695)))</f>
        <v/>
      </c>
      <c r="G695" s="5" t="n"/>
      <c r="H695" s="5" t="n"/>
      <c r="I695" s="5" t="n"/>
      <c r="J695" s="6">
        <f>IF(OR(F695="",COUNT(G695:I695)&lt;3),"",F695+G695-H695-I695)</f>
        <v/>
      </c>
      <c r="K695" s="6">
        <f>IF(COUNTA(A695:D695,G695:I695)=0,"",IF(COUNTA(A695:D695,G695:I695)&lt;7,"LENGKAPI",IF(H695+I695&gt;N(F695)+G695,"ABNORMAL",IF(COUNTIFS($A$2:$A$2001,A695,$B$2:$B$2001,B695,$C$2:$C$2001,C695,$D$2:$D$2001,D695)&gt;1,"DUPLIKAT","OK"))))</f>
        <v/>
      </c>
    </row>
    <row r="696">
      <c r="A696" s="4" t="n"/>
      <c r="B696" s="5" t="n"/>
      <c r="C696" s="5" t="n"/>
      <c r="D696" s="5" t="n"/>
      <c r="E696" s="6">
        <f>IF(A696="","","B"&amp;TEXT(COUNT($A$2:A696),"00000"))</f>
        <v/>
      </c>
      <c r="F696" s="6">
        <f>IF(OR(C696="",D696=""),"",IFERROR(LOOKUP(2,1/(($C$1:C695=C696)*($D$1:D695=D696)*ISNUMBER($J$1:J695)),$J$1:J695),SUMIFS(Master!$G$2:$G$13,Master!$E$2:$E$13,C696,Master!$F$2:$F$13,D696)))</f>
        <v/>
      </c>
      <c r="G696" s="5" t="n"/>
      <c r="H696" s="5" t="n"/>
      <c r="I696" s="5" t="n"/>
      <c r="J696" s="6">
        <f>IF(OR(F696="",COUNT(G696:I696)&lt;3),"",F696+G696-H696-I696)</f>
        <v/>
      </c>
      <c r="K696" s="6">
        <f>IF(COUNTA(A696:D696,G696:I696)=0,"",IF(COUNTA(A696:D696,G696:I696)&lt;7,"LENGKAPI",IF(H696+I696&gt;N(F696)+G696,"ABNORMAL",IF(COUNTIFS($A$2:$A$2001,A696,$B$2:$B$2001,B696,$C$2:$C$2001,C696,$D$2:$D$2001,D696)&gt;1,"DUPLIKAT","OK"))))</f>
        <v/>
      </c>
    </row>
    <row r="697">
      <c r="A697" s="4" t="n"/>
      <c r="B697" s="5" t="n"/>
      <c r="C697" s="5" t="n"/>
      <c r="D697" s="5" t="n"/>
      <c r="E697" s="6">
        <f>IF(A697="","","B"&amp;TEXT(COUNT($A$2:A697),"00000"))</f>
        <v/>
      </c>
      <c r="F697" s="6">
        <f>IF(OR(C697="",D697=""),"",IFERROR(LOOKUP(2,1/(($C$1:C696=C697)*($D$1:D696=D697)*ISNUMBER($J$1:J696)),$J$1:J696),SUMIFS(Master!$G$2:$G$13,Master!$E$2:$E$13,C697,Master!$F$2:$F$13,D697)))</f>
        <v/>
      </c>
      <c r="G697" s="5" t="n"/>
      <c r="H697" s="5" t="n"/>
      <c r="I697" s="5" t="n"/>
      <c r="J697" s="6">
        <f>IF(OR(F697="",COUNT(G697:I697)&lt;3),"",F697+G697-H697-I697)</f>
        <v/>
      </c>
      <c r="K697" s="6">
        <f>IF(COUNTA(A697:D697,G697:I697)=0,"",IF(COUNTA(A697:D697,G697:I697)&lt;7,"LENGKAPI",IF(H697+I697&gt;N(F697)+G697,"ABNORMAL",IF(COUNTIFS($A$2:$A$2001,A697,$B$2:$B$2001,B697,$C$2:$C$2001,C697,$D$2:$D$2001,D697)&gt;1,"DUPLIKAT","OK"))))</f>
        <v/>
      </c>
    </row>
    <row r="698">
      <c r="A698" s="4" t="n"/>
      <c r="B698" s="5" t="n"/>
      <c r="C698" s="5" t="n"/>
      <c r="D698" s="5" t="n"/>
      <c r="E698" s="6">
        <f>IF(A698="","","B"&amp;TEXT(COUNT($A$2:A698),"00000"))</f>
        <v/>
      </c>
      <c r="F698" s="6">
        <f>IF(OR(C698="",D698=""),"",IFERROR(LOOKUP(2,1/(($C$1:C697=C698)*($D$1:D697=D698)*ISNUMBER($J$1:J697)),$J$1:J697),SUMIFS(Master!$G$2:$G$13,Master!$E$2:$E$13,C698,Master!$F$2:$F$13,D698)))</f>
        <v/>
      </c>
      <c r="G698" s="5" t="n"/>
      <c r="H698" s="5" t="n"/>
      <c r="I698" s="5" t="n"/>
      <c r="J698" s="6">
        <f>IF(OR(F698="",COUNT(G698:I698)&lt;3),"",F698+G698-H698-I698)</f>
        <v/>
      </c>
      <c r="K698" s="6">
        <f>IF(COUNTA(A698:D698,G698:I698)=0,"",IF(COUNTA(A698:D698,G698:I698)&lt;7,"LENGKAPI",IF(H698+I698&gt;N(F698)+G698,"ABNORMAL",IF(COUNTIFS($A$2:$A$2001,A698,$B$2:$B$2001,B698,$C$2:$C$2001,C698,$D$2:$D$2001,D698)&gt;1,"DUPLIKAT","OK"))))</f>
        <v/>
      </c>
    </row>
    <row r="699">
      <c r="A699" s="4" t="n"/>
      <c r="B699" s="5" t="n"/>
      <c r="C699" s="5" t="n"/>
      <c r="D699" s="5" t="n"/>
      <c r="E699" s="6">
        <f>IF(A699="","","B"&amp;TEXT(COUNT($A$2:A699),"00000"))</f>
        <v/>
      </c>
      <c r="F699" s="6">
        <f>IF(OR(C699="",D699=""),"",IFERROR(LOOKUP(2,1/(($C$1:C698=C699)*($D$1:D698=D699)*ISNUMBER($J$1:J698)),$J$1:J698),SUMIFS(Master!$G$2:$G$13,Master!$E$2:$E$13,C699,Master!$F$2:$F$13,D699)))</f>
        <v/>
      </c>
      <c r="G699" s="5" t="n"/>
      <c r="H699" s="5" t="n"/>
      <c r="I699" s="5" t="n"/>
      <c r="J699" s="6">
        <f>IF(OR(F699="",COUNT(G699:I699)&lt;3),"",F699+G699-H699-I699)</f>
        <v/>
      </c>
      <c r="K699" s="6">
        <f>IF(COUNTA(A699:D699,G699:I699)=0,"",IF(COUNTA(A699:D699,G699:I699)&lt;7,"LENGKAPI",IF(H699+I699&gt;N(F699)+G699,"ABNORMAL",IF(COUNTIFS($A$2:$A$2001,A699,$B$2:$B$2001,B699,$C$2:$C$2001,C699,$D$2:$D$2001,D699)&gt;1,"DUPLIKAT","OK"))))</f>
        <v/>
      </c>
    </row>
    <row r="700">
      <c r="A700" s="4" t="n"/>
      <c r="B700" s="5" t="n"/>
      <c r="C700" s="5" t="n"/>
      <c r="D700" s="5" t="n"/>
      <c r="E700" s="6">
        <f>IF(A700="","","B"&amp;TEXT(COUNT($A$2:A700),"00000"))</f>
        <v/>
      </c>
      <c r="F700" s="6">
        <f>IF(OR(C700="",D700=""),"",IFERROR(LOOKUP(2,1/(($C$1:C699=C700)*($D$1:D699=D700)*ISNUMBER($J$1:J699)),$J$1:J699),SUMIFS(Master!$G$2:$G$13,Master!$E$2:$E$13,C700,Master!$F$2:$F$13,D700)))</f>
        <v/>
      </c>
      <c r="G700" s="5" t="n"/>
      <c r="H700" s="5" t="n"/>
      <c r="I700" s="5" t="n"/>
      <c r="J700" s="6">
        <f>IF(OR(F700="",COUNT(G700:I700)&lt;3),"",F700+G700-H700-I700)</f>
        <v/>
      </c>
      <c r="K700" s="6">
        <f>IF(COUNTA(A700:D700,G700:I700)=0,"",IF(COUNTA(A700:D700,G700:I700)&lt;7,"LENGKAPI",IF(H700+I700&gt;N(F700)+G700,"ABNORMAL",IF(COUNTIFS($A$2:$A$2001,A700,$B$2:$B$2001,B700,$C$2:$C$2001,C700,$D$2:$D$2001,D700)&gt;1,"DUPLIKAT","OK"))))</f>
        <v/>
      </c>
    </row>
    <row r="701">
      <c r="A701" s="4" t="n"/>
      <c r="B701" s="5" t="n"/>
      <c r="C701" s="5" t="n"/>
      <c r="D701" s="5" t="n"/>
      <c r="E701" s="6">
        <f>IF(A701="","","B"&amp;TEXT(COUNT($A$2:A701),"00000"))</f>
        <v/>
      </c>
      <c r="F701" s="6">
        <f>IF(OR(C701="",D701=""),"",IFERROR(LOOKUP(2,1/(($C$1:C700=C701)*($D$1:D700=D701)*ISNUMBER($J$1:J700)),$J$1:J700),SUMIFS(Master!$G$2:$G$13,Master!$E$2:$E$13,C701,Master!$F$2:$F$13,D701)))</f>
        <v/>
      </c>
      <c r="G701" s="5" t="n"/>
      <c r="H701" s="5" t="n"/>
      <c r="I701" s="5" t="n"/>
      <c r="J701" s="6">
        <f>IF(OR(F701="",COUNT(G701:I701)&lt;3),"",F701+G701-H701-I701)</f>
        <v/>
      </c>
      <c r="K701" s="6">
        <f>IF(COUNTA(A701:D701,G701:I701)=0,"",IF(COUNTA(A701:D701,G701:I701)&lt;7,"LENGKAPI",IF(H701+I701&gt;N(F701)+G701,"ABNORMAL",IF(COUNTIFS($A$2:$A$2001,A701,$B$2:$B$2001,B701,$C$2:$C$2001,C701,$D$2:$D$2001,D701)&gt;1,"DUPLIKAT","OK"))))</f>
        <v/>
      </c>
    </row>
    <row r="702">
      <c r="A702" s="4" t="n"/>
      <c r="B702" s="5" t="n"/>
      <c r="C702" s="5" t="n"/>
      <c r="D702" s="5" t="n"/>
      <c r="E702" s="6">
        <f>IF(A702="","","B"&amp;TEXT(COUNT($A$2:A702),"00000"))</f>
        <v/>
      </c>
      <c r="F702" s="6">
        <f>IF(OR(C702="",D702=""),"",IFERROR(LOOKUP(2,1/(($C$1:C701=C702)*($D$1:D701=D702)*ISNUMBER($J$1:J701)),$J$1:J701),SUMIFS(Master!$G$2:$G$13,Master!$E$2:$E$13,C702,Master!$F$2:$F$13,D702)))</f>
        <v/>
      </c>
      <c r="G702" s="5" t="n"/>
      <c r="H702" s="5" t="n"/>
      <c r="I702" s="5" t="n"/>
      <c r="J702" s="6">
        <f>IF(OR(F702="",COUNT(G702:I702)&lt;3),"",F702+G702-H702-I702)</f>
        <v/>
      </c>
      <c r="K702" s="6">
        <f>IF(COUNTA(A702:D702,G702:I702)=0,"",IF(COUNTA(A702:D702,G702:I702)&lt;7,"LENGKAPI",IF(H702+I702&gt;N(F702)+G702,"ABNORMAL",IF(COUNTIFS($A$2:$A$2001,A702,$B$2:$B$2001,B702,$C$2:$C$2001,C702,$D$2:$D$2001,D702)&gt;1,"DUPLIKAT","OK"))))</f>
        <v/>
      </c>
    </row>
    <row r="703">
      <c r="A703" s="4" t="n"/>
      <c r="B703" s="5" t="n"/>
      <c r="C703" s="5" t="n"/>
      <c r="D703" s="5" t="n"/>
      <c r="E703" s="6">
        <f>IF(A703="","","B"&amp;TEXT(COUNT($A$2:A703),"00000"))</f>
        <v/>
      </c>
      <c r="F703" s="6">
        <f>IF(OR(C703="",D703=""),"",IFERROR(LOOKUP(2,1/(($C$1:C702=C703)*($D$1:D702=D703)*ISNUMBER($J$1:J702)),$J$1:J702),SUMIFS(Master!$G$2:$G$13,Master!$E$2:$E$13,C703,Master!$F$2:$F$13,D703)))</f>
        <v/>
      </c>
      <c r="G703" s="5" t="n"/>
      <c r="H703" s="5" t="n"/>
      <c r="I703" s="5" t="n"/>
      <c r="J703" s="6">
        <f>IF(OR(F703="",COUNT(G703:I703)&lt;3),"",F703+G703-H703-I703)</f>
        <v/>
      </c>
      <c r="K703" s="6">
        <f>IF(COUNTA(A703:D703,G703:I703)=0,"",IF(COUNTA(A703:D703,G703:I703)&lt;7,"LENGKAPI",IF(H703+I703&gt;N(F703)+G703,"ABNORMAL",IF(COUNTIFS($A$2:$A$2001,A703,$B$2:$B$2001,B703,$C$2:$C$2001,C703,$D$2:$D$2001,D703)&gt;1,"DUPLIKAT","OK"))))</f>
        <v/>
      </c>
    </row>
    <row r="704">
      <c r="A704" s="4" t="n"/>
      <c r="B704" s="5" t="n"/>
      <c r="C704" s="5" t="n"/>
      <c r="D704" s="5" t="n"/>
      <c r="E704" s="6">
        <f>IF(A704="","","B"&amp;TEXT(COUNT($A$2:A704),"00000"))</f>
        <v/>
      </c>
      <c r="F704" s="6">
        <f>IF(OR(C704="",D704=""),"",IFERROR(LOOKUP(2,1/(($C$1:C703=C704)*($D$1:D703=D704)*ISNUMBER($J$1:J703)),$J$1:J703),SUMIFS(Master!$G$2:$G$13,Master!$E$2:$E$13,C704,Master!$F$2:$F$13,D704)))</f>
        <v/>
      </c>
      <c r="G704" s="5" t="n"/>
      <c r="H704" s="5" t="n"/>
      <c r="I704" s="5" t="n"/>
      <c r="J704" s="6">
        <f>IF(OR(F704="",COUNT(G704:I704)&lt;3),"",F704+G704-H704-I704)</f>
        <v/>
      </c>
      <c r="K704" s="6">
        <f>IF(COUNTA(A704:D704,G704:I704)=0,"",IF(COUNTA(A704:D704,G704:I704)&lt;7,"LENGKAPI",IF(H704+I704&gt;N(F704)+G704,"ABNORMAL",IF(COUNTIFS($A$2:$A$2001,A704,$B$2:$B$2001,B704,$C$2:$C$2001,C704,$D$2:$D$2001,D704)&gt;1,"DUPLIKAT","OK"))))</f>
        <v/>
      </c>
    </row>
    <row r="705">
      <c r="A705" s="4" t="n"/>
      <c r="B705" s="5" t="n"/>
      <c r="C705" s="5" t="n"/>
      <c r="D705" s="5" t="n"/>
      <c r="E705" s="6">
        <f>IF(A705="","","B"&amp;TEXT(COUNT($A$2:A705),"00000"))</f>
        <v/>
      </c>
      <c r="F705" s="6">
        <f>IF(OR(C705="",D705=""),"",IFERROR(LOOKUP(2,1/(($C$1:C704=C705)*($D$1:D704=D705)*ISNUMBER($J$1:J704)),$J$1:J704),SUMIFS(Master!$G$2:$G$13,Master!$E$2:$E$13,C705,Master!$F$2:$F$13,D705)))</f>
        <v/>
      </c>
      <c r="G705" s="5" t="n"/>
      <c r="H705" s="5" t="n"/>
      <c r="I705" s="5" t="n"/>
      <c r="J705" s="6">
        <f>IF(OR(F705="",COUNT(G705:I705)&lt;3),"",F705+G705-H705-I705)</f>
        <v/>
      </c>
      <c r="K705" s="6">
        <f>IF(COUNTA(A705:D705,G705:I705)=0,"",IF(COUNTA(A705:D705,G705:I705)&lt;7,"LENGKAPI",IF(H705+I705&gt;N(F705)+G705,"ABNORMAL",IF(COUNTIFS($A$2:$A$2001,A705,$B$2:$B$2001,B705,$C$2:$C$2001,C705,$D$2:$D$2001,D705)&gt;1,"DUPLIKAT","OK"))))</f>
        <v/>
      </c>
    </row>
    <row r="706">
      <c r="A706" s="4" t="n"/>
      <c r="B706" s="5" t="n"/>
      <c r="C706" s="5" t="n"/>
      <c r="D706" s="5" t="n"/>
      <c r="E706" s="6">
        <f>IF(A706="","","B"&amp;TEXT(COUNT($A$2:A706),"00000"))</f>
        <v/>
      </c>
      <c r="F706" s="6">
        <f>IF(OR(C706="",D706=""),"",IFERROR(LOOKUP(2,1/(($C$1:C705=C706)*($D$1:D705=D706)*ISNUMBER($J$1:J705)),$J$1:J705),SUMIFS(Master!$G$2:$G$13,Master!$E$2:$E$13,C706,Master!$F$2:$F$13,D706)))</f>
        <v/>
      </c>
      <c r="G706" s="5" t="n"/>
      <c r="H706" s="5" t="n"/>
      <c r="I706" s="5" t="n"/>
      <c r="J706" s="6">
        <f>IF(OR(F706="",COUNT(G706:I706)&lt;3),"",F706+G706-H706-I706)</f>
        <v/>
      </c>
      <c r="K706" s="6">
        <f>IF(COUNTA(A706:D706,G706:I706)=0,"",IF(COUNTA(A706:D706,G706:I706)&lt;7,"LENGKAPI",IF(H706+I706&gt;N(F706)+G706,"ABNORMAL",IF(COUNTIFS($A$2:$A$2001,A706,$B$2:$B$2001,B706,$C$2:$C$2001,C706,$D$2:$D$2001,D706)&gt;1,"DUPLIKAT","OK"))))</f>
        <v/>
      </c>
    </row>
    <row r="707">
      <c r="A707" s="4" t="n"/>
      <c r="B707" s="5" t="n"/>
      <c r="C707" s="5" t="n"/>
      <c r="D707" s="5" t="n"/>
      <c r="E707" s="6">
        <f>IF(A707="","","B"&amp;TEXT(COUNT($A$2:A707),"00000"))</f>
        <v/>
      </c>
      <c r="F707" s="6">
        <f>IF(OR(C707="",D707=""),"",IFERROR(LOOKUP(2,1/(($C$1:C706=C707)*($D$1:D706=D707)*ISNUMBER($J$1:J706)),$J$1:J706),SUMIFS(Master!$G$2:$G$13,Master!$E$2:$E$13,C707,Master!$F$2:$F$13,D707)))</f>
        <v/>
      </c>
      <c r="G707" s="5" t="n"/>
      <c r="H707" s="5" t="n"/>
      <c r="I707" s="5" t="n"/>
      <c r="J707" s="6">
        <f>IF(OR(F707="",COUNT(G707:I707)&lt;3),"",F707+G707-H707-I707)</f>
        <v/>
      </c>
      <c r="K707" s="6">
        <f>IF(COUNTA(A707:D707,G707:I707)=0,"",IF(COUNTA(A707:D707,G707:I707)&lt;7,"LENGKAPI",IF(H707+I707&gt;N(F707)+G707,"ABNORMAL",IF(COUNTIFS($A$2:$A$2001,A707,$B$2:$B$2001,B707,$C$2:$C$2001,C707,$D$2:$D$2001,D707)&gt;1,"DUPLIKAT","OK"))))</f>
        <v/>
      </c>
    </row>
    <row r="708">
      <c r="A708" s="4" t="n"/>
      <c r="B708" s="5" t="n"/>
      <c r="C708" s="5" t="n"/>
      <c r="D708" s="5" t="n"/>
      <c r="E708" s="6">
        <f>IF(A708="","","B"&amp;TEXT(COUNT($A$2:A708),"00000"))</f>
        <v/>
      </c>
      <c r="F708" s="6">
        <f>IF(OR(C708="",D708=""),"",IFERROR(LOOKUP(2,1/(($C$1:C707=C708)*($D$1:D707=D708)*ISNUMBER($J$1:J707)),$J$1:J707),SUMIFS(Master!$G$2:$G$13,Master!$E$2:$E$13,C708,Master!$F$2:$F$13,D708)))</f>
        <v/>
      </c>
      <c r="G708" s="5" t="n"/>
      <c r="H708" s="5" t="n"/>
      <c r="I708" s="5" t="n"/>
      <c r="J708" s="6">
        <f>IF(OR(F708="",COUNT(G708:I708)&lt;3),"",F708+G708-H708-I708)</f>
        <v/>
      </c>
      <c r="K708" s="6">
        <f>IF(COUNTA(A708:D708,G708:I708)=0,"",IF(COUNTA(A708:D708,G708:I708)&lt;7,"LENGKAPI",IF(H708+I708&gt;N(F708)+G708,"ABNORMAL",IF(COUNTIFS($A$2:$A$2001,A708,$B$2:$B$2001,B708,$C$2:$C$2001,C708,$D$2:$D$2001,D708)&gt;1,"DUPLIKAT","OK"))))</f>
        <v/>
      </c>
    </row>
    <row r="709">
      <c r="A709" s="4" t="n"/>
      <c r="B709" s="5" t="n"/>
      <c r="C709" s="5" t="n"/>
      <c r="D709" s="5" t="n"/>
      <c r="E709" s="6">
        <f>IF(A709="","","B"&amp;TEXT(COUNT($A$2:A709),"00000"))</f>
        <v/>
      </c>
      <c r="F709" s="6">
        <f>IF(OR(C709="",D709=""),"",IFERROR(LOOKUP(2,1/(($C$1:C708=C709)*($D$1:D708=D709)*ISNUMBER($J$1:J708)),$J$1:J708),SUMIFS(Master!$G$2:$G$13,Master!$E$2:$E$13,C709,Master!$F$2:$F$13,D709)))</f>
        <v/>
      </c>
      <c r="G709" s="5" t="n"/>
      <c r="H709" s="5" t="n"/>
      <c r="I709" s="5" t="n"/>
      <c r="J709" s="6">
        <f>IF(OR(F709="",COUNT(G709:I709)&lt;3),"",F709+G709-H709-I709)</f>
        <v/>
      </c>
      <c r="K709" s="6">
        <f>IF(COUNTA(A709:D709,G709:I709)=0,"",IF(COUNTA(A709:D709,G709:I709)&lt;7,"LENGKAPI",IF(H709+I709&gt;N(F709)+G709,"ABNORMAL",IF(COUNTIFS($A$2:$A$2001,A709,$B$2:$B$2001,B709,$C$2:$C$2001,C709,$D$2:$D$2001,D709)&gt;1,"DUPLIKAT","OK"))))</f>
        <v/>
      </c>
    </row>
    <row r="710">
      <c r="A710" s="4" t="n"/>
      <c r="B710" s="5" t="n"/>
      <c r="C710" s="5" t="n"/>
      <c r="D710" s="5" t="n"/>
      <c r="E710" s="6">
        <f>IF(A710="","","B"&amp;TEXT(COUNT($A$2:A710),"00000"))</f>
        <v/>
      </c>
      <c r="F710" s="6">
        <f>IF(OR(C710="",D710=""),"",IFERROR(LOOKUP(2,1/(($C$1:C709=C710)*($D$1:D709=D710)*ISNUMBER($J$1:J709)),$J$1:J709),SUMIFS(Master!$G$2:$G$13,Master!$E$2:$E$13,C710,Master!$F$2:$F$13,D710)))</f>
        <v/>
      </c>
      <c r="G710" s="5" t="n"/>
      <c r="H710" s="5" t="n"/>
      <c r="I710" s="5" t="n"/>
      <c r="J710" s="6">
        <f>IF(OR(F710="",COUNT(G710:I710)&lt;3),"",F710+G710-H710-I710)</f>
        <v/>
      </c>
      <c r="K710" s="6">
        <f>IF(COUNTA(A710:D710,G710:I710)=0,"",IF(COUNTA(A710:D710,G710:I710)&lt;7,"LENGKAPI",IF(H710+I710&gt;N(F710)+G710,"ABNORMAL",IF(COUNTIFS($A$2:$A$2001,A710,$B$2:$B$2001,B710,$C$2:$C$2001,C710,$D$2:$D$2001,D710)&gt;1,"DUPLIKAT","OK"))))</f>
        <v/>
      </c>
    </row>
    <row r="711">
      <c r="A711" s="4" t="n"/>
      <c r="B711" s="5" t="n"/>
      <c r="C711" s="5" t="n"/>
      <c r="D711" s="5" t="n"/>
      <c r="E711" s="6">
        <f>IF(A711="","","B"&amp;TEXT(COUNT($A$2:A711),"00000"))</f>
        <v/>
      </c>
      <c r="F711" s="6">
        <f>IF(OR(C711="",D711=""),"",IFERROR(LOOKUP(2,1/(($C$1:C710=C711)*($D$1:D710=D711)*ISNUMBER($J$1:J710)),$J$1:J710),SUMIFS(Master!$G$2:$G$13,Master!$E$2:$E$13,C711,Master!$F$2:$F$13,D711)))</f>
        <v/>
      </c>
      <c r="G711" s="5" t="n"/>
      <c r="H711" s="5" t="n"/>
      <c r="I711" s="5" t="n"/>
      <c r="J711" s="6">
        <f>IF(OR(F711="",COUNT(G711:I711)&lt;3),"",F711+G711-H711-I711)</f>
        <v/>
      </c>
      <c r="K711" s="6">
        <f>IF(COUNTA(A711:D711,G711:I711)=0,"",IF(COUNTA(A711:D711,G711:I711)&lt;7,"LENGKAPI",IF(H711+I711&gt;N(F711)+G711,"ABNORMAL",IF(COUNTIFS($A$2:$A$2001,A711,$B$2:$B$2001,B711,$C$2:$C$2001,C711,$D$2:$D$2001,D711)&gt;1,"DUPLIKAT","OK"))))</f>
        <v/>
      </c>
    </row>
    <row r="712">
      <c r="A712" s="4" t="n"/>
      <c r="B712" s="5" t="n"/>
      <c r="C712" s="5" t="n"/>
      <c r="D712" s="5" t="n"/>
      <c r="E712" s="6">
        <f>IF(A712="","","B"&amp;TEXT(COUNT($A$2:A712),"00000"))</f>
        <v/>
      </c>
      <c r="F712" s="6">
        <f>IF(OR(C712="",D712=""),"",IFERROR(LOOKUP(2,1/(($C$1:C711=C712)*($D$1:D711=D712)*ISNUMBER($J$1:J711)),$J$1:J711),SUMIFS(Master!$G$2:$G$13,Master!$E$2:$E$13,C712,Master!$F$2:$F$13,D712)))</f>
        <v/>
      </c>
      <c r="G712" s="5" t="n"/>
      <c r="H712" s="5" t="n"/>
      <c r="I712" s="5" t="n"/>
      <c r="J712" s="6">
        <f>IF(OR(F712="",COUNT(G712:I712)&lt;3),"",F712+G712-H712-I712)</f>
        <v/>
      </c>
      <c r="K712" s="6">
        <f>IF(COUNTA(A712:D712,G712:I712)=0,"",IF(COUNTA(A712:D712,G712:I712)&lt;7,"LENGKAPI",IF(H712+I712&gt;N(F712)+G712,"ABNORMAL",IF(COUNTIFS($A$2:$A$2001,A712,$B$2:$B$2001,B712,$C$2:$C$2001,C712,$D$2:$D$2001,D712)&gt;1,"DUPLIKAT","OK"))))</f>
        <v/>
      </c>
    </row>
    <row r="713">
      <c r="A713" s="4" t="n"/>
      <c r="B713" s="5" t="n"/>
      <c r="C713" s="5" t="n"/>
      <c r="D713" s="5" t="n"/>
      <c r="E713" s="6">
        <f>IF(A713="","","B"&amp;TEXT(COUNT($A$2:A713),"00000"))</f>
        <v/>
      </c>
      <c r="F713" s="6">
        <f>IF(OR(C713="",D713=""),"",IFERROR(LOOKUP(2,1/(($C$1:C712=C713)*($D$1:D712=D713)*ISNUMBER($J$1:J712)),$J$1:J712),SUMIFS(Master!$G$2:$G$13,Master!$E$2:$E$13,C713,Master!$F$2:$F$13,D713)))</f>
        <v/>
      </c>
      <c r="G713" s="5" t="n"/>
      <c r="H713" s="5" t="n"/>
      <c r="I713" s="5" t="n"/>
      <c r="J713" s="6">
        <f>IF(OR(F713="",COUNT(G713:I713)&lt;3),"",F713+G713-H713-I713)</f>
        <v/>
      </c>
      <c r="K713" s="6">
        <f>IF(COUNTA(A713:D713,G713:I713)=0,"",IF(COUNTA(A713:D713,G713:I713)&lt;7,"LENGKAPI",IF(H713+I713&gt;N(F713)+G713,"ABNORMAL",IF(COUNTIFS($A$2:$A$2001,A713,$B$2:$B$2001,B713,$C$2:$C$2001,C713,$D$2:$D$2001,D713)&gt;1,"DUPLIKAT","OK"))))</f>
        <v/>
      </c>
    </row>
    <row r="714">
      <c r="A714" s="4" t="n"/>
      <c r="B714" s="5" t="n"/>
      <c r="C714" s="5" t="n"/>
      <c r="D714" s="5" t="n"/>
      <c r="E714" s="6">
        <f>IF(A714="","","B"&amp;TEXT(COUNT($A$2:A714),"00000"))</f>
        <v/>
      </c>
      <c r="F714" s="6">
        <f>IF(OR(C714="",D714=""),"",IFERROR(LOOKUP(2,1/(($C$1:C713=C714)*($D$1:D713=D714)*ISNUMBER($J$1:J713)),$J$1:J713),SUMIFS(Master!$G$2:$G$13,Master!$E$2:$E$13,C714,Master!$F$2:$F$13,D714)))</f>
        <v/>
      </c>
      <c r="G714" s="5" t="n"/>
      <c r="H714" s="5" t="n"/>
      <c r="I714" s="5" t="n"/>
      <c r="J714" s="6">
        <f>IF(OR(F714="",COUNT(G714:I714)&lt;3),"",F714+G714-H714-I714)</f>
        <v/>
      </c>
      <c r="K714" s="6">
        <f>IF(COUNTA(A714:D714,G714:I714)=0,"",IF(COUNTA(A714:D714,G714:I714)&lt;7,"LENGKAPI",IF(H714+I714&gt;N(F714)+G714,"ABNORMAL",IF(COUNTIFS($A$2:$A$2001,A714,$B$2:$B$2001,B714,$C$2:$C$2001,C714,$D$2:$D$2001,D714)&gt;1,"DUPLIKAT","OK"))))</f>
        <v/>
      </c>
    </row>
    <row r="715">
      <c r="A715" s="4" t="n"/>
      <c r="B715" s="5" t="n"/>
      <c r="C715" s="5" t="n"/>
      <c r="D715" s="5" t="n"/>
      <c r="E715" s="6">
        <f>IF(A715="","","B"&amp;TEXT(COUNT($A$2:A715),"00000"))</f>
        <v/>
      </c>
      <c r="F715" s="6">
        <f>IF(OR(C715="",D715=""),"",IFERROR(LOOKUP(2,1/(($C$1:C714=C715)*($D$1:D714=D715)*ISNUMBER($J$1:J714)),$J$1:J714),SUMIFS(Master!$G$2:$G$13,Master!$E$2:$E$13,C715,Master!$F$2:$F$13,D715)))</f>
        <v/>
      </c>
      <c r="G715" s="5" t="n"/>
      <c r="H715" s="5" t="n"/>
      <c r="I715" s="5" t="n"/>
      <c r="J715" s="6">
        <f>IF(OR(F715="",COUNT(G715:I715)&lt;3),"",F715+G715-H715-I715)</f>
        <v/>
      </c>
      <c r="K715" s="6">
        <f>IF(COUNTA(A715:D715,G715:I715)=0,"",IF(COUNTA(A715:D715,G715:I715)&lt;7,"LENGKAPI",IF(H715+I715&gt;N(F715)+G715,"ABNORMAL",IF(COUNTIFS($A$2:$A$2001,A715,$B$2:$B$2001,B715,$C$2:$C$2001,C715,$D$2:$D$2001,D715)&gt;1,"DUPLIKAT","OK"))))</f>
        <v/>
      </c>
    </row>
    <row r="716">
      <c r="A716" s="4" t="n"/>
      <c r="B716" s="5" t="n"/>
      <c r="C716" s="5" t="n"/>
      <c r="D716" s="5" t="n"/>
      <c r="E716" s="6">
        <f>IF(A716="","","B"&amp;TEXT(COUNT($A$2:A716),"00000"))</f>
        <v/>
      </c>
      <c r="F716" s="6">
        <f>IF(OR(C716="",D716=""),"",IFERROR(LOOKUP(2,1/(($C$1:C715=C716)*($D$1:D715=D716)*ISNUMBER($J$1:J715)),$J$1:J715),SUMIFS(Master!$G$2:$G$13,Master!$E$2:$E$13,C716,Master!$F$2:$F$13,D716)))</f>
        <v/>
      </c>
      <c r="G716" s="5" t="n"/>
      <c r="H716" s="5" t="n"/>
      <c r="I716" s="5" t="n"/>
      <c r="J716" s="6">
        <f>IF(OR(F716="",COUNT(G716:I716)&lt;3),"",F716+G716-H716-I716)</f>
        <v/>
      </c>
      <c r="K716" s="6">
        <f>IF(COUNTA(A716:D716,G716:I716)=0,"",IF(COUNTA(A716:D716,G716:I716)&lt;7,"LENGKAPI",IF(H716+I716&gt;N(F716)+G716,"ABNORMAL",IF(COUNTIFS($A$2:$A$2001,A716,$B$2:$B$2001,B716,$C$2:$C$2001,C716,$D$2:$D$2001,D716)&gt;1,"DUPLIKAT","OK"))))</f>
        <v/>
      </c>
    </row>
    <row r="717">
      <c r="A717" s="4" t="n"/>
      <c r="B717" s="5" t="n"/>
      <c r="C717" s="5" t="n"/>
      <c r="D717" s="5" t="n"/>
      <c r="E717" s="6">
        <f>IF(A717="","","B"&amp;TEXT(COUNT($A$2:A717),"00000"))</f>
        <v/>
      </c>
      <c r="F717" s="6">
        <f>IF(OR(C717="",D717=""),"",IFERROR(LOOKUP(2,1/(($C$1:C716=C717)*($D$1:D716=D717)*ISNUMBER($J$1:J716)),$J$1:J716),SUMIFS(Master!$G$2:$G$13,Master!$E$2:$E$13,C717,Master!$F$2:$F$13,D717)))</f>
        <v/>
      </c>
      <c r="G717" s="5" t="n"/>
      <c r="H717" s="5" t="n"/>
      <c r="I717" s="5" t="n"/>
      <c r="J717" s="6">
        <f>IF(OR(F717="",COUNT(G717:I717)&lt;3),"",F717+G717-H717-I717)</f>
        <v/>
      </c>
      <c r="K717" s="6">
        <f>IF(COUNTA(A717:D717,G717:I717)=0,"",IF(COUNTA(A717:D717,G717:I717)&lt;7,"LENGKAPI",IF(H717+I717&gt;N(F717)+G717,"ABNORMAL",IF(COUNTIFS($A$2:$A$2001,A717,$B$2:$B$2001,B717,$C$2:$C$2001,C717,$D$2:$D$2001,D717)&gt;1,"DUPLIKAT","OK"))))</f>
        <v/>
      </c>
    </row>
    <row r="718">
      <c r="A718" s="4" t="n"/>
      <c r="B718" s="5" t="n"/>
      <c r="C718" s="5" t="n"/>
      <c r="D718" s="5" t="n"/>
      <c r="E718" s="6">
        <f>IF(A718="","","B"&amp;TEXT(COUNT($A$2:A718),"00000"))</f>
        <v/>
      </c>
      <c r="F718" s="6">
        <f>IF(OR(C718="",D718=""),"",IFERROR(LOOKUP(2,1/(($C$1:C717=C718)*($D$1:D717=D718)*ISNUMBER($J$1:J717)),$J$1:J717),SUMIFS(Master!$G$2:$G$13,Master!$E$2:$E$13,C718,Master!$F$2:$F$13,D718)))</f>
        <v/>
      </c>
      <c r="G718" s="5" t="n"/>
      <c r="H718" s="5" t="n"/>
      <c r="I718" s="5" t="n"/>
      <c r="J718" s="6">
        <f>IF(OR(F718="",COUNT(G718:I718)&lt;3),"",F718+G718-H718-I718)</f>
        <v/>
      </c>
      <c r="K718" s="6">
        <f>IF(COUNTA(A718:D718,G718:I718)=0,"",IF(COUNTA(A718:D718,G718:I718)&lt;7,"LENGKAPI",IF(H718+I718&gt;N(F718)+G718,"ABNORMAL",IF(COUNTIFS($A$2:$A$2001,A718,$B$2:$B$2001,B718,$C$2:$C$2001,C718,$D$2:$D$2001,D718)&gt;1,"DUPLIKAT","OK"))))</f>
        <v/>
      </c>
    </row>
    <row r="719">
      <c r="A719" s="4" t="n"/>
      <c r="B719" s="5" t="n"/>
      <c r="C719" s="5" t="n"/>
      <c r="D719" s="5" t="n"/>
      <c r="E719" s="6">
        <f>IF(A719="","","B"&amp;TEXT(COUNT($A$2:A719),"00000"))</f>
        <v/>
      </c>
      <c r="F719" s="6">
        <f>IF(OR(C719="",D719=""),"",IFERROR(LOOKUP(2,1/(($C$1:C718=C719)*($D$1:D718=D719)*ISNUMBER($J$1:J718)),$J$1:J718),SUMIFS(Master!$G$2:$G$13,Master!$E$2:$E$13,C719,Master!$F$2:$F$13,D719)))</f>
        <v/>
      </c>
      <c r="G719" s="5" t="n"/>
      <c r="H719" s="5" t="n"/>
      <c r="I719" s="5" t="n"/>
      <c r="J719" s="6">
        <f>IF(OR(F719="",COUNT(G719:I719)&lt;3),"",F719+G719-H719-I719)</f>
        <v/>
      </c>
      <c r="K719" s="6">
        <f>IF(COUNTA(A719:D719,G719:I719)=0,"",IF(COUNTA(A719:D719,G719:I719)&lt;7,"LENGKAPI",IF(H719+I719&gt;N(F719)+G719,"ABNORMAL",IF(COUNTIFS($A$2:$A$2001,A719,$B$2:$B$2001,B719,$C$2:$C$2001,C719,$D$2:$D$2001,D719)&gt;1,"DUPLIKAT","OK"))))</f>
        <v/>
      </c>
    </row>
    <row r="720">
      <c r="A720" s="4" t="n"/>
      <c r="B720" s="5" t="n"/>
      <c r="C720" s="5" t="n"/>
      <c r="D720" s="5" t="n"/>
      <c r="E720" s="6">
        <f>IF(A720="","","B"&amp;TEXT(COUNT($A$2:A720),"00000"))</f>
        <v/>
      </c>
      <c r="F720" s="6">
        <f>IF(OR(C720="",D720=""),"",IFERROR(LOOKUP(2,1/(($C$1:C719=C720)*($D$1:D719=D720)*ISNUMBER($J$1:J719)),$J$1:J719),SUMIFS(Master!$G$2:$G$13,Master!$E$2:$E$13,C720,Master!$F$2:$F$13,D720)))</f>
        <v/>
      </c>
      <c r="G720" s="5" t="n"/>
      <c r="H720" s="5" t="n"/>
      <c r="I720" s="5" t="n"/>
      <c r="J720" s="6">
        <f>IF(OR(F720="",COUNT(G720:I720)&lt;3),"",F720+G720-H720-I720)</f>
        <v/>
      </c>
      <c r="K720" s="6">
        <f>IF(COUNTA(A720:D720,G720:I720)=0,"",IF(COUNTA(A720:D720,G720:I720)&lt;7,"LENGKAPI",IF(H720+I720&gt;N(F720)+G720,"ABNORMAL",IF(COUNTIFS($A$2:$A$2001,A720,$B$2:$B$2001,B720,$C$2:$C$2001,C720,$D$2:$D$2001,D720)&gt;1,"DUPLIKAT","OK"))))</f>
        <v/>
      </c>
    </row>
    <row r="721">
      <c r="A721" s="4" t="n"/>
      <c r="B721" s="5" t="n"/>
      <c r="C721" s="5" t="n"/>
      <c r="D721" s="5" t="n"/>
      <c r="E721" s="6">
        <f>IF(A721="","","B"&amp;TEXT(COUNT($A$2:A721),"00000"))</f>
        <v/>
      </c>
      <c r="F721" s="6">
        <f>IF(OR(C721="",D721=""),"",IFERROR(LOOKUP(2,1/(($C$1:C720=C721)*($D$1:D720=D721)*ISNUMBER($J$1:J720)),$J$1:J720),SUMIFS(Master!$G$2:$G$13,Master!$E$2:$E$13,C721,Master!$F$2:$F$13,D721)))</f>
        <v/>
      </c>
      <c r="G721" s="5" t="n"/>
      <c r="H721" s="5" t="n"/>
      <c r="I721" s="5" t="n"/>
      <c r="J721" s="6">
        <f>IF(OR(F721="",COUNT(G721:I721)&lt;3),"",F721+G721-H721-I721)</f>
        <v/>
      </c>
      <c r="K721" s="6">
        <f>IF(COUNTA(A721:D721,G721:I721)=0,"",IF(COUNTA(A721:D721,G721:I721)&lt;7,"LENGKAPI",IF(H721+I721&gt;N(F721)+G721,"ABNORMAL",IF(COUNTIFS($A$2:$A$2001,A721,$B$2:$B$2001,B721,$C$2:$C$2001,C721,$D$2:$D$2001,D721)&gt;1,"DUPLIKAT","OK"))))</f>
        <v/>
      </c>
    </row>
    <row r="722">
      <c r="A722" s="4" t="n"/>
      <c r="B722" s="5" t="n"/>
      <c r="C722" s="5" t="n"/>
      <c r="D722" s="5" t="n"/>
      <c r="E722" s="6">
        <f>IF(A722="","","B"&amp;TEXT(COUNT($A$2:A722),"00000"))</f>
        <v/>
      </c>
      <c r="F722" s="6">
        <f>IF(OR(C722="",D722=""),"",IFERROR(LOOKUP(2,1/(($C$1:C721=C722)*($D$1:D721=D722)*ISNUMBER($J$1:J721)),$J$1:J721),SUMIFS(Master!$G$2:$G$13,Master!$E$2:$E$13,C722,Master!$F$2:$F$13,D722)))</f>
        <v/>
      </c>
      <c r="G722" s="5" t="n"/>
      <c r="H722" s="5" t="n"/>
      <c r="I722" s="5" t="n"/>
      <c r="J722" s="6">
        <f>IF(OR(F722="",COUNT(G722:I722)&lt;3),"",F722+G722-H722-I722)</f>
        <v/>
      </c>
      <c r="K722" s="6">
        <f>IF(COUNTA(A722:D722,G722:I722)=0,"",IF(COUNTA(A722:D722,G722:I722)&lt;7,"LENGKAPI",IF(H722+I722&gt;N(F722)+G722,"ABNORMAL",IF(COUNTIFS($A$2:$A$2001,A722,$B$2:$B$2001,B722,$C$2:$C$2001,C722,$D$2:$D$2001,D722)&gt;1,"DUPLIKAT","OK"))))</f>
        <v/>
      </c>
    </row>
    <row r="723">
      <c r="A723" s="4" t="n"/>
      <c r="B723" s="5" t="n"/>
      <c r="C723" s="5" t="n"/>
      <c r="D723" s="5" t="n"/>
      <c r="E723" s="6">
        <f>IF(A723="","","B"&amp;TEXT(COUNT($A$2:A723),"00000"))</f>
        <v/>
      </c>
      <c r="F723" s="6">
        <f>IF(OR(C723="",D723=""),"",IFERROR(LOOKUP(2,1/(($C$1:C722=C723)*($D$1:D722=D723)*ISNUMBER($J$1:J722)),$J$1:J722),SUMIFS(Master!$G$2:$G$13,Master!$E$2:$E$13,C723,Master!$F$2:$F$13,D723)))</f>
        <v/>
      </c>
      <c r="G723" s="5" t="n"/>
      <c r="H723" s="5" t="n"/>
      <c r="I723" s="5" t="n"/>
      <c r="J723" s="6">
        <f>IF(OR(F723="",COUNT(G723:I723)&lt;3),"",F723+G723-H723-I723)</f>
        <v/>
      </c>
      <c r="K723" s="6">
        <f>IF(COUNTA(A723:D723,G723:I723)=0,"",IF(COUNTA(A723:D723,G723:I723)&lt;7,"LENGKAPI",IF(H723+I723&gt;N(F723)+G723,"ABNORMAL",IF(COUNTIFS($A$2:$A$2001,A723,$B$2:$B$2001,B723,$C$2:$C$2001,C723,$D$2:$D$2001,D723)&gt;1,"DUPLIKAT","OK"))))</f>
        <v/>
      </c>
    </row>
    <row r="724">
      <c r="A724" s="4" t="n"/>
      <c r="B724" s="5" t="n"/>
      <c r="C724" s="5" t="n"/>
      <c r="D724" s="5" t="n"/>
      <c r="E724" s="6">
        <f>IF(A724="","","B"&amp;TEXT(COUNT($A$2:A724),"00000"))</f>
        <v/>
      </c>
      <c r="F724" s="6">
        <f>IF(OR(C724="",D724=""),"",IFERROR(LOOKUP(2,1/(($C$1:C723=C724)*($D$1:D723=D724)*ISNUMBER($J$1:J723)),$J$1:J723),SUMIFS(Master!$G$2:$G$13,Master!$E$2:$E$13,C724,Master!$F$2:$F$13,D724)))</f>
        <v/>
      </c>
      <c r="G724" s="5" t="n"/>
      <c r="H724" s="5" t="n"/>
      <c r="I724" s="5" t="n"/>
      <c r="J724" s="6">
        <f>IF(OR(F724="",COUNT(G724:I724)&lt;3),"",F724+G724-H724-I724)</f>
        <v/>
      </c>
      <c r="K724" s="6">
        <f>IF(COUNTA(A724:D724,G724:I724)=0,"",IF(COUNTA(A724:D724,G724:I724)&lt;7,"LENGKAPI",IF(H724+I724&gt;N(F724)+G724,"ABNORMAL",IF(COUNTIFS($A$2:$A$2001,A724,$B$2:$B$2001,B724,$C$2:$C$2001,C724,$D$2:$D$2001,D724)&gt;1,"DUPLIKAT","OK"))))</f>
        <v/>
      </c>
    </row>
    <row r="725">
      <c r="A725" s="4" t="n"/>
      <c r="B725" s="5" t="n"/>
      <c r="C725" s="5" t="n"/>
      <c r="D725" s="5" t="n"/>
      <c r="E725" s="6">
        <f>IF(A725="","","B"&amp;TEXT(COUNT($A$2:A725),"00000"))</f>
        <v/>
      </c>
      <c r="F725" s="6">
        <f>IF(OR(C725="",D725=""),"",IFERROR(LOOKUP(2,1/(($C$1:C724=C725)*($D$1:D724=D725)*ISNUMBER($J$1:J724)),$J$1:J724),SUMIFS(Master!$G$2:$G$13,Master!$E$2:$E$13,C725,Master!$F$2:$F$13,D725)))</f>
        <v/>
      </c>
      <c r="G725" s="5" t="n"/>
      <c r="H725" s="5" t="n"/>
      <c r="I725" s="5" t="n"/>
      <c r="J725" s="6">
        <f>IF(OR(F725="",COUNT(G725:I725)&lt;3),"",F725+G725-H725-I725)</f>
        <v/>
      </c>
      <c r="K725" s="6">
        <f>IF(COUNTA(A725:D725,G725:I725)=0,"",IF(COUNTA(A725:D725,G725:I725)&lt;7,"LENGKAPI",IF(H725+I725&gt;N(F725)+G725,"ABNORMAL",IF(COUNTIFS($A$2:$A$2001,A725,$B$2:$B$2001,B725,$C$2:$C$2001,C725,$D$2:$D$2001,D725)&gt;1,"DUPLIKAT","OK"))))</f>
        <v/>
      </c>
    </row>
    <row r="726">
      <c r="A726" s="4" t="n"/>
      <c r="B726" s="5" t="n"/>
      <c r="C726" s="5" t="n"/>
      <c r="D726" s="5" t="n"/>
      <c r="E726" s="6">
        <f>IF(A726="","","B"&amp;TEXT(COUNT($A$2:A726),"00000"))</f>
        <v/>
      </c>
      <c r="F726" s="6">
        <f>IF(OR(C726="",D726=""),"",IFERROR(LOOKUP(2,1/(($C$1:C725=C726)*($D$1:D725=D726)*ISNUMBER($J$1:J725)),$J$1:J725),SUMIFS(Master!$G$2:$G$13,Master!$E$2:$E$13,C726,Master!$F$2:$F$13,D726)))</f>
        <v/>
      </c>
      <c r="G726" s="5" t="n"/>
      <c r="H726" s="5" t="n"/>
      <c r="I726" s="5" t="n"/>
      <c r="J726" s="6">
        <f>IF(OR(F726="",COUNT(G726:I726)&lt;3),"",F726+G726-H726-I726)</f>
        <v/>
      </c>
      <c r="K726" s="6">
        <f>IF(COUNTA(A726:D726,G726:I726)=0,"",IF(COUNTA(A726:D726,G726:I726)&lt;7,"LENGKAPI",IF(H726+I726&gt;N(F726)+G726,"ABNORMAL",IF(COUNTIFS($A$2:$A$2001,A726,$B$2:$B$2001,B726,$C$2:$C$2001,C726,$D$2:$D$2001,D726)&gt;1,"DUPLIKAT","OK"))))</f>
        <v/>
      </c>
    </row>
    <row r="727">
      <c r="A727" s="4" t="n"/>
      <c r="B727" s="5" t="n"/>
      <c r="C727" s="5" t="n"/>
      <c r="D727" s="5" t="n"/>
      <c r="E727" s="6">
        <f>IF(A727="","","B"&amp;TEXT(COUNT($A$2:A727),"00000"))</f>
        <v/>
      </c>
      <c r="F727" s="6">
        <f>IF(OR(C727="",D727=""),"",IFERROR(LOOKUP(2,1/(($C$1:C726=C727)*($D$1:D726=D727)*ISNUMBER($J$1:J726)),$J$1:J726),SUMIFS(Master!$G$2:$G$13,Master!$E$2:$E$13,C727,Master!$F$2:$F$13,D727)))</f>
        <v/>
      </c>
      <c r="G727" s="5" t="n"/>
      <c r="H727" s="5" t="n"/>
      <c r="I727" s="5" t="n"/>
      <c r="J727" s="6">
        <f>IF(OR(F727="",COUNT(G727:I727)&lt;3),"",F727+G727-H727-I727)</f>
        <v/>
      </c>
      <c r="K727" s="6">
        <f>IF(COUNTA(A727:D727,G727:I727)=0,"",IF(COUNTA(A727:D727,G727:I727)&lt;7,"LENGKAPI",IF(H727+I727&gt;N(F727)+G727,"ABNORMAL",IF(COUNTIFS($A$2:$A$2001,A727,$B$2:$B$2001,B727,$C$2:$C$2001,C727,$D$2:$D$2001,D727)&gt;1,"DUPLIKAT","OK"))))</f>
        <v/>
      </c>
    </row>
    <row r="728">
      <c r="A728" s="4" t="n"/>
      <c r="B728" s="5" t="n"/>
      <c r="C728" s="5" t="n"/>
      <c r="D728" s="5" t="n"/>
      <c r="E728" s="6">
        <f>IF(A728="","","B"&amp;TEXT(COUNT($A$2:A728),"00000"))</f>
        <v/>
      </c>
      <c r="F728" s="6">
        <f>IF(OR(C728="",D728=""),"",IFERROR(LOOKUP(2,1/(($C$1:C727=C728)*($D$1:D727=D728)*ISNUMBER($J$1:J727)),$J$1:J727),SUMIFS(Master!$G$2:$G$13,Master!$E$2:$E$13,C728,Master!$F$2:$F$13,D728)))</f>
        <v/>
      </c>
      <c r="G728" s="5" t="n"/>
      <c r="H728" s="5" t="n"/>
      <c r="I728" s="5" t="n"/>
      <c r="J728" s="6">
        <f>IF(OR(F728="",COUNT(G728:I728)&lt;3),"",F728+G728-H728-I728)</f>
        <v/>
      </c>
      <c r="K728" s="6">
        <f>IF(COUNTA(A728:D728,G728:I728)=0,"",IF(COUNTA(A728:D728,G728:I728)&lt;7,"LENGKAPI",IF(H728+I728&gt;N(F728)+G728,"ABNORMAL",IF(COUNTIFS($A$2:$A$2001,A728,$B$2:$B$2001,B728,$C$2:$C$2001,C728,$D$2:$D$2001,D728)&gt;1,"DUPLIKAT","OK"))))</f>
        <v/>
      </c>
    </row>
    <row r="729">
      <c r="A729" s="4" t="n"/>
      <c r="B729" s="5" t="n"/>
      <c r="C729" s="5" t="n"/>
      <c r="D729" s="5" t="n"/>
      <c r="E729" s="6">
        <f>IF(A729="","","B"&amp;TEXT(COUNT($A$2:A729),"00000"))</f>
        <v/>
      </c>
      <c r="F729" s="6">
        <f>IF(OR(C729="",D729=""),"",IFERROR(LOOKUP(2,1/(($C$1:C728=C729)*($D$1:D728=D729)*ISNUMBER($J$1:J728)),$J$1:J728),SUMIFS(Master!$G$2:$G$13,Master!$E$2:$E$13,C729,Master!$F$2:$F$13,D729)))</f>
        <v/>
      </c>
      <c r="G729" s="5" t="n"/>
      <c r="H729" s="5" t="n"/>
      <c r="I729" s="5" t="n"/>
      <c r="J729" s="6">
        <f>IF(OR(F729="",COUNT(G729:I729)&lt;3),"",F729+G729-H729-I729)</f>
        <v/>
      </c>
      <c r="K729" s="6">
        <f>IF(COUNTA(A729:D729,G729:I729)=0,"",IF(COUNTA(A729:D729,G729:I729)&lt;7,"LENGKAPI",IF(H729+I729&gt;N(F729)+G729,"ABNORMAL",IF(COUNTIFS($A$2:$A$2001,A729,$B$2:$B$2001,B729,$C$2:$C$2001,C729,$D$2:$D$2001,D729)&gt;1,"DUPLIKAT","OK"))))</f>
        <v/>
      </c>
    </row>
    <row r="730">
      <c r="A730" s="4" t="n"/>
      <c r="B730" s="5" t="n"/>
      <c r="C730" s="5" t="n"/>
      <c r="D730" s="5" t="n"/>
      <c r="E730" s="6">
        <f>IF(A730="","","B"&amp;TEXT(COUNT($A$2:A730),"00000"))</f>
        <v/>
      </c>
      <c r="F730" s="6">
        <f>IF(OR(C730="",D730=""),"",IFERROR(LOOKUP(2,1/(($C$1:C729=C730)*($D$1:D729=D730)*ISNUMBER($J$1:J729)),$J$1:J729),SUMIFS(Master!$G$2:$G$13,Master!$E$2:$E$13,C730,Master!$F$2:$F$13,D730)))</f>
        <v/>
      </c>
      <c r="G730" s="5" t="n"/>
      <c r="H730" s="5" t="n"/>
      <c r="I730" s="5" t="n"/>
      <c r="J730" s="6">
        <f>IF(OR(F730="",COUNT(G730:I730)&lt;3),"",F730+G730-H730-I730)</f>
        <v/>
      </c>
      <c r="K730" s="6">
        <f>IF(COUNTA(A730:D730,G730:I730)=0,"",IF(COUNTA(A730:D730,G730:I730)&lt;7,"LENGKAPI",IF(H730+I730&gt;N(F730)+G730,"ABNORMAL",IF(COUNTIFS($A$2:$A$2001,A730,$B$2:$B$2001,B730,$C$2:$C$2001,C730,$D$2:$D$2001,D730)&gt;1,"DUPLIKAT","OK"))))</f>
        <v/>
      </c>
    </row>
    <row r="731">
      <c r="A731" s="4" t="n"/>
      <c r="B731" s="5" t="n"/>
      <c r="C731" s="5" t="n"/>
      <c r="D731" s="5" t="n"/>
      <c r="E731" s="6">
        <f>IF(A731="","","B"&amp;TEXT(COUNT($A$2:A731),"00000"))</f>
        <v/>
      </c>
      <c r="F731" s="6">
        <f>IF(OR(C731="",D731=""),"",IFERROR(LOOKUP(2,1/(($C$1:C730=C731)*($D$1:D730=D731)*ISNUMBER($J$1:J730)),$J$1:J730),SUMIFS(Master!$G$2:$G$13,Master!$E$2:$E$13,C731,Master!$F$2:$F$13,D731)))</f>
        <v/>
      </c>
      <c r="G731" s="5" t="n"/>
      <c r="H731" s="5" t="n"/>
      <c r="I731" s="5" t="n"/>
      <c r="J731" s="6">
        <f>IF(OR(F731="",COUNT(G731:I731)&lt;3),"",F731+G731-H731-I731)</f>
        <v/>
      </c>
      <c r="K731" s="6">
        <f>IF(COUNTA(A731:D731,G731:I731)=0,"",IF(COUNTA(A731:D731,G731:I731)&lt;7,"LENGKAPI",IF(H731+I731&gt;N(F731)+G731,"ABNORMAL",IF(COUNTIFS($A$2:$A$2001,A731,$B$2:$B$2001,B731,$C$2:$C$2001,C731,$D$2:$D$2001,D731)&gt;1,"DUPLIKAT","OK"))))</f>
        <v/>
      </c>
    </row>
    <row r="732">
      <c r="A732" s="4" t="n"/>
      <c r="B732" s="5" t="n"/>
      <c r="C732" s="5" t="n"/>
      <c r="D732" s="5" t="n"/>
      <c r="E732" s="6">
        <f>IF(A732="","","B"&amp;TEXT(COUNT($A$2:A732),"00000"))</f>
        <v/>
      </c>
      <c r="F732" s="6">
        <f>IF(OR(C732="",D732=""),"",IFERROR(LOOKUP(2,1/(($C$1:C731=C732)*($D$1:D731=D732)*ISNUMBER($J$1:J731)),$J$1:J731),SUMIFS(Master!$G$2:$G$13,Master!$E$2:$E$13,C732,Master!$F$2:$F$13,D732)))</f>
        <v/>
      </c>
      <c r="G732" s="5" t="n"/>
      <c r="H732" s="5" t="n"/>
      <c r="I732" s="5" t="n"/>
      <c r="J732" s="6">
        <f>IF(OR(F732="",COUNT(G732:I732)&lt;3),"",F732+G732-H732-I732)</f>
        <v/>
      </c>
      <c r="K732" s="6">
        <f>IF(COUNTA(A732:D732,G732:I732)=0,"",IF(COUNTA(A732:D732,G732:I732)&lt;7,"LENGKAPI",IF(H732+I732&gt;N(F732)+G732,"ABNORMAL",IF(COUNTIFS($A$2:$A$2001,A732,$B$2:$B$2001,B732,$C$2:$C$2001,C732,$D$2:$D$2001,D732)&gt;1,"DUPLIKAT","OK"))))</f>
        <v/>
      </c>
    </row>
    <row r="733">
      <c r="A733" s="4" t="n"/>
      <c r="B733" s="5" t="n"/>
      <c r="C733" s="5" t="n"/>
      <c r="D733" s="5" t="n"/>
      <c r="E733" s="6">
        <f>IF(A733="","","B"&amp;TEXT(COUNT($A$2:A733),"00000"))</f>
        <v/>
      </c>
      <c r="F733" s="6">
        <f>IF(OR(C733="",D733=""),"",IFERROR(LOOKUP(2,1/(($C$1:C732=C733)*($D$1:D732=D733)*ISNUMBER($J$1:J732)),$J$1:J732),SUMIFS(Master!$G$2:$G$13,Master!$E$2:$E$13,C733,Master!$F$2:$F$13,D733)))</f>
        <v/>
      </c>
      <c r="G733" s="5" t="n"/>
      <c r="H733" s="5" t="n"/>
      <c r="I733" s="5" t="n"/>
      <c r="J733" s="6">
        <f>IF(OR(F733="",COUNT(G733:I733)&lt;3),"",F733+G733-H733-I733)</f>
        <v/>
      </c>
      <c r="K733" s="6">
        <f>IF(COUNTA(A733:D733,G733:I733)=0,"",IF(COUNTA(A733:D733,G733:I733)&lt;7,"LENGKAPI",IF(H733+I733&gt;N(F733)+G733,"ABNORMAL",IF(COUNTIFS($A$2:$A$2001,A733,$B$2:$B$2001,B733,$C$2:$C$2001,C733,$D$2:$D$2001,D733)&gt;1,"DUPLIKAT","OK"))))</f>
        <v/>
      </c>
    </row>
    <row r="734">
      <c r="A734" s="4" t="n"/>
      <c r="B734" s="5" t="n"/>
      <c r="C734" s="5" t="n"/>
      <c r="D734" s="5" t="n"/>
      <c r="E734" s="6">
        <f>IF(A734="","","B"&amp;TEXT(COUNT($A$2:A734),"00000"))</f>
        <v/>
      </c>
      <c r="F734" s="6">
        <f>IF(OR(C734="",D734=""),"",IFERROR(LOOKUP(2,1/(($C$1:C733=C734)*($D$1:D733=D734)*ISNUMBER($J$1:J733)),$J$1:J733),SUMIFS(Master!$G$2:$G$13,Master!$E$2:$E$13,C734,Master!$F$2:$F$13,D734)))</f>
        <v/>
      </c>
      <c r="G734" s="5" t="n"/>
      <c r="H734" s="5" t="n"/>
      <c r="I734" s="5" t="n"/>
      <c r="J734" s="6">
        <f>IF(OR(F734="",COUNT(G734:I734)&lt;3),"",F734+G734-H734-I734)</f>
        <v/>
      </c>
      <c r="K734" s="6">
        <f>IF(COUNTA(A734:D734,G734:I734)=0,"",IF(COUNTA(A734:D734,G734:I734)&lt;7,"LENGKAPI",IF(H734+I734&gt;N(F734)+G734,"ABNORMAL",IF(COUNTIFS($A$2:$A$2001,A734,$B$2:$B$2001,B734,$C$2:$C$2001,C734,$D$2:$D$2001,D734)&gt;1,"DUPLIKAT","OK"))))</f>
        <v/>
      </c>
    </row>
    <row r="735">
      <c r="A735" s="4" t="n"/>
      <c r="B735" s="5" t="n"/>
      <c r="C735" s="5" t="n"/>
      <c r="D735" s="5" t="n"/>
      <c r="E735" s="6">
        <f>IF(A735="","","B"&amp;TEXT(COUNT($A$2:A735),"00000"))</f>
        <v/>
      </c>
      <c r="F735" s="6">
        <f>IF(OR(C735="",D735=""),"",IFERROR(LOOKUP(2,1/(($C$1:C734=C735)*($D$1:D734=D735)*ISNUMBER($J$1:J734)),$J$1:J734),SUMIFS(Master!$G$2:$G$13,Master!$E$2:$E$13,C735,Master!$F$2:$F$13,D735)))</f>
        <v/>
      </c>
      <c r="G735" s="5" t="n"/>
      <c r="H735" s="5" t="n"/>
      <c r="I735" s="5" t="n"/>
      <c r="J735" s="6">
        <f>IF(OR(F735="",COUNT(G735:I735)&lt;3),"",F735+G735-H735-I735)</f>
        <v/>
      </c>
      <c r="K735" s="6">
        <f>IF(COUNTA(A735:D735,G735:I735)=0,"",IF(COUNTA(A735:D735,G735:I735)&lt;7,"LENGKAPI",IF(H735+I735&gt;N(F735)+G735,"ABNORMAL",IF(COUNTIFS($A$2:$A$2001,A735,$B$2:$B$2001,B735,$C$2:$C$2001,C735,$D$2:$D$2001,D735)&gt;1,"DUPLIKAT","OK"))))</f>
        <v/>
      </c>
    </row>
    <row r="736">
      <c r="A736" s="4" t="n"/>
      <c r="B736" s="5" t="n"/>
      <c r="C736" s="5" t="n"/>
      <c r="D736" s="5" t="n"/>
      <c r="E736" s="6">
        <f>IF(A736="","","B"&amp;TEXT(COUNT($A$2:A736),"00000"))</f>
        <v/>
      </c>
      <c r="F736" s="6">
        <f>IF(OR(C736="",D736=""),"",IFERROR(LOOKUP(2,1/(($C$1:C735=C736)*($D$1:D735=D736)*ISNUMBER($J$1:J735)),$J$1:J735),SUMIFS(Master!$G$2:$G$13,Master!$E$2:$E$13,C736,Master!$F$2:$F$13,D736)))</f>
        <v/>
      </c>
      <c r="G736" s="5" t="n"/>
      <c r="H736" s="5" t="n"/>
      <c r="I736" s="5" t="n"/>
      <c r="J736" s="6">
        <f>IF(OR(F736="",COUNT(G736:I736)&lt;3),"",F736+G736-H736-I736)</f>
        <v/>
      </c>
      <c r="K736" s="6">
        <f>IF(COUNTA(A736:D736,G736:I736)=0,"",IF(COUNTA(A736:D736,G736:I736)&lt;7,"LENGKAPI",IF(H736+I736&gt;N(F736)+G736,"ABNORMAL",IF(COUNTIFS($A$2:$A$2001,A736,$B$2:$B$2001,B736,$C$2:$C$2001,C736,$D$2:$D$2001,D736)&gt;1,"DUPLIKAT","OK"))))</f>
        <v/>
      </c>
    </row>
    <row r="737">
      <c r="A737" s="4" t="n"/>
      <c r="B737" s="5" t="n"/>
      <c r="C737" s="5" t="n"/>
      <c r="D737" s="5" t="n"/>
      <c r="E737" s="6">
        <f>IF(A737="","","B"&amp;TEXT(COUNT($A$2:A737),"00000"))</f>
        <v/>
      </c>
      <c r="F737" s="6">
        <f>IF(OR(C737="",D737=""),"",IFERROR(LOOKUP(2,1/(($C$1:C736=C737)*($D$1:D736=D737)*ISNUMBER($J$1:J736)),$J$1:J736),SUMIFS(Master!$G$2:$G$13,Master!$E$2:$E$13,C737,Master!$F$2:$F$13,D737)))</f>
        <v/>
      </c>
      <c r="G737" s="5" t="n"/>
      <c r="H737" s="5" t="n"/>
      <c r="I737" s="5" t="n"/>
      <c r="J737" s="6">
        <f>IF(OR(F737="",COUNT(G737:I737)&lt;3),"",F737+G737-H737-I737)</f>
        <v/>
      </c>
      <c r="K737" s="6">
        <f>IF(COUNTA(A737:D737,G737:I737)=0,"",IF(COUNTA(A737:D737,G737:I737)&lt;7,"LENGKAPI",IF(H737+I737&gt;N(F737)+G737,"ABNORMAL",IF(COUNTIFS($A$2:$A$2001,A737,$B$2:$B$2001,B737,$C$2:$C$2001,C737,$D$2:$D$2001,D737)&gt;1,"DUPLIKAT","OK"))))</f>
        <v/>
      </c>
    </row>
    <row r="738">
      <c r="A738" s="4" t="n"/>
      <c r="B738" s="5" t="n"/>
      <c r="C738" s="5" t="n"/>
      <c r="D738" s="5" t="n"/>
      <c r="E738" s="6">
        <f>IF(A738="","","B"&amp;TEXT(COUNT($A$2:A738),"00000"))</f>
        <v/>
      </c>
      <c r="F738" s="6">
        <f>IF(OR(C738="",D738=""),"",IFERROR(LOOKUP(2,1/(($C$1:C737=C738)*($D$1:D737=D738)*ISNUMBER($J$1:J737)),$J$1:J737),SUMIFS(Master!$G$2:$G$13,Master!$E$2:$E$13,C738,Master!$F$2:$F$13,D738)))</f>
        <v/>
      </c>
      <c r="G738" s="5" t="n"/>
      <c r="H738" s="5" t="n"/>
      <c r="I738" s="5" t="n"/>
      <c r="J738" s="6">
        <f>IF(OR(F738="",COUNT(G738:I738)&lt;3),"",F738+G738-H738-I738)</f>
        <v/>
      </c>
      <c r="K738" s="6">
        <f>IF(COUNTA(A738:D738,G738:I738)=0,"",IF(COUNTA(A738:D738,G738:I738)&lt;7,"LENGKAPI",IF(H738+I738&gt;N(F738)+G738,"ABNORMAL",IF(COUNTIFS($A$2:$A$2001,A738,$B$2:$B$2001,B738,$C$2:$C$2001,C738,$D$2:$D$2001,D738)&gt;1,"DUPLIKAT","OK"))))</f>
        <v/>
      </c>
    </row>
    <row r="739">
      <c r="A739" s="4" t="n"/>
      <c r="B739" s="5" t="n"/>
      <c r="C739" s="5" t="n"/>
      <c r="D739" s="5" t="n"/>
      <c r="E739" s="6">
        <f>IF(A739="","","B"&amp;TEXT(COUNT($A$2:A739),"00000"))</f>
        <v/>
      </c>
      <c r="F739" s="6">
        <f>IF(OR(C739="",D739=""),"",IFERROR(LOOKUP(2,1/(($C$1:C738=C739)*($D$1:D738=D739)*ISNUMBER($J$1:J738)),$J$1:J738),SUMIFS(Master!$G$2:$G$13,Master!$E$2:$E$13,C739,Master!$F$2:$F$13,D739)))</f>
        <v/>
      </c>
      <c r="G739" s="5" t="n"/>
      <c r="H739" s="5" t="n"/>
      <c r="I739" s="5" t="n"/>
      <c r="J739" s="6">
        <f>IF(OR(F739="",COUNT(G739:I739)&lt;3),"",F739+G739-H739-I739)</f>
        <v/>
      </c>
      <c r="K739" s="6">
        <f>IF(COUNTA(A739:D739,G739:I739)=0,"",IF(COUNTA(A739:D739,G739:I739)&lt;7,"LENGKAPI",IF(H739+I739&gt;N(F739)+G739,"ABNORMAL",IF(COUNTIFS($A$2:$A$2001,A739,$B$2:$B$2001,B739,$C$2:$C$2001,C739,$D$2:$D$2001,D739)&gt;1,"DUPLIKAT","OK"))))</f>
        <v/>
      </c>
    </row>
    <row r="740">
      <c r="A740" s="4" t="n"/>
      <c r="B740" s="5" t="n"/>
      <c r="C740" s="5" t="n"/>
      <c r="D740" s="5" t="n"/>
      <c r="E740" s="6">
        <f>IF(A740="","","B"&amp;TEXT(COUNT($A$2:A740),"00000"))</f>
        <v/>
      </c>
      <c r="F740" s="6">
        <f>IF(OR(C740="",D740=""),"",IFERROR(LOOKUP(2,1/(($C$1:C739=C740)*($D$1:D739=D740)*ISNUMBER($J$1:J739)),$J$1:J739),SUMIFS(Master!$G$2:$G$13,Master!$E$2:$E$13,C740,Master!$F$2:$F$13,D740)))</f>
        <v/>
      </c>
      <c r="G740" s="5" t="n"/>
      <c r="H740" s="5" t="n"/>
      <c r="I740" s="5" t="n"/>
      <c r="J740" s="6">
        <f>IF(OR(F740="",COUNT(G740:I740)&lt;3),"",F740+G740-H740-I740)</f>
        <v/>
      </c>
      <c r="K740" s="6">
        <f>IF(COUNTA(A740:D740,G740:I740)=0,"",IF(COUNTA(A740:D740,G740:I740)&lt;7,"LENGKAPI",IF(H740+I740&gt;N(F740)+G740,"ABNORMAL",IF(COUNTIFS($A$2:$A$2001,A740,$B$2:$B$2001,B740,$C$2:$C$2001,C740,$D$2:$D$2001,D740)&gt;1,"DUPLIKAT","OK"))))</f>
        <v/>
      </c>
    </row>
    <row r="741">
      <c r="A741" s="4" t="n"/>
      <c r="B741" s="5" t="n"/>
      <c r="C741" s="5" t="n"/>
      <c r="D741" s="5" t="n"/>
      <c r="E741" s="6">
        <f>IF(A741="","","B"&amp;TEXT(COUNT($A$2:A741),"00000"))</f>
        <v/>
      </c>
      <c r="F741" s="6">
        <f>IF(OR(C741="",D741=""),"",IFERROR(LOOKUP(2,1/(($C$1:C740=C741)*($D$1:D740=D741)*ISNUMBER($J$1:J740)),$J$1:J740),SUMIFS(Master!$G$2:$G$13,Master!$E$2:$E$13,C741,Master!$F$2:$F$13,D741)))</f>
        <v/>
      </c>
      <c r="G741" s="5" t="n"/>
      <c r="H741" s="5" t="n"/>
      <c r="I741" s="5" t="n"/>
      <c r="J741" s="6">
        <f>IF(OR(F741="",COUNT(G741:I741)&lt;3),"",F741+G741-H741-I741)</f>
        <v/>
      </c>
      <c r="K741" s="6">
        <f>IF(COUNTA(A741:D741,G741:I741)=0,"",IF(COUNTA(A741:D741,G741:I741)&lt;7,"LENGKAPI",IF(H741+I741&gt;N(F741)+G741,"ABNORMAL",IF(COUNTIFS($A$2:$A$2001,A741,$B$2:$B$2001,B741,$C$2:$C$2001,C741,$D$2:$D$2001,D741)&gt;1,"DUPLIKAT","OK"))))</f>
        <v/>
      </c>
    </row>
    <row r="742">
      <c r="A742" s="4" t="n"/>
      <c r="B742" s="5" t="n"/>
      <c r="C742" s="5" t="n"/>
      <c r="D742" s="5" t="n"/>
      <c r="E742" s="6">
        <f>IF(A742="","","B"&amp;TEXT(COUNT($A$2:A742),"00000"))</f>
        <v/>
      </c>
      <c r="F742" s="6">
        <f>IF(OR(C742="",D742=""),"",IFERROR(LOOKUP(2,1/(($C$1:C741=C742)*($D$1:D741=D742)*ISNUMBER($J$1:J741)),$J$1:J741),SUMIFS(Master!$G$2:$G$13,Master!$E$2:$E$13,C742,Master!$F$2:$F$13,D742)))</f>
        <v/>
      </c>
      <c r="G742" s="5" t="n"/>
      <c r="H742" s="5" t="n"/>
      <c r="I742" s="5" t="n"/>
      <c r="J742" s="6">
        <f>IF(OR(F742="",COUNT(G742:I742)&lt;3),"",F742+G742-H742-I742)</f>
        <v/>
      </c>
      <c r="K742" s="6">
        <f>IF(COUNTA(A742:D742,G742:I742)=0,"",IF(COUNTA(A742:D742,G742:I742)&lt;7,"LENGKAPI",IF(H742+I742&gt;N(F742)+G742,"ABNORMAL",IF(COUNTIFS($A$2:$A$2001,A742,$B$2:$B$2001,B742,$C$2:$C$2001,C742,$D$2:$D$2001,D742)&gt;1,"DUPLIKAT","OK"))))</f>
        <v/>
      </c>
    </row>
    <row r="743">
      <c r="A743" s="4" t="n"/>
      <c r="B743" s="5" t="n"/>
      <c r="C743" s="5" t="n"/>
      <c r="D743" s="5" t="n"/>
      <c r="E743" s="6">
        <f>IF(A743="","","B"&amp;TEXT(COUNT($A$2:A743),"00000"))</f>
        <v/>
      </c>
      <c r="F743" s="6">
        <f>IF(OR(C743="",D743=""),"",IFERROR(LOOKUP(2,1/(($C$1:C742=C743)*($D$1:D742=D743)*ISNUMBER($J$1:J742)),$J$1:J742),SUMIFS(Master!$G$2:$G$13,Master!$E$2:$E$13,C743,Master!$F$2:$F$13,D743)))</f>
        <v/>
      </c>
      <c r="G743" s="5" t="n"/>
      <c r="H743" s="5" t="n"/>
      <c r="I743" s="5" t="n"/>
      <c r="J743" s="6">
        <f>IF(OR(F743="",COUNT(G743:I743)&lt;3),"",F743+G743-H743-I743)</f>
        <v/>
      </c>
      <c r="K743" s="6">
        <f>IF(COUNTA(A743:D743,G743:I743)=0,"",IF(COUNTA(A743:D743,G743:I743)&lt;7,"LENGKAPI",IF(H743+I743&gt;N(F743)+G743,"ABNORMAL",IF(COUNTIFS($A$2:$A$2001,A743,$B$2:$B$2001,B743,$C$2:$C$2001,C743,$D$2:$D$2001,D743)&gt;1,"DUPLIKAT","OK"))))</f>
        <v/>
      </c>
    </row>
    <row r="744">
      <c r="A744" s="4" t="n"/>
      <c r="B744" s="5" t="n"/>
      <c r="C744" s="5" t="n"/>
      <c r="D744" s="5" t="n"/>
      <c r="E744" s="6">
        <f>IF(A744="","","B"&amp;TEXT(COUNT($A$2:A744),"00000"))</f>
        <v/>
      </c>
      <c r="F744" s="6">
        <f>IF(OR(C744="",D744=""),"",IFERROR(LOOKUP(2,1/(($C$1:C743=C744)*($D$1:D743=D744)*ISNUMBER($J$1:J743)),$J$1:J743),SUMIFS(Master!$G$2:$G$13,Master!$E$2:$E$13,C744,Master!$F$2:$F$13,D744)))</f>
        <v/>
      </c>
      <c r="G744" s="5" t="n"/>
      <c r="H744" s="5" t="n"/>
      <c r="I744" s="5" t="n"/>
      <c r="J744" s="6">
        <f>IF(OR(F744="",COUNT(G744:I744)&lt;3),"",F744+G744-H744-I744)</f>
        <v/>
      </c>
      <c r="K744" s="6">
        <f>IF(COUNTA(A744:D744,G744:I744)=0,"",IF(COUNTA(A744:D744,G744:I744)&lt;7,"LENGKAPI",IF(H744+I744&gt;N(F744)+G744,"ABNORMAL",IF(COUNTIFS($A$2:$A$2001,A744,$B$2:$B$2001,B744,$C$2:$C$2001,C744,$D$2:$D$2001,D744)&gt;1,"DUPLIKAT","OK"))))</f>
        <v/>
      </c>
    </row>
    <row r="745">
      <c r="A745" s="4" t="n"/>
      <c r="B745" s="5" t="n"/>
      <c r="C745" s="5" t="n"/>
      <c r="D745" s="5" t="n"/>
      <c r="E745" s="6">
        <f>IF(A745="","","B"&amp;TEXT(COUNT($A$2:A745),"00000"))</f>
        <v/>
      </c>
      <c r="F745" s="6">
        <f>IF(OR(C745="",D745=""),"",IFERROR(LOOKUP(2,1/(($C$1:C744=C745)*($D$1:D744=D745)*ISNUMBER($J$1:J744)),$J$1:J744),SUMIFS(Master!$G$2:$G$13,Master!$E$2:$E$13,C745,Master!$F$2:$F$13,D745)))</f>
        <v/>
      </c>
      <c r="G745" s="5" t="n"/>
      <c r="H745" s="5" t="n"/>
      <c r="I745" s="5" t="n"/>
      <c r="J745" s="6">
        <f>IF(OR(F745="",COUNT(G745:I745)&lt;3),"",F745+G745-H745-I745)</f>
        <v/>
      </c>
      <c r="K745" s="6">
        <f>IF(COUNTA(A745:D745,G745:I745)=0,"",IF(COUNTA(A745:D745,G745:I745)&lt;7,"LENGKAPI",IF(H745+I745&gt;N(F745)+G745,"ABNORMAL",IF(COUNTIFS($A$2:$A$2001,A745,$B$2:$B$2001,B745,$C$2:$C$2001,C745,$D$2:$D$2001,D745)&gt;1,"DUPLIKAT","OK"))))</f>
        <v/>
      </c>
    </row>
    <row r="746">
      <c r="A746" s="4" t="n"/>
      <c r="B746" s="5" t="n"/>
      <c r="C746" s="5" t="n"/>
      <c r="D746" s="5" t="n"/>
      <c r="E746" s="6">
        <f>IF(A746="","","B"&amp;TEXT(COUNT($A$2:A746),"00000"))</f>
        <v/>
      </c>
      <c r="F746" s="6">
        <f>IF(OR(C746="",D746=""),"",IFERROR(LOOKUP(2,1/(($C$1:C745=C746)*($D$1:D745=D746)*ISNUMBER($J$1:J745)),$J$1:J745),SUMIFS(Master!$G$2:$G$13,Master!$E$2:$E$13,C746,Master!$F$2:$F$13,D746)))</f>
        <v/>
      </c>
      <c r="G746" s="5" t="n"/>
      <c r="H746" s="5" t="n"/>
      <c r="I746" s="5" t="n"/>
      <c r="J746" s="6">
        <f>IF(OR(F746="",COUNT(G746:I746)&lt;3),"",F746+G746-H746-I746)</f>
        <v/>
      </c>
      <c r="K746" s="6">
        <f>IF(COUNTA(A746:D746,G746:I746)=0,"",IF(COUNTA(A746:D746,G746:I746)&lt;7,"LENGKAPI",IF(H746+I746&gt;N(F746)+G746,"ABNORMAL",IF(COUNTIFS($A$2:$A$2001,A746,$B$2:$B$2001,B746,$C$2:$C$2001,C746,$D$2:$D$2001,D746)&gt;1,"DUPLIKAT","OK"))))</f>
        <v/>
      </c>
    </row>
    <row r="747">
      <c r="A747" s="4" t="n"/>
      <c r="B747" s="5" t="n"/>
      <c r="C747" s="5" t="n"/>
      <c r="D747" s="5" t="n"/>
      <c r="E747" s="6">
        <f>IF(A747="","","B"&amp;TEXT(COUNT($A$2:A747),"00000"))</f>
        <v/>
      </c>
      <c r="F747" s="6">
        <f>IF(OR(C747="",D747=""),"",IFERROR(LOOKUP(2,1/(($C$1:C746=C747)*($D$1:D746=D747)*ISNUMBER($J$1:J746)),$J$1:J746),SUMIFS(Master!$G$2:$G$13,Master!$E$2:$E$13,C747,Master!$F$2:$F$13,D747)))</f>
        <v/>
      </c>
      <c r="G747" s="5" t="n"/>
      <c r="H747" s="5" t="n"/>
      <c r="I747" s="5" t="n"/>
      <c r="J747" s="6">
        <f>IF(OR(F747="",COUNT(G747:I747)&lt;3),"",F747+G747-H747-I747)</f>
        <v/>
      </c>
      <c r="K747" s="6">
        <f>IF(COUNTA(A747:D747,G747:I747)=0,"",IF(COUNTA(A747:D747,G747:I747)&lt;7,"LENGKAPI",IF(H747+I747&gt;N(F747)+G747,"ABNORMAL",IF(COUNTIFS($A$2:$A$2001,A747,$B$2:$B$2001,B747,$C$2:$C$2001,C747,$D$2:$D$2001,D747)&gt;1,"DUPLIKAT","OK"))))</f>
        <v/>
      </c>
    </row>
    <row r="748">
      <c r="A748" s="4" t="n"/>
      <c r="B748" s="5" t="n"/>
      <c r="C748" s="5" t="n"/>
      <c r="D748" s="5" t="n"/>
      <c r="E748" s="6">
        <f>IF(A748="","","B"&amp;TEXT(COUNT($A$2:A748),"00000"))</f>
        <v/>
      </c>
      <c r="F748" s="6">
        <f>IF(OR(C748="",D748=""),"",IFERROR(LOOKUP(2,1/(($C$1:C747=C748)*($D$1:D747=D748)*ISNUMBER($J$1:J747)),$J$1:J747),SUMIFS(Master!$G$2:$G$13,Master!$E$2:$E$13,C748,Master!$F$2:$F$13,D748)))</f>
        <v/>
      </c>
      <c r="G748" s="5" t="n"/>
      <c r="H748" s="5" t="n"/>
      <c r="I748" s="5" t="n"/>
      <c r="J748" s="6">
        <f>IF(OR(F748="",COUNT(G748:I748)&lt;3),"",F748+G748-H748-I748)</f>
        <v/>
      </c>
      <c r="K748" s="6">
        <f>IF(COUNTA(A748:D748,G748:I748)=0,"",IF(COUNTA(A748:D748,G748:I748)&lt;7,"LENGKAPI",IF(H748+I748&gt;N(F748)+G748,"ABNORMAL",IF(COUNTIFS($A$2:$A$2001,A748,$B$2:$B$2001,B748,$C$2:$C$2001,C748,$D$2:$D$2001,D748)&gt;1,"DUPLIKAT","OK"))))</f>
        <v/>
      </c>
    </row>
    <row r="749">
      <c r="A749" s="4" t="n"/>
      <c r="B749" s="5" t="n"/>
      <c r="C749" s="5" t="n"/>
      <c r="D749" s="5" t="n"/>
      <c r="E749" s="6">
        <f>IF(A749="","","B"&amp;TEXT(COUNT($A$2:A749),"00000"))</f>
        <v/>
      </c>
      <c r="F749" s="6">
        <f>IF(OR(C749="",D749=""),"",IFERROR(LOOKUP(2,1/(($C$1:C748=C749)*($D$1:D748=D749)*ISNUMBER($J$1:J748)),$J$1:J748),SUMIFS(Master!$G$2:$G$13,Master!$E$2:$E$13,C749,Master!$F$2:$F$13,D749)))</f>
        <v/>
      </c>
      <c r="G749" s="5" t="n"/>
      <c r="H749" s="5" t="n"/>
      <c r="I749" s="5" t="n"/>
      <c r="J749" s="6">
        <f>IF(OR(F749="",COUNT(G749:I749)&lt;3),"",F749+G749-H749-I749)</f>
        <v/>
      </c>
      <c r="K749" s="6">
        <f>IF(COUNTA(A749:D749,G749:I749)=0,"",IF(COUNTA(A749:D749,G749:I749)&lt;7,"LENGKAPI",IF(H749+I749&gt;N(F749)+G749,"ABNORMAL",IF(COUNTIFS($A$2:$A$2001,A749,$B$2:$B$2001,B749,$C$2:$C$2001,C749,$D$2:$D$2001,D749)&gt;1,"DUPLIKAT","OK"))))</f>
        <v/>
      </c>
    </row>
    <row r="750">
      <c r="A750" s="4" t="n"/>
      <c r="B750" s="5" t="n"/>
      <c r="C750" s="5" t="n"/>
      <c r="D750" s="5" t="n"/>
      <c r="E750" s="6">
        <f>IF(A750="","","B"&amp;TEXT(COUNT($A$2:A750),"00000"))</f>
        <v/>
      </c>
      <c r="F750" s="6">
        <f>IF(OR(C750="",D750=""),"",IFERROR(LOOKUP(2,1/(($C$1:C749=C750)*($D$1:D749=D750)*ISNUMBER($J$1:J749)),$J$1:J749),SUMIFS(Master!$G$2:$G$13,Master!$E$2:$E$13,C750,Master!$F$2:$F$13,D750)))</f>
        <v/>
      </c>
      <c r="G750" s="5" t="n"/>
      <c r="H750" s="5" t="n"/>
      <c r="I750" s="5" t="n"/>
      <c r="J750" s="6">
        <f>IF(OR(F750="",COUNT(G750:I750)&lt;3),"",F750+G750-H750-I750)</f>
        <v/>
      </c>
      <c r="K750" s="6">
        <f>IF(COUNTA(A750:D750,G750:I750)=0,"",IF(COUNTA(A750:D750,G750:I750)&lt;7,"LENGKAPI",IF(H750+I750&gt;N(F750)+G750,"ABNORMAL",IF(COUNTIFS($A$2:$A$2001,A750,$B$2:$B$2001,B750,$C$2:$C$2001,C750,$D$2:$D$2001,D750)&gt;1,"DUPLIKAT","OK"))))</f>
        <v/>
      </c>
    </row>
    <row r="751">
      <c r="A751" s="4" t="n"/>
      <c r="B751" s="5" t="n"/>
      <c r="C751" s="5" t="n"/>
      <c r="D751" s="5" t="n"/>
      <c r="E751" s="6">
        <f>IF(A751="","","B"&amp;TEXT(COUNT($A$2:A751),"00000"))</f>
        <v/>
      </c>
      <c r="F751" s="6">
        <f>IF(OR(C751="",D751=""),"",IFERROR(LOOKUP(2,1/(($C$1:C750=C751)*($D$1:D750=D751)*ISNUMBER($J$1:J750)),$J$1:J750),SUMIFS(Master!$G$2:$G$13,Master!$E$2:$E$13,C751,Master!$F$2:$F$13,D751)))</f>
        <v/>
      </c>
      <c r="G751" s="5" t="n"/>
      <c r="H751" s="5" t="n"/>
      <c r="I751" s="5" t="n"/>
      <c r="J751" s="6">
        <f>IF(OR(F751="",COUNT(G751:I751)&lt;3),"",F751+G751-H751-I751)</f>
        <v/>
      </c>
      <c r="K751" s="6">
        <f>IF(COUNTA(A751:D751,G751:I751)=0,"",IF(COUNTA(A751:D751,G751:I751)&lt;7,"LENGKAPI",IF(H751+I751&gt;N(F751)+G751,"ABNORMAL",IF(COUNTIFS($A$2:$A$2001,A751,$B$2:$B$2001,B751,$C$2:$C$2001,C751,$D$2:$D$2001,D751)&gt;1,"DUPLIKAT","OK"))))</f>
        <v/>
      </c>
    </row>
    <row r="752">
      <c r="A752" s="4" t="n"/>
      <c r="B752" s="5" t="n"/>
      <c r="C752" s="5" t="n"/>
      <c r="D752" s="5" t="n"/>
      <c r="E752" s="6">
        <f>IF(A752="","","B"&amp;TEXT(COUNT($A$2:A752),"00000"))</f>
        <v/>
      </c>
      <c r="F752" s="6">
        <f>IF(OR(C752="",D752=""),"",IFERROR(LOOKUP(2,1/(($C$1:C751=C752)*($D$1:D751=D752)*ISNUMBER($J$1:J751)),$J$1:J751),SUMIFS(Master!$G$2:$G$13,Master!$E$2:$E$13,C752,Master!$F$2:$F$13,D752)))</f>
        <v/>
      </c>
      <c r="G752" s="5" t="n"/>
      <c r="H752" s="5" t="n"/>
      <c r="I752" s="5" t="n"/>
      <c r="J752" s="6">
        <f>IF(OR(F752="",COUNT(G752:I752)&lt;3),"",F752+G752-H752-I752)</f>
        <v/>
      </c>
      <c r="K752" s="6">
        <f>IF(COUNTA(A752:D752,G752:I752)=0,"",IF(COUNTA(A752:D752,G752:I752)&lt;7,"LENGKAPI",IF(H752+I752&gt;N(F752)+G752,"ABNORMAL",IF(COUNTIFS($A$2:$A$2001,A752,$B$2:$B$2001,B752,$C$2:$C$2001,C752,$D$2:$D$2001,D752)&gt;1,"DUPLIKAT","OK"))))</f>
        <v/>
      </c>
    </row>
    <row r="753">
      <c r="A753" s="4" t="n"/>
      <c r="B753" s="5" t="n"/>
      <c r="C753" s="5" t="n"/>
      <c r="D753" s="5" t="n"/>
      <c r="E753" s="6">
        <f>IF(A753="","","B"&amp;TEXT(COUNT($A$2:A753),"00000"))</f>
        <v/>
      </c>
      <c r="F753" s="6">
        <f>IF(OR(C753="",D753=""),"",IFERROR(LOOKUP(2,1/(($C$1:C752=C753)*($D$1:D752=D753)*ISNUMBER($J$1:J752)),$J$1:J752),SUMIFS(Master!$G$2:$G$13,Master!$E$2:$E$13,C753,Master!$F$2:$F$13,D753)))</f>
        <v/>
      </c>
      <c r="G753" s="5" t="n"/>
      <c r="H753" s="5" t="n"/>
      <c r="I753" s="5" t="n"/>
      <c r="J753" s="6">
        <f>IF(OR(F753="",COUNT(G753:I753)&lt;3),"",F753+G753-H753-I753)</f>
        <v/>
      </c>
      <c r="K753" s="6">
        <f>IF(COUNTA(A753:D753,G753:I753)=0,"",IF(COUNTA(A753:D753,G753:I753)&lt;7,"LENGKAPI",IF(H753+I753&gt;N(F753)+G753,"ABNORMAL",IF(COUNTIFS($A$2:$A$2001,A753,$B$2:$B$2001,B753,$C$2:$C$2001,C753,$D$2:$D$2001,D753)&gt;1,"DUPLIKAT","OK"))))</f>
        <v/>
      </c>
    </row>
    <row r="754">
      <c r="A754" s="4" t="n"/>
      <c r="B754" s="5" t="n"/>
      <c r="C754" s="5" t="n"/>
      <c r="D754" s="5" t="n"/>
      <c r="E754" s="6">
        <f>IF(A754="","","B"&amp;TEXT(COUNT($A$2:A754),"00000"))</f>
        <v/>
      </c>
      <c r="F754" s="6">
        <f>IF(OR(C754="",D754=""),"",IFERROR(LOOKUP(2,1/(($C$1:C753=C754)*($D$1:D753=D754)*ISNUMBER($J$1:J753)),$J$1:J753),SUMIFS(Master!$G$2:$G$13,Master!$E$2:$E$13,C754,Master!$F$2:$F$13,D754)))</f>
        <v/>
      </c>
      <c r="G754" s="5" t="n"/>
      <c r="H754" s="5" t="n"/>
      <c r="I754" s="5" t="n"/>
      <c r="J754" s="6">
        <f>IF(OR(F754="",COUNT(G754:I754)&lt;3),"",F754+G754-H754-I754)</f>
        <v/>
      </c>
      <c r="K754" s="6">
        <f>IF(COUNTA(A754:D754,G754:I754)=0,"",IF(COUNTA(A754:D754,G754:I754)&lt;7,"LENGKAPI",IF(H754+I754&gt;N(F754)+G754,"ABNORMAL",IF(COUNTIFS($A$2:$A$2001,A754,$B$2:$B$2001,B754,$C$2:$C$2001,C754,$D$2:$D$2001,D754)&gt;1,"DUPLIKAT","OK"))))</f>
        <v/>
      </c>
    </row>
    <row r="755">
      <c r="A755" s="4" t="n"/>
      <c r="B755" s="5" t="n"/>
      <c r="C755" s="5" t="n"/>
      <c r="D755" s="5" t="n"/>
      <c r="E755" s="6">
        <f>IF(A755="","","B"&amp;TEXT(COUNT($A$2:A755),"00000"))</f>
        <v/>
      </c>
      <c r="F755" s="6">
        <f>IF(OR(C755="",D755=""),"",IFERROR(LOOKUP(2,1/(($C$1:C754=C755)*($D$1:D754=D755)*ISNUMBER($J$1:J754)),$J$1:J754),SUMIFS(Master!$G$2:$G$13,Master!$E$2:$E$13,C755,Master!$F$2:$F$13,D755)))</f>
        <v/>
      </c>
      <c r="G755" s="5" t="n"/>
      <c r="H755" s="5" t="n"/>
      <c r="I755" s="5" t="n"/>
      <c r="J755" s="6">
        <f>IF(OR(F755="",COUNT(G755:I755)&lt;3),"",F755+G755-H755-I755)</f>
        <v/>
      </c>
      <c r="K755" s="6">
        <f>IF(COUNTA(A755:D755,G755:I755)=0,"",IF(COUNTA(A755:D755,G755:I755)&lt;7,"LENGKAPI",IF(H755+I755&gt;N(F755)+G755,"ABNORMAL",IF(COUNTIFS($A$2:$A$2001,A755,$B$2:$B$2001,B755,$C$2:$C$2001,C755,$D$2:$D$2001,D755)&gt;1,"DUPLIKAT","OK"))))</f>
        <v/>
      </c>
    </row>
    <row r="756">
      <c r="A756" s="4" t="n"/>
      <c r="B756" s="5" t="n"/>
      <c r="C756" s="5" t="n"/>
      <c r="D756" s="5" t="n"/>
      <c r="E756" s="6">
        <f>IF(A756="","","B"&amp;TEXT(COUNT($A$2:A756),"00000"))</f>
        <v/>
      </c>
      <c r="F756" s="6">
        <f>IF(OR(C756="",D756=""),"",IFERROR(LOOKUP(2,1/(($C$1:C755=C756)*($D$1:D755=D756)*ISNUMBER($J$1:J755)),$J$1:J755),SUMIFS(Master!$G$2:$G$13,Master!$E$2:$E$13,C756,Master!$F$2:$F$13,D756)))</f>
        <v/>
      </c>
      <c r="G756" s="5" t="n"/>
      <c r="H756" s="5" t="n"/>
      <c r="I756" s="5" t="n"/>
      <c r="J756" s="6">
        <f>IF(OR(F756="",COUNT(G756:I756)&lt;3),"",F756+G756-H756-I756)</f>
        <v/>
      </c>
      <c r="K756" s="6">
        <f>IF(COUNTA(A756:D756,G756:I756)=0,"",IF(COUNTA(A756:D756,G756:I756)&lt;7,"LENGKAPI",IF(H756+I756&gt;N(F756)+G756,"ABNORMAL",IF(COUNTIFS($A$2:$A$2001,A756,$B$2:$B$2001,B756,$C$2:$C$2001,C756,$D$2:$D$2001,D756)&gt;1,"DUPLIKAT","OK"))))</f>
        <v/>
      </c>
    </row>
    <row r="757">
      <c r="A757" s="4" t="n"/>
      <c r="B757" s="5" t="n"/>
      <c r="C757" s="5" t="n"/>
      <c r="D757" s="5" t="n"/>
      <c r="E757" s="6">
        <f>IF(A757="","","B"&amp;TEXT(COUNT($A$2:A757),"00000"))</f>
        <v/>
      </c>
      <c r="F757" s="6">
        <f>IF(OR(C757="",D757=""),"",IFERROR(LOOKUP(2,1/(($C$1:C756=C757)*($D$1:D756=D757)*ISNUMBER($J$1:J756)),$J$1:J756),SUMIFS(Master!$G$2:$G$13,Master!$E$2:$E$13,C757,Master!$F$2:$F$13,D757)))</f>
        <v/>
      </c>
      <c r="G757" s="5" t="n"/>
      <c r="H757" s="5" t="n"/>
      <c r="I757" s="5" t="n"/>
      <c r="J757" s="6">
        <f>IF(OR(F757="",COUNT(G757:I757)&lt;3),"",F757+G757-H757-I757)</f>
        <v/>
      </c>
      <c r="K757" s="6">
        <f>IF(COUNTA(A757:D757,G757:I757)=0,"",IF(COUNTA(A757:D757,G757:I757)&lt;7,"LENGKAPI",IF(H757+I757&gt;N(F757)+G757,"ABNORMAL",IF(COUNTIFS($A$2:$A$2001,A757,$B$2:$B$2001,B757,$C$2:$C$2001,C757,$D$2:$D$2001,D757)&gt;1,"DUPLIKAT","OK"))))</f>
        <v/>
      </c>
    </row>
    <row r="758">
      <c r="A758" s="4" t="n"/>
      <c r="B758" s="5" t="n"/>
      <c r="C758" s="5" t="n"/>
      <c r="D758" s="5" t="n"/>
      <c r="E758" s="6">
        <f>IF(A758="","","B"&amp;TEXT(COUNT($A$2:A758),"00000"))</f>
        <v/>
      </c>
      <c r="F758" s="6">
        <f>IF(OR(C758="",D758=""),"",IFERROR(LOOKUP(2,1/(($C$1:C757=C758)*($D$1:D757=D758)*ISNUMBER($J$1:J757)),$J$1:J757),SUMIFS(Master!$G$2:$G$13,Master!$E$2:$E$13,C758,Master!$F$2:$F$13,D758)))</f>
        <v/>
      </c>
      <c r="G758" s="5" t="n"/>
      <c r="H758" s="5" t="n"/>
      <c r="I758" s="5" t="n"/>
      <c r="J758" s="6">
        <f>IF(OR(F758="",COUNT(G758:I758)&lt;3),"",F758+G758-H758-I758)</f>
        <v/>
      </c>
      <c r="K758" s="6">
        <f>IF(COUNTA(A758:D758,G758:I758)=0,"",IF(COUNTA(A758:D758,G758:I758)&lt;7,"LENGKAPI",IF(H758+I758&gt;N(F758)+G758,"ABNORMAL",IF(COUNTIFS($A$2:$A$2001,A758,$B$2:$B$2001,B758,$C$2:$C$2001,C758,$D$2:$D$2001,D758)&gt;1,"DUPLIKAT","OK"))))</f>
        <v/>
      </c>
    </row>
    <row r="759">
      <c r="A759" s="4" t="n"/>
      <c r="B759" s="5" t="n"/>
      <c r="C759" s="5" t="n"/>
      <c r="D759" s="5" t="n"/>
      <c r="E759" s="6">
        <f>IF(A759="","","B"&amp;TEXT(COUNT($A$2:A759),"00000"))</f>
        <v/>
      </c>
      <c r="F759" s="6">
        <f>IF(OR(C759="",D759=""),"",IFERROR(LOOKUP(2,1/(($C$1:C758=C759)*($D$1:D758=D759)*ISNUMBER($J$1:J758)),$J$1:J758),SUMIFS(Master!$G$2:$G$13,Master!$E$2:$E$13,C759,Master!$F$2:$F$13,D759)))</f>
        <v/>
      </c>
      <c r="G759" s="5" t="n"/>
      <c r="H759" s="5" t="n"/>
      <c r="I759" s="5" t="n"/>
      <c r="J759" s="6">
        <f>IF(OR(F759="",COUNT(G759:I759)&lt;3),"",F759+G759-H759-I759)</f>
        <v/>
      </c>
      <c r="K759" s="6">
        <f>IF(COUNTA(A759:D759,G759:I759)=0,"",IF(COUNTA(A759:D759,G759:I759)&lt;7,"LENGKAPI",IF(H759+I759&gt;N(F759)+G759,"ABNORMAL",IF(COUNTIFS($A$2:$A$2001,A759,$B$2:$B$2001,B759,$C$2:$C$2001,C759,$D$2:$D$2001,D759)&gt;1,"DUPLIKAT","OK"))))</f>
        <v/>
      </c>
    </row>
    <row r="760">
      <c r="A760" s="4" t="n"/>
      <c r="B760" s="5" t="n"/>
      <c r="C760" s="5" t="n"/>
      <c r="D760" s="5" t="n"/>
      <c r="E760" s="6">
        <f>IF(A760="","","B"&amp;TEXT(COUNT($A$2:A760),"00000"))</f>
        <v/>
      </c>
      <c r="F760" s="6">
        <f>IF(OR(C760="",D760=""),"",IFERROR(LOOKUP(2,1/(($C$1:C759=C760)*($D$1:D759=D760)*ISNUMBER($J$1:J759)),$J$1:J759),SUMIFS(Master!$G$2:$G$13,Master!$E$2:$E$13,C760,Master!$F$2:$F$13,D760)))</f>
        <v/>
      </c>
      <c r="G760" s="5" t="n"/>
      <c r="H760" s="5" t="n"/>
      <c r="I760" s="5" t="n"/>
      <c r="J760" s="6">
        <f>IF(OR(F760="",COUNT(G760:I760)&lt;3),"",F760+G760-H760-I760)</f>
        <v/>
      </c>
      <c r="K760" s="6">
        <f>IF(COUNTA(A760:D760,G760:I760)=0,"",IF(COUNTA(A760:D760,G760:I760)&lt;7,"LENGKAPI",IF(H760+I760&gt;N(F760)+G760,"ABNORMAL",IF(COUNTIFS($A$2:$A$2001,A760,$B$2:$B$2001,B760,$C$2:$C$2001,C760,$D$2:$D$2001,D760)&gt;1,"DUPLIKAT","OK"))))</f>
        <v/>
      </c>
    </row>
    <row r="761">
      <c r="A761" s="4" t="n"/>
      <c r="B761" s="5" t="n"/>
      <c r="C761" s="5" t="n"/>
      <c r="D761" s="5" t="n"/>
      <c r="E761" s="6">
        <f>IF(A761="","","B"&amp;TEXT(COUNT($A$2:A761),"00000"))</f>
        <v/>
      </c>
      <c r="F761" s="6">
        <f>IF(OR(C761="",D761=""),"",IFERROR(LOOKUP(2,1/(($C$1:C760=C761)*($D$1:D760=D761)*ISNUMBER($J$1:J760)),$J$1:J760),SUMIFS(Master!$G$2:$G$13,Master!$E$2:$E$13,C761,Master!$F$2:$F$13,D761)))</f>
        <v/>
      </c>
      <c r="G761" s="5" t="n"/>
      <c r="H761" s="5" t="n"/>
      <c r="I761" s="5" t="n"/>
      <c r="J761" s="6">
        <f>IF(OR(F761="",COUNT(G761:I761)&lt;3),"",F761+G761-H761-I761)</f>
        <v/>
      </c>
      <c r="K761" s="6">
        <f>IF(COUNTA(A761:D761,G761:I761)=0,"",IF(COUNTA(A761:D761,G761:I761)&lt;7,"LENGKAPI",IF(H761+I761&gt;N(F761)+G761,"ABNORMAL",IF(COUNTIFS($A$2:$A$2001,A761,$B$2:$B$2001,B761,$C$2:$C$2001,C761,$D$2:$D$2001,D761)&gt;1,"DUPLIKAT","OK"))))</f>
        <v/>
      </c>
    </row>
    <row r="762">
      <c r="A762" s="4" t="n"/>
      <c r="B762" s="5" t="n"/>
      <c r="C762" s="5" t="n"/>
      <c r="D762" s="5" t="n"/>
      <c r="E762" s="6">
        <f>IF(A762="","","B"&amp;TEXT(COUNT($A$2:A762),"00000"))</f>
        <v/>
      </c>
      <c r="F762" s="6">
        <f>IF(OR(C762="",D762=""),"",IFERROR(LOOKUP(2,1/(($C$1:C761=C762)*($D$1:D761=D762)*ISNUMBER($J$1:J761)),$J$1:J761),SUMIFS(Master!$G$2:$G$13,Master!$E$2:$E$13,C762,Master!$F$2:$F$13,D762)))</f>
        <v/>
      </c>
      <c r="G762" s="5" t="n"/>
      <c r="H762" s="5" t="n"/>
      <c r="I762" s="5" t="n"/>
      <c r="J762" s="6">
        <f>IF(OR(F762="",COUNT(G762:I762)&lt;3),"",F762+G762-H762-I762)</f>
        <v/>
      </c>
      <c r="K762" s="6">
        <f>IF(COUNTA(A762:D762,G762:I762)=0,"",IF(COUNTA(A762:D762,G762:I762)&lt;7,"LENGKAPI",IF(H762+I762&gt;N(F762)+G762,"ABNORMAL",IF(COUNTIFS($A$2:$A$2001,A762,$B$2:$B$2001,B762,$C$2:$C$2001,C762,$D$2:$D$2001,D762)&gt;1,"DUPLIKAT","OK"))))</f>
        <v/>
      </c>
    </row>
    <row r="763">
      <c r="A763" s="4" t="n"/>
      <c r="B763" s="5" t="n"/>
      <c r="C763" s="5" t="n"/>
      <c r="D763" s="5" t="n"/>
      <c r="E763" s="6">
        <f>IF(A763="","","B"&amp;TEXT(COUNT($A$2:A763),"00000"))</f>
        <v/>
      </c>
      <c r="F763" s="6">
        <f>IF(OR(C763="",D763=""),"",IFERROR(LOOKUP(2,1/(($C$1:C762=C763)*($D$1:D762=D763)*ISNUMBER($J$1:J762)),$J$1:J762),SUMIFS(Master!$G$2:$G$13,Master!$E$2:$E$13,C763,Master!$F$2:$F$13,D763)))</f>
        <v/>
      </c>
      <c r="G763" s="5" t="n"/>
      <c r="H763" s="5" t="n"/>
      <c r="I763" s="5" t="n"/>
      <c r="J763" s="6">
        <f>IF(OR(F763="",COUNT(G763:I763)&lt;3),"",F763+G763-H763-I763)</f>
        <v/>
      </c>
      <c r="K763" s="6">
        <f>IF(COUNTA(A763:D763,G763:I763)=0,"",IF(COUNTA(A763:D763,G763:I763)&lt;7,"LENGKAPI",IF(H763+I763&gt;N(F763)+G763,"ABNORMAL",IF(COUNTIFS($A$2:$A$2001,A763,$B$2:$B$2001,B763,$C$2:$C$2001,C763,$D$2:$D$2001,D763)&gt;1,"DUPLIKAT","OK"))))</f>
        <v/>
      </c>
    </row>
    <row r="764">
      <c r="A764" s="4" t="n"/>
      <c r="B764" s="5" t="n"/>
      <c r="C764" s="5" t="n"/>
      <c r="D764" s="5" t="n"/>
      <c r="E764" s="6">
        <f>IF(A764="","","B"&amp;TEXT(COUNT($A$2:A764),"00000"))</f>
        <v/>
      </c>
      <c r="F764" s="6">
        <f>IF(OR(C764="",D764=""),"",IFERROR(LOOKUP(2,1/(($C$1:C763=C764)*($D$1:D763=D764)*ISNUMBER($J$1:J763)),$J$1:J763),SUMIFS(Master!$G$2:$G$13,Master!$E$2:$E$13,C764,Master!$F$2:$F$13,D764)))</f>
        <v/>
      </c>
      <c r="G764" s="5" t="n"/>
      <c r="H764" s="5" t="n"/>
      <c r="I764" s="5" t="n"/>
      <c r="J764" s="6">
        <f>IF(OR(F764="",COUNT(G764:I764)&lt;3),"",F764+G764-H764-I764)</f>
        <v/>
      </c>
      <c r="K764" s="6">
        <f>IF(COUNTA(A764:D764,G764:I764)=0,"",IF(COUNTA(A764:D764,G764:I764)&lt;7,"LENGKAPI",IF(H764+I764&gt;N(F764)+G764,"ABNORMAL",IF(COUNTIFS($A$2:$A$2001,A764,$B$2:$B$2001,B764,$C$2:$C$2001,C764,$D$2:$D$2001,D764)&gt;1,"DUPLIKAT","OK"))))</f>
        <v/>
      </c>
    </row>
    <row r="765">
      <c r="A765" s="4" t="n"/>
      <c r="B765" s="5" t="n"/>
      <c r="C765" s="5" t="n"/>
      <c r="D765" s="5" t="n"/>
      <c r="E765" s="6">
        <f>IF(A765="","","B"&amp;TEXT(COUNT($A$2:A765),"00000"))</f>
        <v/>
      </c>
      <c r="F765" s="6">
        <f>IF(OR(C765="",D765=""),"",IFERROR(LOOKUP(2,1/(($C$1:C764=C765)*($D$1:D764=D765)*ISNUMBER($J$1:J764)),$J$1:J764),SUMIFS(Master!$G$2:$G$13,Master!$E$2:$E$13,C765,Master!$F$2:$F$13,D765)))</f>
        <v/>
      </c>
      <c r="G765" s="5" t="n"/>
      <c r="H765" s="5" t="n"/>
      <c r="I765" s="5" t="n"/>
      <c r="J765" s="6">
        <f>IF(OR(F765="",COUNT(G765:I765)&lt;3),"",F765+G765-H765-I765)</f>
        <v/>
      </c>
      <c r="K765" s="6">
        <f>IF(COUNTA(A765:D765,G765:I765)=0,"",IF(COUNTA(A765:D765,G765:I765)&lt;7,"LENGKAPI",IF(H765+I765&gt;N(F765)+G765,"ABNORMAL",IF(COUNTIFS($A$2:$A$2001,A765,$B$2:$B$2001,B765,$C$2:$C$2001,C765,$D$2:$D$2001,D765)&gt;1,"DUPLIKAT","OK"))))</f>
        <v/>
      </c>
    </row>
    <row r="766">
      <c r="A766" s="4" t="n"/>
      <c r="B766" s="5" t="n"/>
      <c r="C766" s="5" t="n"/>
      <c r="D766" s="5" t="n"/>
      <c r="E766" s="6">
        <f>IF(A766="","","B"&amp;TEXT(COUNT($A$2:A766),"00000"))</f>
        <v/>
      </c>
      <c r="F766" s="6">
        <f>IF(OR(C766="",D766=""),"",IFERROR(LOOKUP(2,1/(($C$1:C765=C766)*($D$1:D765=D766)*ISNUMBER($J$1:J765)),$J$1:J765),SUMIFS(Master!$G$2:$G$13,Master!$E$2:$E$13,C766,Master!$F$2:$F$13,D766)))</f>
        <v/>
      </c>
      <c r="G766" s="5" t="n"/>
      <c r="H766" s="5" t="n"/>
      <c r="I766" s="5" t="n"/>
      <c r="J766" s="6">
        <f>IF(OR(F766="",COUNT(G766:I766)&lt;3),"",F766+G766-H766-I766)</f>
        <v/>
      </c>
      <c r="K766" s="6">
        <f>IF(COUNTA(A766:D766,G766:I766)=0,"",IF(COUNTA(A766:D766,G766:I766)&lt;7,"LENGKAPI",IF(H766+I766&gt;N(F766)+G766,"ABNORMAL",IF(COUNTIFS($A$2:$A$2001,A766,$B$2:$B$2001,B766,$C$2:$C$2001,C766,$D$2:$D$2001,D766)&gt;1,"DUPLIKAT","OK"))))</f>
        <v/>
      </c>
    </row>
    <row r="767">
      <c r="A767" s="4" t="n"/>
      <c r="B767" s="5" t="n"/>
      <c r="C767" s="5" t="n"/>
      <c r="D767" s="5" t="n"/>
      <c r="E767" s="6">
        <f>IF(A767="","","B"&amp;TEXT(COUNT($A$2:A767),"00000"))</f>
        <v/>
      </c>
      <c r="F767" s="6">
        <f>IF(OR(C767="",D767=""),"",IFERROR(LOOKUP(2,1/(($C$1:C766=C767)*($D$1:D766=D767)*ISNUMBER($J$1:J766)),$J$1:J766),SUMIFS(Master!$G$2:$G$13,Master!$E$2:$E$13,C767,Master!$F$2:$F$13,D767)))</f>
        <v/>
      </c>
      <c r="G767" s="5" t="n"/>
      <c r="H767" s="5" t="n"/>
      <c r="I767" s="5" t="n"/>
      <c r="J767" s="6">
        <f>IF(OR(F767="",COUNT(G767:I767)&lt;3),"",F767+G767-H767-I767)</f>
        <v/>
      </c>
      <c r="K767" s="6">
        <f>IF(COUNTA(A767:D767,G767:I767)=0,"",IF(COUNTA(A767:D767,G767:I767)&lt;7,"LENGKAPI",IF(H767+I767&gt;N(F767)+G767,"ABNORMAL",IF(COUNTIFS($A$2:$A$2001,A767,$B$2:$B$2001,B767,$C$2:$C$2001,C767,$D$2:$D$2001,D767)&gt;1,"DUPLIKAT","OK"))))</f>
        <v/>
      </c>
    </row>
    <row r="768">
      <c r="A768" s="4" t="n"/>
      <c r="B768" s="5" t="n"/>
      <c r="C768" s="5" t="n"/>
      <c r="D768" s="5" t="n"/>
      <c r="E768" s="6">
        <f>IF(A768="","","B"&amp;TEXT(COUNT($A$2:A768),"00000"))</f>
        <v/>
      </c>
      <c r="F768" s="6">
        <f>IF(OR(C768="",D768=""),"",IFERROR(LOOKUP(2,1/(($C$1:C767=C768)*($D$1:D767=D768)*ISNUMBER($J$1:J767)),$J$1:J767),SUMIFS(Master!$G$2:$G$13,Master!$E$2:$E$13,C768,Master!$F$2:$F$13,D768)))</f>
        <v/>
      </c>
      <c r="G768" s="5" t="n"/>
      <c r="H768" s="5" t="n"/>
      <c r="I768" s="5" t="n"/>
      <c r="J768" s="6">
        <f>IF(OR(F768="",COUNT(G768:I768)&lt;3),"",F768+G768-H768-I768)</f>
        <v/>
      </c>
      <c r="K768" s="6">
        <f>IF(COUNTA(A768:D768,G768:I768)=0,"",IF(COUNTA(A768:D768,G768:I768)&lt;7,"LENGKAPI",IF(H768+I768&gt;N(F768)+G768,"ABNORMAL",IF(COUNTIFS($A$2:$A$2001,A768,$B$2:$B$2001,B768,$C$2:$C$2001,C768,$D$2:$D$2001,D768)&gt;1,"DUPLIKAT","OK"))))</f>
        <v/>
      </c>
    </row>
    <row r="769">
      <c r="A769" s="4" t="n"/>
      <c r="B769" s="5" t="n"/>
      <c r="C769" s="5" t="n"/>
      <c r="D769" s="5" t="n"/>
      <c r="E769" s="6">
        <f>IF(A769="","","B"&amp;TEXT(COUNT($A$2:A769),"00000"))</f>
        <v/>
      </c>
      <c r="F769" s="6">
        <f>IF(OR(C769="",D769=""),"",IFERROR(LOOKUP(2,1/(($C$1:C768=C769)*($D$1:D768=D769)*ISNUMBER($J$1:J768)),$J$1:J768),SUMIFS(Master!$G$2:$G$13,Master!$E$2:$E$13,C769,Master!$F$2:$F$13,D769)))</f>
        <v/>
      </c>
      <c r="G769" s="5" t="n"/>
      <c r="H769" s="5" t="n"/>
      <c r="I769" s="5" t="n"/>
      <c r="J769" s="6">
        <f>IF(OR(F769="",COUNT(G769:I769)&lt;3),"",F769+G769-H769-I769)</f>
        <v/>
      </c>
      <c r="K769" s="6">
        <f>IF(COUNTA(A769:D769,G769:I769)=0,"",IF(COUNTA(A769:D769,G769:I769)&lt;7,"LENGKAPI",IF(H769+I769&gt;N(F769)+G769,"ABNORMAL",IF(COUNTIFS($A$2:$A$2001,A769,$B$2:$B$2001,B769,$C$2:$C$2001,C769,$D$2:$D$2001,D769)&gt;1,"DUPLIKAT","OK"))))</f>
        <v/>
      </c>
    </row>
    <row r="770">
      <c r="A770" s="4" t="n"/>
      <c r="B770" s="5" t="n"/>
      <c r="C770" s="5" t="n"/>
      <c r="D770" s="5" t="n"/>
      <c r="E770" s="6">
        <f>IF(A770="","","B"&amp;TEXT(COUNT($A$2:A770),"00000"))</f>
        <v/>
      </c>
      <c r="F770" s="6">
        <f>IF(OR(C770="",D770=""),"",IFERROR(LOOKUP(2,1/(($C$1:C769=C770)*($D$1:D769=D770)*ISNUMBER($J$1:J769)),$J$1:J769),SUMIFS(Master!$G$2:$G$13,Master!$E$2:$E$13,C770,Master!$F$2:$F$13,D770)))</f>
        <v/>
      </c>
      <c r="G770" s="5" t="n"/>
      <c r="H770" s="5" t="n"/>
      <c r="I770" s="5" t="n"/>
      <c r="J770" s="6">
        <f>IF(OR(F770="",COUNT(G770:I770)&lt;3),"",F770+G770-H770-I770)</f>
        <v/>
      </c>
      <c r="K770" s="6">
        <f>IF(COUNTA(A770:D770,G770:I770)=0,"",IF(COUNTA(A770:D770,G770:I770)&lt;7,"LENGKAPI",IF(H770+I770&gt;N(F770)+G770,"ABNORMAL",IF(COUNTIFS($A$2:$A$2001,A770,$B$2:$B$2001,B770,$C$2:$C$2001,C770,$D$2:$D$2001,D770)&gt;1,"DUPLIKAT","OK"))))</f>
        <v/>
      </c>
    </row>
    <row r="771">
      <c r="A771" s="4" t="n"/>
      <c r="B771" s="5" t="n"/>
      <c r="C771" s="5" t="n"/>
      <c r="D771" s="5" t="n"/>
      <c r="E771" s="6">
        <f>IF(A771="","","B"&amp;TEXT(COUNT($A$2:A771),"00000"))</f>
        <v/>
      </c>
      <c r="F771" s="6">
        <f>IF(OR(C771="",D771=""),"",IFERROR(LOOKUP(2,1/(($C$1:C770=C771)*($D$1:D770=D771)*ISNUMBER($J$1:J770)),$J$1:J770),SUMIFS(Master!$G$2:$G$13,Master!$E$2:$E$13,C771,Master!$F$2:$F$13,D771)))</f>
        <v/>
      </c>
      <c r="G771" s="5" t="n"/>
      <c r="H771" s="5" t="n"/>
      <c r="I771" s="5" t="n"/>
      <c r="J771" s="6">
        <f>IF(OR(F771="",COUNT(G771:I771)&lt;3),"",F771+G771-H771-I771)</f>
        <v/>
      </c>
      <c r="K771" s="6">
        <f>IF(COUNTA(A771:D771,G771:I771)=0,"",IF(COUNTA(A771:D771,G771:I771)&lt;7,"LENGKAPI",IF(H771+I771&gt;N(F771)+G771,"ABNORMAL",IF(COUNTIFS($A$2:$A$2001,A771,$B$2:$B$2001,B771,$C$2:$C$2001,C771,$D$2:$D$2001,D771)&gt;1,"DUPLIKAT","OK"))))</f>
        <v/>
      </c>
    </row>
    <row r="772">
      <c r="A772" s="4" t="n"/>
      <c r="B772" s="5" t="n"/>
      <c r="C772" s="5" t="n"/>
      <c r="D772" s="5" t="n"/>
      <c r="E772" s="6">
        <f>IF(A772="","","B"&amp;TEXT(COUNT($A$2:A772),"00000"))</f>
        <v/>
      </c>
      <c r="F772" s="6">
        <f>IF(OR(C772="",D772=""),"",IFERROR(LOOKUP(2,1/(($C$1:C771=C772)*($D$1:D771=D772)*ISNUMBER($J$1:J771)),$J$1:J771),SUMIFS(Master!$G$2:$G$13,Master!$E$2:$E$13,C772,Master!$F$2:$F$13,D772)))</f>
        <v/>
      </c>
      <c r="G772" s="5" t="n"/>
      <c r="H772" s="5" t="n"/>
      <c r="I772" s="5" t="n"/>
      <c r="J772" s="6">
        <f>IF(OR(F772="",COUNT(G772:I772)&lt;3),"",F772+G772-H772-I772)</f>
        <v/>
      </c>
      <c r="K772" s="6">
        <f>IF(COUNTA(A772:D772,G772:I772)=0,"",IF(COUNTA(A772:D772,G772:I772)&lt;7,"LENGKAPI",IF(H772+I772&gt;N(F772)+G772,"ABNORMAL",IF(COUNTIFS($A$2:$A$2001,A772,$B$2:$B$2001,B772,$C$2:$C$2001,C772,$D$2:$D$2001,D772)&gt;1,"DUPLIKAT","OK"))))</f>
        <v/>
      </c>
    </row>
    <row r="773">
      <c r="A773" s="4" t="n"/>
      <c r="B773" s="5" t="n"/>
      <c r="C773" s="5" t="n"/>
      <c r="D773" s="5" t="n"/>
      <c r="E773" s="6">
        <f>IF(A773="","","B"&amp;TEXT(COUNT($A$2:A773),"00000"))</f>
        <v/>
      </c>
      <c r="F773" s="6">
        <f>IF(OR(C773="",D773=""),"",IFERROR(LOOKUP(2,1/(($C$1:C772=C773)*($D$1:D772=D773)*ISNUMBER($J$1:J772)),$J$1:J772),SUMIFS(Master!$G$2:$G$13,Master!$E$2:$E$13,C773,Master!$F$2:$F$13,D773)))</f>
        <v/>
      </c>
      <c r="G773" s="5" t="n"/>
      <c r="H773" s="5" t="n"/>
      <c r="I773" s="5" t="n"/>
      <c r="J773" s="6">
        <f>IF(OR(F773="",COUNT(G773:I773)&lt;3),"",F773+G773-H773-I773)</f>
        <v/>
      </c>
      <c r="K773" s="6">
        <f>IF(COUNTA(A773:D773,G773:I773)=0,"",IF(COUNTA(A773:D773,G773:I773)&lt;7,"LENGKAPI",IF(H773+I773&gt;N(F773)+G773,"ABNORMAL",IF(COUNTIFS($A$2:$A$2001,A773,$B$2:$B$2001,B773,$C$2:$C$2001,C773,$D$2:$D$2001,D773)&gt;1,"DUPLIKAT","OK"))))</f>
        <v/>
      </c>
    </row>
    <row r="774">
      <c r="A774" s="4" t="n"/>
      <c r="B774" s="5" t="n"/>
      <c r="C774" s="5" t="n"/>
      <c r="D774" s="5" t="n"/>
      <c r="E774" s="6">
        <f>IF(A774="","","B"&amp;TEXT(COUNT($A$2:A774),"00000"))</f>
        <v/>
      </c>
      <c r="F774" s="6">
        <f>IF(OR(C774="",D774=""),"",IFERROR(LOOKUP(2,1/(($C$1:C773=C774)*($D$1:D773=D774)*ISNUMBER($J$1:J773)),$J$1:J773),SUMIFS(Master!$G$2:$G$13,Master!$E$2:$E$13,C774,Master!$F$2:$F$13,D774)))</f>
        <v/>
      </c>
      <c r="G774" s="5" t="n"/>
      <c r="H774" s="5" t="n"/>
      <c r="I774" s="5" t="n"/>
      <c r="J774" s="6">
        <f>IF(OR(F774="",COUNT(G774:I774)&lt;3),"",F774+G774-H774-I774)</f>
        <v/>
      </c>
      <c r="K774" s="6">
        <f>IF(COUNTA(A774:D774,G774:I774)=0,"",IF(COUNTA(A774:D774,G774:I774)&lt;7,"LENGKAPI",IF(H774+I774&gt;N(F774)+G774,"ABNORMAL",IF(COUNTIFS($A$2:$A$2001,A774,$B$2:$B$2001,B774,$C$2:$C$2001,C774,$D$2:$D$2001,D774)&gt;1,"DUPLIKAT","OK"))))</f>
        <v/>
      </c>
    </row>
    <row r="775">
      <c r="A775" s="4" t="n"/>
      <c r="B775" s="5" t="n"/>
      <c r="C775" s="5" t="n"/>
      <c r="D775" s="5" t="n"/>
      <c r="E775" s="6">
        <f>IF(A775="","","B"&amp;TEXT(COUNT($A$2:A775),"00000"))</f>
        <v/>
      </c>
      <c r="F775" s="6">
        <f>IF(OR(C775="",D775=""),"",IFERROR(LOOKUP(2,1/(($C$1:C774=C775)*($D$1:D774=D775)*ISNUMBER($J$1:J774)),$J$1:J774),SUMIFS(Master!$G$2:$G$13,Master!$E$2:$E$13,C775,Master!$F$2:$F$13,D775)))</f>
        <v/>
      </c>
      <c r="G775" s="5" t="n"/>
      <c r="H775" s="5" t="n"/>
      <c r="I775" s="5" t="n"/>
      <c r="J775" s="6">
        <f>IF(OR(F775="",COUNT(G775:I775)&lt;3),"",F775+G775-H775-I775)</f>
        <v/>
      </c>
      <c r="K775" s="6">
        <f>IF(COUNTA(A775:D775,G775:I775)=0,"",IF(COUNTA(A775:D775,G775:I775)&lt;7,"LENGKAPI",IF(H775+I775&gt;N(F775)+G775,"ABNORMAL",IF(COUNTIFS($A$2:$A$2001,A775,$B$2:$B$2001,B775,$C$2:$C$2001,C775,$D$2:$D$2001,D775)&gt;1,"DUPLIKAT","OK"))))</f>
        <v/>
      </c>
    </row>
    <row r="776">
      <c r="A776" s="4" t="n"/>
      <c r="B776" s="5" t="n"/>
      <c r="C776" s="5" t="n"/>
      <c r="D776" s="5" t="n"/>
      <c r="E776" s="6">
        <f>IF(A776="","","B"&amp;TEXT(COUNT($A$2:A776),"00000"))</f>
        <v/>
      </c>
      <c r="F776" s="6">
        <f>IF(OR(C776="",D776=""),"",IFERROR(LOOKUP(2,1/(($C$1:C775=C776)*($D$1:D775=D776)*ISNUMBER($J$1:J775)),$J$1:J775),SUMIFS(Master!$G$2:$G$13,Master!$E$2:$E$13,C776,Master!$F$2:$F$13,D776)))</f>
        <v/>
      </c>
      <c r="G776" s="5" t="n"/>
      <c r="H776" s="5" t="n"/>
      <c r="I776" s="5" t="n"/>
      <c r="J776" s="6">
        <f>IF(OR(F776="",COUNT(G776:I776)&lt;3),"",F776+G776-H776-I776)</f>
        <v/>
      </c>
      <c r="K776" s="6">
        <f>IF(COUNTA(A776:D776,G776:I776)=0,"",IF(COUNTA(A776:D776,G776:I776)&lt;7,"LENGKAPI",IF(H776+I776&gt;N(F776)+G776,"ABNORMAL",IF(COUNTIFS($A$2:$A$2001,A776,$B$2:$B$2001,B776,$C$2:$C$2001,C776,$D$2:$D$2001,D776)&gt;1,"DUPLIKAT","OK"))))</f>
        <v/>
      </c>
    </row>
    <row r="777">
      <c r="A777" s="4" t="n"/>
      <c r="B777" s="5" t="n"/>
      <c r="C777" s="5" t="n"/>
      <c r="D777" s="5" t="n"/>
      <c r="E777" s="6">
        <f>IF(A777="","","B"&amp;TEXT(COUNT($A$2:A777),"00000"))</f>
        <v/>
      </c>
      <c r="F777" s="6">
        <f>IF(OR(C777="",D777=""),"",IFERROR(LOOKUP(2,1/(($C$1:C776=C777)*($D$1:D776=D777)*ISNUMBER($J$1:J776)),$J$1:J776),SUMIFS(Master!$G$2:$G$13,Master!$E$2:$E$13,C777,Master!$F$2:$F$13,D777)))</f>
        <v/>
      </c>
      <c r="G777" s="5" t="n"/>
      <c r="H777" s="5" t="n"/>
      <c r="I777" s="5" t="n"/>
      <c r="J777" s="6">
        <f>IF(OR(F777="",COUNT(G777:I777)&lt;3),"",F777+G777-H777-I777)</f>
        <v/>
      </c>
      <c r="K777" s="6">
        <f>IF(COUNTA(A777:D777,G777:I777)=0,"",IF(COUNTA(A777:D777,G777:I777)&lt;7,"LENGKAPI",IF(H777+I777&gt;N(F777)+G777,"ABNORMAL",IF(COUNTIFS($A$2:$A$2001,A777,$B$2:$B$2001,B777,$C$2:$C$2001,C777,$D$2:$D$2001,D777)&gt;1,"DUPLIKAT","OK"))))</f>
        <v/>
      </c>
    </row>
    <row r="778">
      <c r="A778" s="4" t="n"/>
      <c r="B778" s="5" t="n"/>
      <c r="C778" s="5" t="n"/>
      <c r="D778" s="5" t="n"/>
      <c r="E778" s="6">
        <f>IF(A778="","","B"&amp;TEXT(COUNT($A$2:A778),"00000"))</f>
        <v/>
      </c>
      <c r="F778" s="6">
        <f>IF(OR(C778="",D778=""),"",IFERROR(LOOKUP(2,1/(($C$1:C777=C778)*($D$1:D777=D778)*ISNUMBER($J$1:J777)),$J$1:J777),SUMIFS(Master!$G$2:$G$13,Master!$E$2:$E$13,C778,Master!$F$2:$F$13,D778)))</f>
        <v/>
      </c>
      <c r="G778" s="5" t="n"/>
      <c r="H778" s="5" t="n"/>
      <c r="I778" s="5" t="n"/>
      <c r="J778" s="6">
        <f>IF(OR(F778="",COUNT(G778:I778)&lt;3),"",F778+G778-H778-I778)</f>
        <v/>
      </c>
      <c r="K778" s="6">
        <f>IF(COUNTA(A778:D778,G778:I778)=0,"",IF(COUNTA(A778:D778,G778:I778)&lt;7,"LENGKAPI",IF(H778+I778&gt;N(F778)+G778,"ABNORMAL",IF(COUNTIFS($A$2:$A$2001,A778,$B$2:$B$2001,B778,$C$2:$C$2001,C778,$D$2:$D$2001,D778)&gt;1,"DUPLIKAT","OK"))))</f>
        <v/>
      </c>
    </row>
    <row r="779">
      <c r="A779" s="4" t="n"/>
      <c r="B779" s="5" t="n"/>
      <c r="C779" s="5" t="n"/>
      <c r="D779" s="5" t="n"/>
      <c r="E779" s="6">
        <f>IF(A779="","","B"&amp;TEXT(COUNT($A$2:A779),"00000"))</f>
        <v/>
      </c>
      <c r="F779" s="6">
        <f>IF(OR(C779="",D779=""),"",IFERROR(LOOKUP(2,1/(($C$1:C778=C779)*($D$1:D778=D779)*ISNUMBER($J$1:J778)),$J$1:J778),SUMIFS(Master!$G$2:$G$13,Master!$E$2:$E$13,C779,Master!$F$2:$F$13,D779)))</f>
        <v/>
      </c>
      <c r="G779" s="5" t="n"/>
      <c r="H779" s="5" t="n"/>
      <c r="I779" s="5" t="n"/>
      <c r="J779" s="6">
        <f>IF(OR(F779="",COUNT(G779:I779)&lt;3),"",F779+G779-H779-I779)</f>
        <v/>
      </c>
      <c r="K779" s="6">
        <f>IF(COUNTA(A779:D779,G779:I779)=0,"",IF(COUNTA(A779:D779,G779:I779)&lt;7,"LENGKAPI",IF(H779+I779&gt;N(F779)+G779,"ABNORMAL",IF(COUNTIFS($A$2:$A$2001,A779,$B$2:$B$2001,B779,$C$2:$C$2001,C779,$D$2:$D$2001,D779)&gt;1,"DUPLIKAT","OK"))))</f>
        <v/>
      </c>
    </row>
    <row r="780">
      <c r="A780" s="4" t="n"/>
      <c r="B780" s="5" t="n"/>
      <c r="C780" s="5" t="n"/>
      <c r="D780" s="5" t="n"/>
      <c r="E780" s="6">
        <f>IF(A780="","","B"&amp;TEXT(COUNT($A$2:A780),"00000"))</f>
        <v/>
      </c>
      <c r="F780" s="6">
        <f>IF(OR(C780="",D780=""),"",IFERROR(LOOKUP(2,1/(($C$1:C779=C780)*($D$1:D779=D780)*ISNUMBER($J$1:J779)),$J$1:J779),SUMIFS(Master!$G$2:$G$13,Master!$E$2:$E$13,C780,Master!$F$2:$F$13,D780)))</f>
        <v/>
      </c>
      <c r="G780" s="5" t="n"/>
      <c r="H780" s="5" t="n"/>
      <c r="I780" s="5" t="n"/>
      <c r="J780" s="6">
        <f>IF(OR(F780="",COUNT(G780:I780)&lt;3),"",F780+G780-H780-I780)</f>
        <v/>
      </c>
      <c r="K780" s="6">
        <f>IF(COUNTA(A780:D780,G780:I780)=0,"",IF(COUNTA(A780:D780,G780:I780)&lt;7,"LENGKAPI",IF(H780+I780&gt;N(F780)+G780,"ABNORMAL",IF(COUNTIFS($A$2:$A$2001,A780,$B$2:$B$2001,B780,$C$2:$C$2001,C780,$D$2:$D$2001,D780)&gt;1,"DUPLIKAT","OK"))))</f>
        <v/>
      </c>
    </row>
    <row r="781">
      <c r="A781" s="4" t="n"/>
      <c r="B781" s="5" t="n"/>
      <c r="C781" s="5" t="n"/>
      <c r="D781" s="5" t="n"/>
      <c r="E781" s="6">
        <f>IF(A781="","","B"&amp;TEXT(COUNT($A$2:A781),"00000"))</f>
        <v/>
      </c>
      <c r="F781" s="6">
        <f>IF(OR(C781="",D781=""),"",IFERROR(LOOKUP(2,1/(($C$1:C780=C781)*($D$1:D780=D781)*ISNUMBER($J$1:J780)),$J$1:J780),SUMIFS(Master!$G$2:$G$13,Master!$E$2:$E$13,C781,Master!$F$2:$F$13,D781)))</f>
        <v/>
      </c>
      <c r="G781" s="5" t="n"/>
      <c r="H781" s="5" t="n"/>
      <c r="I781" s="5" t="n"/>
      <c r="J781" s="6">
        <f>IF(OR(F781="",COUNT(G781:I781)&lt;3),"",F781+G781-H781-I781)</f>
        <v/>
      </c>
      <c r="K781" s="6">
        <f>IF(COUNTA(A781:D781,G781:I781)=0,"",IF(COUNTA(A781:D781,G781:I781)&lt;7,"LENGKAPI",IF(H781+I781&gt;N(F781)+G781,"ABNORMAL",IF(COUNTIFS($A$2:$A$2001,A781,$B$2:$B$2001,B781,$C$2:$C$2001,C781,$D$2:$D$2001,D781)&gt;1,"DUPLIKAT","OK"))))</f>
        <v/>
      </c>
    </row>
    <row r="782">
      <c r="A782" s="4" t="n"/>
      <c r="B782" s="5" t="n"/>
      <c r="C782" s="5" t="n"/>
      <c r="D782" s="5" t="n"/>
      <c r="E782" s="6">
        <f>IF(A782="","","B"&amp;TEXT(COUNT($A$2:A782),"00000"))</f>
        <v/>
      </c>
      <c r="F782" s="6">
        <f>IF(OR(C782="",D782=""),"",IFERROR(LOOKUP(2,1/(($C$1:C781=C782)*($D$1:D781=D782)*ISNUMBER($J$1:J781)),$J$1:J781),SUMIFS(Master!$G$2:$G$13,Master!$E$2:$E$13,C782,Master!$F$2:$F$13,D782)))</f>
        <v/>
      </c>
      <c r="G782" s="5" t="n"/>
      <c r="H782" s="5" t="n"/>
      <c r="I782" s="5" t="n"/>
      <c r="J782" s="6">
        <f>IF(OR(F782="",COUNT(G782:I782)&lt;3),"",F782+G782-H782-I782)</f>
        <v/>
      </c>
      <c r="K782" s="6">
        <f>IF(COUNTA(A782:D782,G782:I782)=0,"",IF(COUNTA(A782:D782,G782:I782)&lt;7,"LENGKAPI",IF(H782+I782&gt;N(F782)+G782,"ABNORMAL",IF(COUNTIFS($A$2:$A$2001,A782,$B$2:$B$2001,B782,$C$2:$C$2001,C782,$D$2:$D$2001,D782)&gt;1,"DUPLIKAT","OK"))))</f>
        <v/>
      </c>
    </row>
    <row r="783">
      <c r="A783" s="4" t="n"/>
      <c r="B783" s="5" t="n"/>
      <c r="C783" s="5" t="n"/>
      <c r="D783" s="5" t="n"/>
      <c r="E783" s="6">
        <f>IF(A783="","","B"&amp;TEXT(COUNT($A$2:A783),"00000"))</f>
        <v/>
      </c>
      <c r="F783" s="6">
        <f>IF(OR(C783="",D783=""),"",IFERROR(LOOKUP(2,1/(($C$1:C782=C783)*($D$1:D782=D783)*ISNUMBER($J$1:J782)),$J$1:J782),SUMIFS(Master!$G$2:$G$13,Master!$E$2:$E$13,C783,Master!$F$2:$F$13,D783)))</f>
        <v/>
      </c>
      <c r="G783" s="5" t="n"/>
      <c r="H783" s="5" t="n"/>
      <c r="I783" s="5" t="n"/>
      <c r="J783" s="6">
        <f>IF(OR(F783="",COUNT(G783:I783)&lt;3),"",F783+G783-H783-I783)</f>
        <v/>
      </c>
      <c r="K783" s="6">
        <f>IF(COUNTA(A783:D783,G783:I783)=0,"",IF(COUNTA(A783:D783,G783:I783)&lt;7,"LENGKAPI",IF(H783+I783&gt;N(F783)+G783,"ABNORMAL",IF(COUNTIFS($A$2:$A$2001,A783,$B$2:$B$2001,B783,$C$2:$C$2001,C783,$D$2:$D$2001,D783)&gt;1,"DUPLIKAT","OK"))))</f>
        <v/>
      </c>
    </row>
    <row r="784">
      <c r="A784" s="4" t="n"/>
      <c r="B784" s="5" t="n"/>
      <c r="C784" s="5" t="n"/>
      <c r="D784" s="5" t="n"/>
      <c r="E784" s="6">
        <f>IF(A784="","","B"&amp;TEXT(COUNT($A$2:A784),"00000"))</f>
        <v/>
      </c>
      <c r="F784" s="6">
        <f>IF(OR(C784="",D784=""),"",IFERROR(LOOKUP(2,1/(($C$1:C783=C784)*($D$1:D783=D784)*ISNUMBER($J$1:J783)),$J$1:J783),SUMIFS(Master!$G$2:$G$13,Master!$E$2:$E$13,C784,Master!$F$2:$F$13,D784)))</f>
        <v/>
      </c>
      <c r="G784" s="5" t="n"/>
      <c r="H784" s="5" t="n"/>
      <c r="I784" s="5" t="n"/>
      <c r="J784" s="6">
        <f>IF(OR(F784="",COUNT(G784:I784)&lt;3),"",F784+G784-H784-I784)</f>
        <v/>
      </c>
      <c r="K784" s="6">
        <f>IF(COUNTA(A784:D784,G784:I784)=0,"",IF(COUNTA(A784:D784,G784:I784)&lt;7,"LENGKAPI",IF(H784+I784&gt;N(F784)+G784,"ABNORMAL",IF(COUNTIFS($A$2:$A$2001,A784,$B$2:$B$2001,B784,$C$2:$C$2001,C784,$D$2:$D$2001,D784)&gt;1,"DUPLIKAT","OK"))))</f>
        <v/>
      </c>
    </row>
    <row r="785">
      <c r="A785" s="4" t="n"/>
      <c r="B785" s="5" t="n"/>
      <c r="C785" s="5" t="n"/>
      <c r="D785" s="5" t="n"/>
      <c r="E785" s="6">
        <f>IF(A785="","","B"&amp;TEXT(COUNT($A$2:A785),"00000"))</f>
        <v/>
      </c>
      <c r="F785" s="6">
        <f>IF(OR(C785="",D785=""),"",IFERROR(LOOKUP(2,1/(($C$1:C784=C785)*($D$1:D784=D785)*ISNUMBER($J$1:J784)),$J$1:J784),SUMIFS(Master!$G$2:$G$13,Master!$E$2:$E$13,C785,Master!$F$2:$F$13,D785)))</f>
        <v/>
      </c>
      <c r="G785" s="5" t="n"/>
      <c r="H785" s="5" t="n"/>
      <c r="I785" s="5" t="n"/>
      <c r="J785" s="6">
        <f>IF(OR(F785="",COUNT(G785:I785)&lt;3),"",F785+G785-H785-I785)</f>
        <v/>
      </c>
      <c r="K785" s="6">
        <f>IF(COUNTA(A785:D785,G785:I785)=0,"",IF(COUNTA(A785:D785,G785:I785)&lt;7,"LENGKAPI",IF(H785+I785&gt;N(F785)+G785,"ABNORMAL",IF(COUNTIFS($A$2:$A$2001,A785,$B$2:$B$2001,B785,$C$2:$C$2001,C785,$D$2:$D$2001,D785)&gt;1,"DUPLIKAT","OK"))))</f>
        <v/>
      </c>
    </row>
    <row r="786">
      <c r="A786" s="4" t="n"/>
      <c r="B786" s="5" t="n"/>
      <c r="C786" s="5" t="n"/>
      <c r="D786" s="5" t="n"/>
      <c r="E786" s="6">
        <f>IF(A786="","","B"&amp;TEXT(COUNT($A$2:A786),"00000"))</f>
        <v/>
      </c>
      <c r="F786" s="6">
        <f>IF(OR(C786="",D786=""),"",IFERROR(LOOKUP(2,1/(($C$1:C785=C786)*($D$1:D785=D786)*ISNUMBER($J$1:J785)),$J$1:J785),SUMIFS(Master!$G$2:$G$13,Master!$E$2:$E$13,C786,Master!$F$2:$F$13,D786)))</f>
        <v/>
      </c>
      <c r="G786" s="5" t="n"/>
      <c r="H786" s="5" t="n"/>
      <c r="I786" s="5" t="n"/>
      <c r="J786" s="6">
        <f>IF(OR(F786="",COUNT(G786:I786)&lt;3),"",F786+G786-H786-I786)</f>
        <v/>
      </c>
      <c r="K786" s="6">
        <f>IF(COUNTA(A786:D786,G786:I786)=0,"",IF(COUNTA(A786:D786,G786:I786)&lt;7,"LENGKAPI",IF(H786+I786&gt;N(F786)+G786,"ABNORMAL",IF(COUNTIFS($A$2:$A$2001,A786,$B$2:$B$2001,B786,$C$2:$C$2001,C786,$D$2:$D$2001,D786)&gt;1,"DUPLIKAT","OK"))))</f>
        <v/>
      </c>
    </row>
    <row r="787">
      <c r="A787" s="4" t="n"/>
      <c r="B787" s="5" t="n"/>
      <c r="C787" s="5" t="n"/>
      <c r="D787" s="5" t="n"/>
      <c r="E787" s="6">
        <f>IF(A787="","","B"&amp;TEXT(COUNT($A$2:A787),"00000"))</f>
        <v/>
      </c>
      <c r="F787" s="6">
        <f>IF(OR(C787="",D787=""),"",IFERROR(LOOKUP(2,1/(($C$1:C786=C787)*($D$1:D786=D787)*ISNUMBER($J$1:J786)),$J$1:J786),SUMIFS(Master!$G$2:$G$13,Master!$E$2:$E$13,C787,Master!$F$2:$F$13,D787)))</f>
        <v/>
      </c>
      <c r="G787" s="5" t="n"/>
      <c r="H787" s="5" t="n"/>
      <c r="I787" s="5" t="n"/>
      <c r="J787" s="6">
        <f>IF(OR(F787="",COUNT(G787:I787)&lt;3),"",F787+G787-H787-I787)</f>
        <v/>
      </c>
      <c r="K787" s="6">
        <f>IF(COUNTA(A787:D787,G787:I787)=0,"",IF(COUNTA(A787:D787,G787:I787)&lt;7,"LENGKAPI",IF(H787+I787&gt;N(F787)+G787,"ABNORMAL",IF(COUNTIFS($A$2:$A$2001,A787,$B$2:$B$2001,B787,$C$2:$C$2001,C787,$D$2:$D$2001,D787)&gt;1,"DUPLIKAT","OK"))))</f>
        <v/>
      </c>
    </row>
    <row r="788">
      <c r="A788" s="4" t="n"/>
      <c r="B788" s="5" t="n"/>
      <c r="C788" s="5" t="n"/>
      <c r="D788" s="5" t="n"/>
      <c r="E788" s="6">
        <f>IF(A788="","","B"&amp;TEXT(COUNT($A$2:A788),"00000"))</f>
        <v/>
      </c>
      <c r="F788" s="6">
        <f>IF(OR(C788="",D788=""),"",IFERROR(LOOKUP(2,1/(($C$1:C787=C788)*($D$1:D787=D788)*ISNUMBER($J$1:J787)),$J$1:J787),SUMIFS(Master!$G$2:$G$13,Master!$E$2:$E$13,C788,Master!$F$2:$F$13,D788)))</f>
        <v/>
      </c>
      <c r="G788" s="5" t="n"/>
      <c r="H788" s="5" t="n"/>
      <c r="I788" s="5" t="n"/>
      <c r="J788" s="6">
        <f>IF(OR(F788="",COUNT(G788:I788)&lt;3),"",F788+G788-H788-I788)</f>
        <v/>
      </c>
      <c r="K788" s="6">
        <f>IF(COUNTA(A788:D788,G788:I788)=0,"",IF(COUNTA(A788:D788,G788:I788)&lt;7,"LENGKAPI",IF(H788+I788&gt;N(F788)+G788,"ABNORMAL",IF(COUNTIFS($A$2:$A$2001,A788,$B$2:$B$2001,B788,$C$2:$C$2001,C788,$D$2:$D$2001,D788)&gt;1,"DUPLIKAT","OK"))))</f>
        <v/>
      </c>
    </row>
    <row r="789">
      <c r="A789" s="4" t="n"/>
      <c r="B789" s="5" t="n"/>
      <c r="C789" s="5" t="n"/>
      <c r="D789" s="5" t="n"/>
      <c r="E789" s="6">
        <f>IF(A789="","","B"&amp;TEXT(COUNT($A$2:A789),"00000"))</f>
        <v/>
      </c>
      <c r="F789" s="6">
        <f>IF(OR(C789="",D789=""),"",IFERROR(LOOKUP(2,1/(($C$1:C788=C789)*($D$1:D788=D789)*ISNUMBER($J$1:J788)),$J$1:J788),SUMIFS(Master!$G$2:$G$13,Master!$E$2:$E$13,C789,Master!$F$2:$F$13,D789)))</f>
        <v/>
      </c>
      <c r="G789" s="5" t="n"/>
      <c r="H789" s="5" t="n"/>
      <c r="I789" s="5" t="n"/>
      <c r="J789" s="6">
        <f>IF(OR(F789="",COUNT(G789:I789)&lt;3),"",F789+G789-H789-I789)</f>
        <v/>
      </c>
      <c r="K789" s="6">
        <f>IF(COUNTA(A789:D789,G789:I789)=0,"",IF(COUNTA(A789:D789,G789:I789)&lt;7,"LENGKAPI",IF(H789+I789&gt;N(F789)+G789,"ABNORMAL",IF(COUNTIFS($A$2:$A$2001,A789,$B$2:$B$2001,B789,$C$2:$C$2001,C789,$D$2:$D$2001,D789)&gt;1,"DUPLIKAT","OK"))))</f>
        <v/>
      </c>
    </row>
    <row r="790">
      <c r="A790" s="4" t="n"/>
      <c r="B790" s="5" t="n"/>
      <c r="C790" s="5" t="n"/>
      <c r="D790" s="5" t="n"/>
      <c r="E790" s="6">
        <f>IF(A790="","","B"&amp;TEXT(COUNT($A$2:A790),"00000"))</f>
        <v/>
      </c>
      <c r="F790" s="6">
        <f>IF(OR(C790="",D790=""),"",IFERROR(LOOKUP(2,1/(($C$1:C789=C790)*($D$1:D789=D790)*ISNUMBER($J$1:J789)),$J$1:J789),SUMIFS(Master!$G$2:$G$13,Master!$E$2:$E$13,C790,Master!$F$2:$F$13,D790)))</f>
        <v/>
      </c>
      <c r="G790" s="5" t="n"/>
      <c r="H790" s="5" t="n"/>
      <c r="I790" s="5" t="n"/>
      <c r="J790" s="6">
        <f>IF(OR(F790="",COUNT(G790:I790)&lt;3),"",F790+G790-H790-I790)</f>
        <v/>
      </c>
      <c r="K790" s="6">
        <f>IF(COUNTA(A790:D790,G790:I790)=0,"",IF(COUNTA(A790:D790,G790:I790)&lt;7,"LENGKAPI",IF(H790+I790&gt;N(F790)+G790,"ABNORMAL",IF(COUNTIFS($A$2:$A$2001,A790,$B$2:$B$2001,B790,$C$2:$C$2001,C790,$D$2:$D$2001,D790)&gt;1,"DUPLIKAT","OK"))))</f>
        <v/>
      </c>
    </row>
    <row r="791">
      <c r="A791" s="4" t="n"/>
      <c r="B791" s="5" t="n"/>
      <c r="C791" s="5" t="n"/>
      <c r="D791" s="5" t="n"/>
      <c r="E791" s="6">
        <f>IF(A791="","","B"&amp;TEXT(COUNT($A$2:A791),"00000"))</f>
        <v/>
      </c>
      <c r="F791" s="6">
        <f>IF(OR(C791="",D791=""),"",IFERROR(LOOKUP(2,1/(($C$1:C790=C791)*($D$1:D790=D791)*ISNUMBER($J$1:J790)),$J$1:J790),SUMIFS(Master!$G$2:$G$13,Master!$E$2:$E$13,C791,Master!$F$2:$F$13,D791)))</f>
        <v/>
      </c>
      <c r="G791" s="5" t="n"/>
      <c r="H791" s="5" t="n"/>
      <c r="I791" s="5" t="n"/>
      <c r="J791" s="6">
        <f>IF(OR(F791="",COUNT(G791:I791)&lt;3),"",F791+G791-H791-I791)</f>
        <v/>
      </c>
      <c r="K791" s="6">
        <f>IF(COUNTA(A791:D791,G791:I791)=0,"",IF(COUNTA(A791:D791,G791:I791)&lt;7,"LENGKAPI",IF(H791+I791&gt;N(F791)+G791,"ABNORMAL",IF(COUNTIFS($A$2:$A$2001,A791,$B$2:$B$2001,B791,$C$2:$C$2001,C791,$D$2:$D$2001,D791)&gt;1,"DUPLIKAT","OK"))))</f>
        <v/>
      </c>
    </row>
    <row r="792">
      <c r="A792" s="4" t="n"/>
      <c r="B792" s="5" t="n"/>
      <c r="C792" s="5" t="n"/>
      <c r="D792" s="5" t="n"/>
      <c r="E792" s="6">
        <f>IF(A792="","","B"&amp;TEXT(COUNT($A$2:A792),"00000"))</f>
        <v/>
      </c>
      <c r="F792" s="6">
        <f>IF(OR(C792="",D792=""),"",IFERROR(LOOKUP(2,1/(($C$1:C791=C792)*($D$1:D791=D792)*ISNUMBER($J$1:J791)),$J$1:J791),SUMIFS(Master!$G$2:$G$13,Master!$E$2:$E$13,C792,Master!$F$2:$F$13,D792)))</f>
        <v/>
      </c>
      <c r="G792" s="5" t="n"/>
      <c r="H792" s="5" t="n"/>
      <c r="I792" s="5" t="n"/>
      <c r="J792" s="6">
        <f>IF(OR(F792="",COUNT(G792:I792)&lt;3),"",F792+G792-H792-I792)</f>
        <v/>
      </c>
      <c r="K792" s="6">
        <f>IF(COUNTA(A792:D792,G792:I792)=0,"",IF(COUNTA(A792:D792,G792:I792)&lt;7,"LENGKAPI",IF(H792+I792&gt;N(F792)+G792,"ABNORMAL",IF(COUNTIFS($A$2:$A$2001,A792,$B$2:$B$2001,B792,$C$2:$C$2001,C792,$D$2:$D$2001,D792)&gt;1,"DUPLIKAT","OK"))))</f>
        <v/>
      </c>
    </row>
    <row r="793">
      <c r="A793" s="4" t="n"/>
      <c r="B793" s="5" t="n"/>
      <c r="C793" s="5" t="n"/>
      <c r="D793" s="5" t="n"/>
      <c r="E793" s="6">
        <f>IF(A793="","","B"&amp;TEXT(COUNT($A$2:A793),"00000"))</f>
        <v/>
      </c>
      <c r="F793" s="6">
        <f>IF(OR(C793="",D793=""),"",IFERROR(LOOKUP(2,1/(($C$1:C792=C793)*($D$1:D792=D793)*ISNUMBER($J$1:J792)),$J$1:J792),SUMIFS(Master!$G$2:$G$13,Master!$E$2:$E$13,C793,Master!$F$2:$F$13,D793)))</f>
        <v/>
      </c>
      <c r="G793" s="5" t="n"/>
      <c r="H793" s="5" t="n"/>
      <c r="I793" s="5" t="n"/>
      <c r="J793" s="6">
        <f>IF(OR(F793="",COUNT(G793:I793)&lt;3),"",F793+G793-H793-I793)</f>
        <v/>
      </c>
      <c r="K793" s="6">
        <f>IF(COUNTA(A793:D793,G793:I793)=0,"",IF(COUNTA(A793:D793,G793:I793)&lt;7,"LENGKAPI",IF(H793+I793&gt;N(F793)+G793,"ABNORMAL",IF(COUNTIFS($A$2:$A$2001,A793,$B$2:$B$2001,B793,$C$2:$C$2001,C793,$D$2:$D$2001,D793)&gt;1,"DUPLIKAT","OK"))))</f>
        <v/>
      </c>
    </row>
    <row r="794">
      <c r="A794" s="4" t="n"/>
      <c r="B794" s="5" t="n"/>
      <c r="C794" s="5" t="n"/>
      <c r="D794" s="5" t="n"/>
      <c r="E794" s="6">
        <f>IF(A794="","","B"&amp;TEXT(COUNT($A$2:A794),"00000"))</f>
        <v/>
      </c>
      <c r="F794" s="6">
        <f>IF(OR(C794="",D794=""),"",IFERROR(LOOKUP(2,1/(($C$1:C793=C794)*($D$1:D793=D794)*ISNUMBER($J$1:J793)),$J$1:J793),SUMIFS(Master!$G$2:$G$13,Master!$E$2:$E$13,C794,Master!$F$2:$F$13,D794)))</f>
        <v/>
      </c>
      <c r="G794" s="5" t="n"/>
      <c r="H794" s="5" t="n"/>
      <c r="I794" s="5" t="n"/>
      <c r="J794" s="6">
        <f>IF(OR(F794="",COUNT(G794:I794)&lt;3),"",F794+G794-H794-I794)</f>
        <v/>
      </c>
      <c r="K794" s="6">
        <f>IF(COUNTA(A794:D794,G794:I794)=0,"",IF(COUNTA(A794:D794,G794:I794)&lt;7,"LENGKAPI",IF(H794+I794&gt;N(F794)+G794,"ABNORMAL",IF(COUNTIFS($A$2:$A$2001,A794,$B$2:$B$2001,B794,$C$2:$C$2001,C794,$D$2:$D$2001,D794)&gt;1,"DUPLIKAT","OK"))))</f>
        <v/>
      </c>
    </row>
    <row r="795">
      <c r="A795" s="4" t="n"/>
      <c r="B795" s="5" t="n"/>
      <c r="C795" s="5" t="n"/>
      <c r="D795" s="5" t="n"/>
      <c r="E795" s="6">
        <f>IF(A795="","","B"&amp;TEXT(COUNT($A$2:A795),"00000"))</f>
        <v/>
      </c>
      <c r="F795" s="6">
        <f>IF(OR(C795="",D795=""),"",IFERROR(LOOKUP(2,1/(($C$1:C794=C795)*($D$1:D794=D795)*ISNUMBER($J$1:J794)),$J$1:J794),SUMIFS(Master!$G$2:$G$13,Master!$E$2:$E$13,C795,Master!$F$2:$F$13,D795)))</f>
        <v/>
      </c>
      <c r="G795" s="5" t="n"/>
      <c r="H795" s="5" t="n"/>
      <c r="I795" s="5" t="n"/>
      <c r="J795" s="6">
        <f>IF(OR(F795="",COUNT(G795:I795)&lt;3),"",F795+G795-H795-I795)</f>
        <v/>
      </c>
      <c r="K795" s="6">
        <f>IF(COUNTA(A795:D795,G795:I795)=0,"",IF(COUNTA(A795:D795,G795:I795)&lt;7,"LENGKAPI",IF(H795+I795&gt;N(F795)+G795,"ABNORMAL",IF(COUNTIFS($A$2:$A$2001,A795,$B$2:$B$2001,B795,$C$2:$C$2001,C795,$D$2:$D$2001,D795)&gt;1,"DUPLIKAT","OK"))))</f>
        <v/>
      </c>
    </row>
    <row r="796">
      <c r="A796" s="4" t="n"/>
      <c r="B796" s="5" t="n"/>
      <c r="C796" s="5" t="n"/>
      <c r="D796" s="5" t="n"/>
      <c r="E796" s="6">
        <f>IF(A796="","","B"&amp;TEXT(COUNT($A$2:A796),"00000"))</f>
        <v/>
      </c>
      <c r="F796" s="6">
        <f>IF(OR(C796="",D796=""),"",IFERROR(LOOKUP(2,1/(($C$1:C795=C796)*($D$1:D795=D796)*ISNUMBER($J$1:J795)),$J$1:J795),SUMIFS(Master!$G$2:$G$13,Master!$E$2:$E$13,C796,Master!$F$2:$F$13,D796)))</f>
        <v/>
      </c>
      <c r="G796" s="5" t="n"/>
      <c r="H796" s="5" t="n"/>
      <c r="I796" s="5" t="n"/>
      <c r="J796" s="6">
        <f>IF(OR(F796="",COUNT(G796:I796)&lt;3),"",F796+G796-H796-I796)</f>
        <v/>
      </c>
      <c r="K796" s="6">
        <f>IF(COUNTA(A796:D796,G796:I796)=0,"",IF(COUNTA(A796:D796,G796:I796)&lt;7,"LENGKAPI",IF(H796+I796&gt;N(F796)+G796,"ABNORMAL",IF(COUNTIFS($A$2:$A$2001,A796,$B$2:$B$2001,B796,$C$2:$C$2001,C796,$D$2:$D$2001,D796)&gt;1,"DUPLIKAT","OK"))))</f>
        <v/>
      </c>
    </row>
    <row r="797">
      <c r="A797" s="4" t="n"/>
      <c r="B797" s="5" t="n"/>
      <c r="C797" s="5" t="n"/>
      <c r="D797" s="5" t="n"/>
      <c r="E797" s="6">
        <f>IF(A797="","","B"&amp;TEXT(COUNT($A$2:A797),"00000"))</f>
        <v/>
      </c>
      <c r="F797" s="6">
        <f>IF(OR(C797="",D797=""),"",IFERROR(LOOKUP(2,1/(($C$1:C796=C797)*($D$1:D796=D797)*ISNUMBER($J$1:J796)),$J$1:J796),SUMIFS(Master!$G$2:$G$13,Master!$E$2:$E$13,C797,Master!$F$2:$F$13,D797)))</f>
        <v/>
      </c>
      <c r="G797" s="5" t="n"/>
      <c r="H797" s="5" t="n"/>
      <c r="I797" s="5" t="n"/>
      <c r="J797" s="6">
        <f>IF(OR(F797="",COUNT(G797:I797)&lt;3),"",F797+G797-H797-I797)</f>
        <v/>
      </c>
      <c r="K797" s="6">
        <f>IF(COUNTA(A797:D797,G797:I797)=0,"",IF(COUNTA(A797:D797,G797:I797)&lt;7,"LENGKAPI",IF(H797+I797&gt;N(F797)+G797,"ABNORMAL",IF(COUNTIFS($A$2:$A$2001,A797,$B$2:$B$2001,B797,$C$2:$C$2001,C797,$D$2:$D$2001,D797)&gt;1,"DUPLIKAT","OK"))))</f>
        <v/>
      </c>
    </row>
    <row r="798">
      <c r="A798" s="4" t="n"/>
      <c r="B798" s="5" t="n"/>
      <c r="C798" s="5" t="n"/>
      <c r="D798" s="5" t="n"/>
      <c r="E798" s="6">
        <f>IF(A798="","","B"&amp;TEXT(COUNT($A$2:A798),"00000"))</f>
        <v/>
      </c>
      <c r="F798" s="6">
        <f>IF(OR(C798="",D798=""),"",IFERROR(LOOKUP(2,1/(($C$1:C797=C798)*($D$1:D797=D798)*ISNUMBER($J$1:J797)),$J$1:J797),SUMIFS(Master!$G$2:$G$13,Master!$E$2:$E$13,C798,Master!$F$2:$F$13,D798)))</f>
        <v/>
      </c>
      <c r="G798" s="5" t="n"/>
      <c r="H798" s="5" t="n"/>
      <c r="I798" s="5" t="n"/>
      <c r="J798" s="6">
        <f>IF(OR(F798="",COUNT(G798:I798)&lt;3),"",F798+G798-H798-I798)</f>
        <v/>
      </c>
      <c r="K798" s="6">
        <f>IF(COUNTA(A798:D798,G798:I798)=0,"",IF(COUNTA(A798:D798,G798:I798)&lt;7,"LENGKAPI",IF(H798+I798&gt;N(F798)+G798,"ABNORMAL",IF(COUNTIFS($A$2:$A$2001,A798,$B$2:$B$2001,B798,$C$2:$C$2001,C798,$D$2:$D$2001,D798)&gt;1,"DUPLIKAT","OK"))))</f>
        <v/>
      </c>
    </row>
    <row r="799">
      <c r="A799" s="4" t="n"/>
      <c r="B799" s="5" t="n"/>
      <c r="C799" s="5" t="n"/>
      <c r="D799" s="5" t="n"/>
      <c r="E799" s="6">
        <f>IF(A799="","","B"&amp;TEXT(COUNT($A$2:A799),"00000"))</f>
        <v/>
      </c>
      <c r="F799" s="6">
        <f>IF(OR(C799="",D799=""),"",IFERROR(LOOKUP(2,1/(($C$1:C798=C799)*($D$1:D798=D799)*ISNUMBER($J$1:J798)),$J$1:J798),SUMIFS(Master!$G$2:$G$13,Master!$E$2:$E$13,C799,Master!$F$2:$F$13,D799)))</f>
        <v/>
      </c>
      <c r="G799" s="5" t="n"/>
      <c r="H799" s="5" t="n"/>
      <c r="I799" s="5" t="n"/>
      <c r="J799" s="6">
        <f>IF(OR(F799="",COUNT(G799:I799)&lt;3),"",F799+G799-H799-I799)</f>
        <v/>
      </c>
      <c r="K799" s="6">
        <f>IF(COUNTA(A799:D799,G799:I799)=0,"",IF(COUNTA(A799:D799,G799:I799)&lt;7,"LENGKAPI",IF(H799+I799&gt;N(F799)+G799,"ABNORMAL",IF(COUNTIFS($A$2:$A$2001,A799,$B$2:$B$2001,B799,$C$2:$C$2001,C799,$D$2:$D$2001,D799)&gt;1,"DUPLIKAT","OK"))))</f>
        <v/>
      </c>
    </row>
    <row r="800">
      <c r="A800" s="4" t="n"/>
      <c r="B800" s="5" t="n"/>
      <c r="C800" s="5" t="n"/>
      <c r="D800" s="5" t="n"/>
      <c r="E800" s="6">
        <f>IF(A800="","","B"&amp;TEXT(COUNT($A$2:A800),"00000"))</f>
        <v/>
      </c>
      <c r="F800" s="6">
        <f>IF(OR(C800="",D800=""),"",IFERROR(LOOKUP(2,1/(($C$1:C799=C800)*($D$1:D799=D800)*ISNUMBER($J$1:J799)),$J$1:J799),SUMIFS(Master!$G$2:$G$13,Master!$E$2:$E$13,C800,Master!$F$2:$F$13,D800)))</f>
        <v/>
      </c>
      <c r="G800" s="5" t="n"/>
      <c r="H800" s="5" t="n"/>
      <c r="I800" s="5" t="n"/>
      <c r="J800" s="6">
        <f>IF(OR(F800="",COUNT(G800:I800)&lt;3),"",F800+G800-H800-I800)</f>
        <v/>
      </c>
      <c r="K800" s="6">
        <f>IF(COUNTA(A800:D800,G800:I800)=0,"",IF(COUNTA(A800:D800,G800:I800)&lt;7,"LENGKAPI",IF(H800+I800&gt;N(F800)+G800,"ABNORMAL",IF(COUNTIFS($A$2:$A$2001,A800,$B$2:$B$2001,B800,$C$2:$C$2001,C800,$D$2:$D$2001,D800)&gt;1,"DUPLIKAT","OK"))))</f>
        <v/>
      </c>
    </row>
    <row r="801">
      <c r="A801" s="4" t="n"/>
      <c r="B801" s="5" t="n"/>
      <c r="C801" s="5" t="n"/>
      <c r="D801" s="5" t="n"/>
      <c r="E801" s="6">
        <f>IF(A801="","","B"&amp;TEXT(COUNT($A$2:A801),"00000"))</f>
        <v/>
      </c>
      <c r="F801" s="6">
        <f>IF(OR(C801="",D801=""),"",IFERROR(LOOKUP(2,1/(($C$1:C800=C801)*($D$1:D800=D801)*ISNUMBER($J$1:J800)),$J$1:J800),SUMIFS(Master!$G$2:$G$13,Master!$E$2:$E$13,C801,Master!$F$2:$F$13,D801)))</f>
        <v/>
      </c>
      <c r="G801" s="5" t="n"/>
      <c r="H801" s="5" t="n"/>
      <c r="I801" s="5" t="n"/>
      <c r="J801" s="6">
        <f>IF(OR(F801="",COUNT(G801:I801)&lt;3),"",F801+G801-H801-I801)</f>
        <v/>
      </c>
      <c r="K801" s="6">
        <f>IF(COUNTA(A801:D801,G801:I801)=0,"",IF(COUNTA(A801:D801,G801:I801)&lt;7,"LENGKAPI",IF(H801+I801&gt;N(F801)+G801,"ABNORMAL",IF(COUNTIFS($A$2:$A$2001,A801,$B$2:$B$2001,B801,$C$2:$C$2001,C801,$D$2:$D$2001,D801)&gt;1,"DUPLIKAT","OK"))))</f>
        <v/>
      </c>
    </row>
    <row r="802">
      <c r="A802" s="4" t="n"/>
      <c r="B802" s="5" t="n"/>
      <c r="C802" s="5" t="n"/>
      <c r="D802" s="5" t="n"/>
      <c r="E802" s="6">
        <f>IF(A802="","","B"&amp;TEXT(COUNT($A$2:A802),"00000"))</f>
        <v/>
      </c>
      <c r="F802" s="6">
        <f>IF(OR(C802="",D802=""),"",IFERROR(LOOKUP(2,1/(($C$1:C801=C802)*($D$1:D801=D802)*ISNUMBER($J$1:J801)),$J$1:J801),SUMIFS(Master!$G$2:$G$13,Master!$E$2:$E$13,C802,Master!$F$2:$F$13,D802)))</f>
        <v/>
      </c>
      <c r="G802" s="5" t="n"/>
      <c r="H802" s="5" t="n"/>
      <c r="I802" s="5" t="n"/>
      <c r="J802" s="6">
        <f>IF(OR(F802="",COUNT(G802:I802)&lt;3),"",F802+G802-H802-I802)</f>
        <v/>
      </c>
      <c r="K802" s="6">
        <f>IF(COUNTA(A802:D802,G802:I802)=0,"",IF(COUNTA(A802:D802,G802:I802)&lt;7,"LENGKAPI",IF(H802+I802&gt;N(F802)+G802,"ABNORMAL",IF(COUNTIFS($A$2:$A$2001,A802,$B$2:$B$2001,B802,$C$2:$C$2001,C802,$D$2:$D$2001,D802)&gt;1,"DUPLIKAT","OK"))))</f>
        <v/>
      </c>
    </row>
    <row r="803">
      <c r="A803" s="4" t="n"/>
      <c r="B803" s="5" t="n"/>
      <c r="C803" s="5" t="n"/>
      <c r="D803" s="5" t="n"/>
      <c r="E803" s="6">
        <f>IF(A803="","","B"&amp;TEXT(COUNT($A$2:A803),"00000"))</f>
        <v/>
      </c>
      <c r="F803" s="6">
        <f>IF(OR(C803="",D803=""),"",IFERROR(LOOKUP(2,1/(($C$1:C802=C803)*($D$1:D802=D803)*ISNUMBER($J$1:J802)),$J$1:J802),SUMIFS(Master!$G$2:$G$13,Master!$E$2:$E$13,C803,Master!$F$2:$F$13,D803)))</f>
        <v/>
      </c>
      <c r="G803" s="5" t="n"/>
      <c r="H803" s="5" t="n"/>
      <c r="I803" s="5" t="n"/>
      <c r="J803" s="6">
        <f>IF(OR(F803="",COUNT(G803:I803)&lt;3),"",F803+G803-H803-I803)</f>
        <v/>
      </c>
      <c r="K803" s="6">
        <f>IF(COUNTA(A803:D803,G803:I803)=0,"",IF(COUNTA(A803:D803,G803:I803)&lt;7,"LENGKAPI",IF(H803+I803&gt;N(F803)+G803,"ABNORMAL",IF(COUNTIFS($A$2:$A$2001,A803,$B$2:$B$2001,B803,$C$2:$C$2001,C803,$D$2:$D$2001,D803)&gt;1,"DUPLIKAT","OK"))))</f>
        <v/>
      </c>
    </row>
    <row r="804">
      <c r="A804" s="4" t="n"/>
      <c r="B804" s="5" t="n"/>
      <c r="C804" s="5" t="n"/>
      <c r="D804" s="5" t="n"/>
      <c r="E804" s="6">
        <f>IF(A804="","","B"&amp;TEXT(COUNT($A$2:A804),"00000"))</f>
        <v/>
      </c>
      <c r="F804" s="6">
        <f>IF(OR(C804="",D804=""),"",IFERROR(LOOKUP(2,1/(($C$1:C803=C804)*($D$1:D803=D804)*ISNUMBER($J$1:J803)),$J$1:J803),SUMIFS(Master!$G$2:$G$13,Master!$E$2:$E$13,C804,Master!$F$2:$F$13,D804)))</f>
        <v/>
      </c>
      <c r="G804" s="5" t="n"/>
      <c r="H804" s="5" t="n"/>
      <c r="I804" s="5" t="n"/>
      <c r="J804" s="6">
        <f>IF(OR(F804="",COUNT(G804:I804)&lt;3),"",F804+G804-H804-I804)</f>
        <v/>
      </c>
      <c r="K804" s="6">
        <f>IF(COUNTA(A804:D804,G804:I804)=0,"",IF(COUNTA(A804:D804,G804:I804)&lt;7,"LENGKAPI",IF(H804+I804&gt;N(F804)+G804,"ABNORMAL",IF(COUNTIFS($A$2:$A$2001,A804,$B$2:$B$2001,B804,$C$2:$C$2001,C804,$D$2:$D$2001,D804)&gt;1,"DUPLIKAT","OK"))))</f>
        <v/>
      </c>
    </row>
    <row r="805">
      <c r="A805" s="4" t="n"/>
      <c r="B805" s="5" t="n"/>
      <c r="C805" s="5" t="n"/>
      <c r="D805" s="5" t="n"/>
      <c r="E805" s="6">
        <f>IF(A805="","","B"&amp;TEXT(COUNT($A$2:A805),"00000"))</f>
        <v/>
      </c>
      <c r="F805" s="6">
        <f>IF(OR(C805="",D805=""),"",IFERROR(LOOKUP(2,1/(($C$1:C804=C805)*($D$1:D804=D805)*ISNUMBER($J$1:J804)),$J$1:J804),SUMIFS(Master!$G$2:$G$13,Master!$E$2:$E$13,C805,Master!$F$2:$F$13,D805)))</f>
        <v/>
      </c>
      <c r="G805" s="5" t="n"/>
      <c r="H805" s="5" t="n"/>
      <c r="I805" s="5" t="n"/>
      <c r="J805" s="6">
        <f>IF(OR(F805="",COUNT(G805:I805)&lt;3),"",F805+G805-H805-I805)</f>
        <v/>
      </c>
      <c r="K805" s="6">
        <f>IF(COUNTA(A805:D805,G805:I805)=0,"",IF(COUNTA(A805:D805,G805:I805)&lt;7,"LENGKAPI",IF(H805+I805&gt;N(F805)+G805,"ABNORMAL",IF(COUNTIFS($A$2:$A$2001,A805,$B$2:$B$2001,B805,$C$2:$C$2001,C805,$D$2:$D$2001,D805)&gt;1,"DUPLIKAT","OK"))))</f>
        <v/>
      </c>
    </row>
    <row r="806">
      <c r="A806" s="4" t="n"/>
      <c r="B806" s="5" t="n"/>
      <c r="C806" s="5" t="n"/>
      <c r="D806" s="5" t="n"/>
      <c r="E806" s="6">
        <f>IF(A806="","","B"&amp;TEXT(COUNT($A$2:A806),"00000"))</f>
        <v/>
      </c>
      <c r="F806" s="6">
        <f>IF(OR(C806="",D806=""),"",IFERROR(LOOKUP(2,1/(($C$1:C805=C806)*($D$1:D805=D806)*ISNUMBER($J$1:J805)),$J$1:J805),SUMIFS(Master!$G$2:$G$13,Master!$E$2:$E$13,C806,Master!$F$2:$F$13,D806)))</f>
        <v/>
      </c>
      <c r="G806" s="5" t="n"/>
      <c r="H806" s="5" t="n"/>
      <c r="I806" s="5" t="n"/>
      <c r="J806" s="6">
        <f>IF(OR(F806="",COUNT(G806:I806)&lt;3),"",F806+G806-H806-I806)</f>
        <v/>
      </c>
      <c r="K806" s="6">
        <f>IF(COUNTA(A806:D806,G806:I806)=0,"",IF(COUNTA(A806:D806,G806:I806)&lt;7,"LENGKAPI",IF(H806+I806&gt;N(F806)+G806,"ABNORMAL",IF(COUNTIFS($A$2:$A$2001,A806,$B$2:$B$2001,B806,$C$2:$C$2001,C806,$D$2:$D$2001,D806)&gt;1,"DUPLIKAT","OK"))))</f>
        <v/>
      </c>
    </row>
    <row r="807">
      <c r="A807" s="4" t="n"/>
      <c r="B807" s="5" t="n"/>
      <c r="C807" s="5" t="n"/>
      <c r="D807" s="5" t="n"/>
      <c r="E807" s="6">
        <f>IF(A807="","","B"&amp;TEXT(COUNT($A$2:A807),"00000"))</f>
        <v/>
      </c>
      <c r="F807" s="6">
        <f>IF(OR(C807="",D807=""),"",IFERROR(LOOKUP(2,1/(($C$1:C806=C807)*($D$1:D806=D807)*ISNUMBER($J$1:J806)),$J$1:J806),SUMIFS(Master!$G$2:$G$13,Master!$E$2:$E$13,C807,Master!$F$2:$F$13,D807)))</f>
        <v/>
      </c>
      <c r="G807" s="5" t="n"/>
      <c r="H807" s="5" t="n"/>
      <c r="I807" s="5" t="n"/>
      <c r="J807" s="6">
        <f>IF(OR(F807="",COUNT(G807:I807)&lt;3),"",F807+G807-H807-I807)</f>
        <v/>
      </c>
      <c r="K807" s="6">
        <f>IF(COUNTA(A807:D807,G807:I807)=0,"",IF(COUNTA(A807:D807,G807:I807)&lt;7,"LENGKAPI",IF(H807+I807&gt;N(F807)+G807,"ABNORMAL",IF(COUNTIFS($A$2:$A$2001,A807,$B$2:$B$2001,B807,$C$2:$C$2001,C807,$D$2:$D$2001,D807)&gt;1,"DUPLIKAT","OK"))))</f>
        <v/>
      </c>
    </row>
    <row r="808">
      <c r="A808" s="4" t="n"/>
      <c r="B808" s="5" t="n"/>
      <c r="C808" s="5" t="n"/>
      <c r="D808" s="5" t="n"/>
      <c r="E808" s="6">
        <f>IF(A808="","","B"&amp;TEXT(COUNT($A$2:A808),"00000"))</f>
        <v/>
      </c>
      <c r="F808" s="6">
        <f>IF(OR(C808="",D808=""),"",IFERROR(LOOKUP(2,1/(($C$1:C807=C808)*($D$1:D807=D808)*ISNUMBER($J$1:J807)),$J$1:J807),SUMIFS(Master!$G$2:$G$13,Master!$E$2:$E$13,C808,Master!$F$2:$F$13,D808)))</f>
        <v/>
      </c>
      <c r="G808" s="5" t="n"/>
      <c r="H808" s="5" t="n"/>
      <c r="I808" s="5" t="n"/>
      <c r="J808" s="6">
        <f>IF(OR(F808="",COUNT(G808:I808)&lt;3),"",F808+G808-H808-I808)</f>
        <v/>
      </c>
      <c r="K808" s="6">
        <f>IF(COUNTA(A808:D808,G808:I808)=0,"",IF(COUNTA(A808:D808,G808:I808)&lt;7,"LENGKAPI",IF(H808+I808&gt;N(F808)+G808,"ABNORMAL",IF(COUNTIFS($A$2:$A$2001,A808,$B$2:$B$2001,B808,$C$2:$C$2001,C808,$D$2:$D$2001,D808)&gt;1,"DUPLIKAT","OK"))))</f>
        <v/>
      </c>
    </row>
    <row r="809">
      <c r="A809" s="4" t="n"/>
      <c r="B809" s="5" t="n"/>
      <c r="C809" s="5" t="n"/>
      <c r="D809" s="5" t="n"/>
      <c r="E809" s="6">
        <f>IF(A809="","","B"&amp;TEXT(COUNT($A$2:A809),"00000"))</f>
        <v/>
      </c>
      <c r="F809" s="6">
        <f>IF(OR(C809="",D809=""),"",IFERROR(LOOKUP(2,1/(($C$1:C808=C809)*($D$1:D808=D809)*ISNUMBER($J$1:J808)),$J$1:J808),SUMIFS(Master!$G$2:$G$13,Master!$E$2:$E$13,C809,Master!$F$2:$F$13,D809)))</f>
        <v/>
      </c>
      <c r="G809" s="5" t="n"/>
      <c r="H809" s="5" t="n"/>
      <c r="I809" s="5" t="n"/>
      <c r="J809" s="6">
        <f>IF(OR(F809="",COUNT(G809:I809)&lt;3),"",F809+G809-H809-I809)</f>
        <v/>
      </c>
      <c r="K809" s="6">
        <f>IF(COUNTA(A809:D809,G809:I809)=0,"",IF(COUNTA(A809:D809,G809:I809)&lt;7,"LENGKAPI",IF(H809+I809&gt;N(F809)+G809,"ABNORMAL",IF(COUNTIFS($A$2:$A$2001,A809,$B$2:$B$2001,B809,$C$2:$C$2001,C809,$D$2:$D$2001,D809)&gt;1,"DUPLIKAT","OK"))))</f>
        <v/>
      </c>
    </row>
    <row r="810">
      <c r="A810" s="4" t="n"/>
      <c r="B810" s="5" t="n"/>
      <c r="C810" s="5" t="n"/>
      <c r="D810" s="5" t="n"/>
      <c r="E810" s="6">
        <f>IF(A810="","","B"&amp;TEXT(COUNT($A$2:A810),"00000"))</f>
        <v/>
      </c>
      <c r="F810" s="6">
        <f>IF(OR(C810="",D810=""),"",IFERROR(LOOKUP(2,1/(($C$1:C809=C810)*($D$1:D809=D810)*ISNUMBER($J$1:J809)),$J$1:J809),SUMIFS(Master!$G$2:$G$13,Master!$E$2:$E$13,C810,Master!$F$2:$F$13,D810)))</f>
        <v/>
      </c>
      <c r="G810" s="5" t="n"/>
      <c r="H810" s="5" t="n"/>
      <c r="I810" s="5" t="n"/>
      <c r="J810" s="6">
        <f>IF(OR(F810="",COUNT(G810:I810)&lt;3),"",F810+G810-H810-I810)</f>
        <v/>
      </c>
      <c r="K810" s="6">
        <f>IF(COUNTA(A810:D810,G810:I810)=0,"",IF(COUNTA(A810:D810,G810:I810)&lt;7,"LENGKAPI",IF(H810+I810&gt;N(F810)+G810,"ABNORMAL",IF(COUNTIFS($A$2:$A$2001,A810,$B$2:$B$2001,B810,$C$2:$C$2001,C810,$D$2:$D$2001,D810)&gt;1,"DUPLIKAT","OK"))))</f>
        <v/>
      </c>
    </row>
    <row r="811">
      <c r="A811" s="4" t="n"/>
      <c r="B811" s="5" t="n"/>
      <c r="C811" s="5" t="n"/>
      <c r="D811" s="5" t="n"/>
      <c r="E811" s="6">
        <f>IF(A811="","","B"&amp;TEXT(COUNT($A$2:A811),"00000"))</f>
        <v/>
      </c>
      <c r="F811" s="6">
        <f>IF(OR(C811="",D811=""),"",IFERROR(LOOKUP(2,1/(($C$1:C810=C811)*($D$1:D810=D811)*ISNUMBER($J$1:J810)),$J$1:J810),SUMIFS(Master!$G$2:$G$13,Master!$E$2:$E$13,C811,Master!$F$2:$F$13,D811)))</f>
        <v/>
      </c>
      <c r="G811" s="5" t="n"/>
      <c r="H811" s="5" t="n"/>
      <c r="I811" s="5" t="n"/>
      <c r="J811" s="6">
        <f>IF(OR(F811="",COUNT(G811:I811)&lt;3),"",F811+G811-H811-I811)</f>
        <v/>
      </c>
      <c r="K811" s="6">
        <f>IF(COUNTA(A811:D811,G811:I811)=0,"",IF(COUNTA(A811:D811,G811:I811)&lt;7,"LENGKAPI",IF(H811+I811&gt;N(F811)+G811,"ABNORMAL",IF(COUNTIFS($A$2:$A$2001,A811,$B$2:$B$2001,B811,$C$2:$C$2001,C811,$D$2:$D$2001,D811)&gt;1,"DUPLIKAT","OK"))))</f>
        <v/>
      </c>
    </row>
    <row r="812">
      <c r="A812" s="4" t="n"/>
      <c r="B812" s="5" t="n"/>
      <c r="C812" s="5" t="n"/>
      <c r="D812" s="5" t="n"/>
      <c r="E812" s="6">
        <f>IF(A812="","","B"&amp;TEXT(COUNT($A$2:A812),"00000"))</f>
        <v/>
      </c>
      <c r="F812" s="6">
        <f>IF(OR(C812="",D812=""),"",IFERROR(LOOKUP(2,1/(($C$1:C811=C812)*($D$1:D811=D812)*ISNUMBER($J$1:J811)),$J$1:J811),SUMIFS(Master!$G$2:$G$13,Master!$E$2:$E$13,C812,Master!$F$2:$F$13,D812)))</f>
        <v/>
      </c>
      <c r="G812" s="5" t="n"/>
      <c r="H812" s="5" t="n"/>
      <c r="I812" s="5" t="n"/>
      <c r="J812" s="6">
        <f>IF(OR(F812="",COUNT(G812:I812)&lt;3),"",F812+G812-H812-I812)</f>
        <v/>
      </c>
      <c r="K812" s="6">
        <f>IF(COUNTA(A812:D812,G812:I812)=0,"",IF(COUNTA(A812:D812,G812:I812)&lt;7,"LENGKAPI",IF(H812+I812&gt;N(F812)+G812,"ABNORMAL",IF(COUNTIFS($A$2:$A$2001,A812,$B$2:$B$2001,B812,$C$2:$C$2001,C812,$D$2:$D$2001,D812)&gt;1,"DUPLIKAT","OK"))))</f>
        <v/>
      </c>
    </row>
    <row r="813">
      <c r="A813" s="4" t="n"/>
      <c r="B813" s="5" t="n"/>
      <c r="C813" s="5" t="n"/>
      <c r="D813" s="5" t="n"/>
      <c r="E813" s="6">
        <f>IF(A813="","","B"&amp;TEXT(COUNT($A$2:A813),"00000"))</f>
        <v/>
      </c>
      <c r="F813" s="6">
        <f>IF(OR(C813="",D813=""),"",IFERROR(LOOKUP(2,1/(($C$1:C812=C813)*($D$1:D812=D813)*ISNUMBER($J$1:J812)),$J$1:J812),SUMIFS(Master!$G$2:$G$13,Master!$E$2:$E$13,C813,Master!$F$2:$F$13,D813)))</f>
        <v/>
      </c>
      <c r="G813" s="5" t="n"/>
      <c r="H813" s="5" t="n"/>
      <c r="I813" s="5" t="n"/>
      <c r="J813" s="6">
        <f>IF(OR(F813="",COUNT(G813:I813)&lt;3),"",F813+G813-H813-I813)</f>
        <v/>
      </c>
      <c r="K813" s="6">
        <f>IF(COUNTA(A813:D813,G813:I813)=0,"",IF(COUNTA(A813:D813,G813:I813)&lt;7,"LENGKAPI",IF(H813+I813&gt;N(F813)+G813,"ABNORMAL",IF(COUNTIFS($A$2:$A$2001,A813,$B$2:$B$2001,B813,$C$2:$C$2001,C813,$D$2:$D$2001,D813)&gt;1,"DUPLIKAT","OK"))))</f>
        <v/>
      </c>
    </row>
    <row r="814">
      <c r="A814" s="4" t="n"/>
      <c r="B814" s="5" t="n"/>
      <c r="C814" s="5" t="n"/>
      <c r="D814" s="5" t="n"/>
      <c r="E814" s="6">
        <f>IF(A814="","","B"&amp;TEXT(COUNT($A$2:A814),"00000"))</f>
        <v/>
      </c>
      <c r="F814" s="6">
        <f>IF(OR(C814="",D814=""),"",IFERROR(LOOKUP(2,1/(($C$1:C813=C814)*($D$1:D813=D814)*ISNUMBER($J$1:J813)),$J$1:J813),SUMIFS(Master!$G$2:$G$13,Master!$E$2:$E$13,C814,Master!$F$2:$F$13,D814)))</f>
        <v/>
      </c>
      <c r="G814" s="5" t="n"/>
      <c r="H814" s="5" t="n"/>
      <c r="I814" s="5" t="n"/>
      <c r="J814" s="6">
        <f>IF(OR(F814="",COUNT(G814:I814)&lt;3),"",F814+G814-H814-I814)</f>
        <v/>
      </c>
      <c r="K814" s="6">
        <f>IF(COUNTA(A814:D814,G814:I814)=0,"",IF(COUNTA(A814:D814,G814:I814)&lt;7,"LENGKAPI",IF(H814+I814&gt;N(F814)+G814,"ABNORMAL",IF(COUNTIFS($A$2:$A$2001,A814,$B$2:$B$2001,B814,$C$2:$C$2001,C814,$D$2:$D$2001,D814)&gt;1,"DUPLIKAT","OK"))))</f>
        <v/>
      </c>
    </row>
    <row r="815">
      <c r="A815" s="4" t="n"/>
      <c r="B815" s="5" t="n"/>
      <c r="C815" s="5" t="n"/>
      <c r="D815" s="5" t="n"/>
      <c r="E815" s="6">
        <f>IF(A815="","","B"&amp;TEXT(COUNT($A$2:A815),"00000"))</f>
        <v/>
      </c>
      <c r="F815" s="6">
        <f>IF(OR(C815="",D815=""),"",IFERROR(LOOKUP(2,1/(($C$1:C814=C815)*($D$1:D814=D815)*ISNUMBER($J$1:J814)),$J$1:J814),SUMIFS(Master!$G$2:$G$13,Master!$E$2:$E$13,C815,Master!$F$2:$F$13,D815)))</f>
        <v/>
      </c>
      <c r="G815" s="5" t="n"/>
      <c r="H815" s="5" t="n"/>
      <c r="I815" s="5" t="n"/>
      <c r="J815" s="6">
        <f>IF(OR(F815="",COUNT(G815:I815)&lt;3),"",F815+G815-H815-I815)</f>
        <v/>
      </c>
      <c r="K815" s="6">
        <f>IF(COUNTA(A815:D815,G815:I815)=0,"",IF(COUNTA(A815:D815,G815:I815)&lt;7,"LENGKAPI",IF(H815+I815&gt;N(F815)+G815,"ABNORMAL",IF(COUNTIFS($A$2:$A$2001,A815,$B$2:$B$2001,B815,$C$2:$C$2001,C815,$D$2:$D$2001,D815)&gt;1,"DUPLIKAT","OK"))))</f>
        <v/>
      </c>
    </row>
    <row r="816">
      <c r="A816" s="4" t="n"/>
      <c r="B816" s="5" t="n"/>
      <c r="C816" s="5" t="n"/>
      <c r="D816" s="5" t="n"/>
      <c r="E816" s="6">
        <f>IF(A816="","","B"&amp;TEXT(COUNT($A$2:A816),"00000"))</f>
        <v/>
      </c>
      <c r="F816" s="6">
        <f>IF(OR(C816="",D816=""),"",IFERROR(LOOKUP(2,1/(($C$1:C815=C816)*($D$1:D815=D816)*ISNUMBER($J$1:J815)),$J$1:J815),SUMIFS(Master!$G$2:$G$13,Master!$E$2:$E$13,C816,Master!$F$2:$F$13,D816)))</f>
        <v/>
      </c>
      <c r="G816" s="5" t="n"/>
      <c r="H816" s="5" t="n"/>
      <c r="I816" s="5" t="n"/>
      <c r="J816" s="6">
        <f>IF(OR(F816="",COUNT(G816:I816)&lt;3),"",F816+G816-H816-I816)</f>
        <v/>
      </c>
      <c r="K816" s="6">
        <f>IF(COUNTA(A816:D816,G816:I816)=0,"",IF(COUNTA(A816:D816,G816:I816)&lt;7,"LENGKAPI",IF(H816+I816&gt;N(F816)+G816,"ABNORMAL",IF(COUNTIFS($A$2:$A$2001,A816,$B$2:$B$2001,B816,$C$2:$C$2001,C816,$D$2:$D$2001,D816)&gt;1,"DUPLIKAT","OK"))))</f>
        <v/>
      </c>
    </row>
    <row r="817">
      <c r="A817" s="4" t="n"/>
      <c r="B817" s="5" t="n"/>
      <c r="C817" s="5" t="n"/>
      <c r="D817" s="5" t="n"/>
      <c r="E817" s="6">
        <f>IF(A817="","","B"&amp;TEXT(COUNT($A$2:A817),"00000"))</f>
        <v/>
      </c>
      <c r="F817" s="6">
        <f>IF(OR(C817="",D817=""),"",IFERROR(LOOKUP(2,1/(($C$1:C816=C817)*($D$1:D816=D817)*ISNUMBER($J$1:J816)),$J$1:J816),SUMIFS(Master!$G$2:$G$13,Master!$E$2:$E$13,C817,Master!$F$2:$F$13,D817)))</f>
        <v/>
      </c>
      <c r="G817" s="5" t="n"/>
      <c r="H817" s="5" t="n"/>
      <c r="I817" s="5" t="n"/>
      <c r="J817" s="6">
        <f>IF(OR(F817="",COUNT(G817:I817)&lt;3),"",F817+G817-H817-I817)</f>
        <v/>
      </c>
      <c r="K817" s="6">
        <f>IF(COUNTA(A817:D817,G817:I817)=0,"",IF(COUNTA(A817:D817,G817:I817)&lt;7,"LENGKAPI",IF(H817+I817&gt;N(F817)+G817,"ABNORMAL",IF(COUNTIFS($A$2:$A$2001,A817,$B$2:$B$2001,B817,$C$2:$C$2001,C817,$D$2:$D$2001,D817)&gt;1,"DUPLIKAT","OK"))))</f>
        <v/>
      </c>
    </row>
    <row r="818">
      <c r="A818" s="4" t="n"/>
      <c r="B818" s="5" t="n"/>
      <c r="C818" s="5" t="n"/>
      <c r="D818" s="5" t="n"/>
      <c r="E818" s="6">
        <f>IF(A818="","","B"&amp;TEXT(COUNT($A$2:A818),"00000"))</f>
        <v/>
      </c>
      <c r="F818" s="6">
        <f>IF(OR(C818="",D818=""),"",IFERROR(LOOKUP(2,1/(($C$1:C817=C818)*($D$1:D817=D818)*ISNUMBER($J$1:J817)),$J$1:J817),SUMIFS(Master!$G$2:$G$13,Master!$E$2:$E$13,C818,Master!$F$2:$F$13,D818)))</f>
        <v/>
      </c>
      <c r="G818" s="5" t="n"/>
      <c r="H818" s="5" t="n"/>
      <c r="I818" s="5" t="n"/>
      <c r="J818" s="6">
        <f>IF(OR(F818="",COUNT(G818:I818)&lt;3),"",F818+G818-H818-I818)</f>
        <v/>
      </c>
      <c r="K818" s="6">
        <f>IF(COUNTA(A818:D818,G818:I818)=0,"",IF(COUNTA(A818:D818,G818:I818)&lt;7,"LENGKAPI",IF(H818+I818&gt;N(F818)+G818,"ABNORMAL",IF(COUNTIFS($A$2:$A$2001,A818,$B$2:$B$2001,B818,$C$2:$C$2001,C818,$D$2:$D$2001,D818)&gt;1,"DUPLIKAT","OK"))))</f>
        <v/>
      </c>
    </row>
    <row r="819">
      <c r="A819" s="4" t="n"/>
      <c r="B819" s="5" t="n"/>
      <c r="C819" s="5" t="n"/>
      <c r="D819" s="5" t="n"/>
      <c r="E819" s="6">
        <f>IF(A819="","","B"&amp;TEXT(COUNT($A$2:A819),"00000"))</f>
        <v/>
      </c>
      <c r="F819" s="6">
        <f>IF(OR(C819="",D819=""),"",IFERROR(LOOKUP(2,1/(($C$1:C818=C819)*($D$1:D818=D819)*ISNUMBER($J$1:J818)),$J$1:J818),SUMIFS(Master!$G$2:$G$13,Master!$E$2:$E$13,C819,Master!$F$2:$F$13,D819)))</f>
        <v/>
      </c>
      <c r="G819" s="5" t="n"/>
      <c r="H819" s="5" t="n"/>
      <c r="I819" s="5" t="n"/>
      <c r="J819" s="6">
        <f>IF(OR(F819="",COUNT(G819:I819)&lt;3),"",F819+G819-H819-I819)</f>
        <v/>
      </c>
      <c r="K819" s="6">
        <f>IF(COUNTA(A819:D819,G819:I819)=0,"",IF(COUNTA(A819:D819,G819:I819)&lt;7,"LENGKAPI",IF(H819+I819&gt;N(F819)+G819,"ABNORMAL",IF(COUNTIFS($A$2:$A$2001,A819,$B$2:$B$2001,B819,$C$2:$C$2001,C819,$D$2:$D$2001,D819)&gt;1,"DUPLIKAT","OK"))))</f>
        <v/>
      </c>
    </row>
    <row r="820">
      <c r="A820" s="4" t="n"/>
      <c r="B820" s="5" t="n"/>
      <c r="C820" s="5" t="n"/>
      <c r="D820" s="5" t="n"/>
      <c r="E820" s="6">
        <f>IF(A820="","","B"&amp;TEXT(COUNT($A$2:A820),"00000"))</f>
        <v/>
      </c>
      <c r="F820" s="6">
        <f>IF(OR(C820="",D820=""),"",IFERROR(LOOKUP(2,1/(($C$1:C819=C820)*($D$1:D819=D820)*ISNUMBER($J$1:J819)),$J$1:J819),SUMIFS(Master!$G$2:$G$13,Master!$E$2:$E$13,C820,Master!$F$2:$F$13,D820)))</f>
        <v/>
      </c>
      <c r="G820" s="5" t="n"/>
      <c r="H820" s="5" t="n"/>
      <c r="I820" s="5" t="n"/>
      <c r="J820" s="6">
        <f>IF(OR(F820="",COUNT(G820:I820)&lt;3),"",F820+G820-H820-I820)</f>
        <v/>
      </c>
      <c r="K820" s="6">
        <f>IF(COUNTA(A820:D820,G820:I820)=0,"",IF(COUNTA(A820:D820,G820:I820)&lt;7,"LENGKAPI",IF(H820+I820&gt;N(F820)+G820,"ABNORMAL",IF(COUNTIFS($A$2:$A$2001,A820,$B$2:$B$2001,B820,$C$2:$C$2001,C820,$D$2:$D$2001,D820)&gt;1,"DUPLIKAT","OK"))))</f>
        <v/>
      </c>
    </row>
    <row r="821">
      <c r="A821" s="4" t="n"/>
      <c r="B821" s="5" t="n"/>
      <c r="C821" s="5" t="n"/>
      <c r="D821" s="5" t="n"/>
      <c r="E821" s="6">
        <f>IF(A821="","","B"&amp;TEXT(COUNT($A$2:A821),"00000"))</f>
        <v/>
      </c>
      <c r="F821" s="6">
        <f>IF(OR(C821="",D821=""),"",IFERROR(LOOKUP(2,1/(($C$1:C820=C821)*($D$1:D820=D821)*ISNUMBER($J$1:J820)),$J$1:J820),SUMIFS(Master!$G$2:$G$13,Master!$E$2:$E$13,C821,Master!$F$2:$F$13,D821)))</f>
        <v/>
      </c>
      <c r="G821" s="5" t="n"/>
      <c r="H821" s="5" t="n"/>
      <c r="I821" s="5" t="n"/>
      <c r="J821" s="6">
        <f>IF(OR(F821="",COUNT(G821:I821)&lt;3),"",F821+G821-H821-I821)</f>
        <v/>
      </c>
      <c r="K821" s="6">
        <f>IF(COUNTA(A821:D821,G821:I821)=0,"",IF(COUNTA(A821:D821,G821:I821)&lt;7,"LENGKAPI",IF(H821+I821&gt;N(F821)+G821,"ABNORMAL",IF(COUNTIFS($A$2:$A$2001,A821,$B$2:$B$2001,B821,$C$2:$C$2001,C821,$D$2:$D$2001,D821)&gt;1,"DUPLIKAT","OK"))))</f>
        <v/>
      </c>
    </row>
    <row r="822">
      <c r="A822" s="4" t="n"/>
      <c r="B822" s="5" t="n"/>
      <c r="C822" s="5" t="n"/>
      <c r="D822" s="5" t="n"/>
      <c r="E822" s="6">
        <f>IF(A822="","","B"&amp;TEXT(COUNT($A$2:A822),"00000"))</f>
        <v/>
      </c>
      <c r="F822" s="6">
        <f>IF(OR(C822="",D822=""),"",IFERROR(LOOKUP(2,1/(($C$1:C821=C822)*($D$1:D821=D822)*ISNUMBER($J$1:J821)),$J$1:J821),SUMIFS(Master!$G$2:$G$13,Master!$E$2:$E$13,C822,Master!$F$2:$F$13,D822)))</f>
        <v/>
      </c>
      <c r="G822" s="5" t="n"/>
      <c r="H822" s="5" t="n"/>
      <c r="I822" s="5" t="n"/>
      <c r="J822" s="6">
        <f>IF(OR(F822="",COUNT(G822:I822)&lt;3),"",F822+G822-H822-I822)</f>
        <v/>
      </c>
      <c r="K822" s="6">
        <f>IF(COUNTA(A822:D822,G822:I822)=0,"",IF(COUNTA(A822:D822,G822:I822)&lt;7,"LENGKAPI",IF(H822+I822&gt;N(F822)+G822,"ABNORMAL",IF(COUNTIFS($A$2:$A$2001,A822,$B$2:$B$2001,B822,$C$2:$C$2001,C822,$D$2:$D$2001,D822)&gt;1,"DUPLIKAT","OK"))))</f>
        <v/>
      </c>
    </row>
    <row r="823">
      <c r="A823" s="4" t="n"/>
      <c r="B823" s="5" t="n"/>
      <c r="C823" s="5" t="n"/>
      <c r="D823" s="5" t="n"/>
      <c r="E823" s="6">
        <f>IF(A823="","","B"&amp;TEXT(COUNT($A$2:A823),"00000"))</f>
        <v/>
      </c>
      <c r="F823" s="6">
        <f>IF(OR(C823="",D823=""),"",IFERROR(LOOKUP(2,1/(($C$1:C822=C823)*($D$1:D822=D823)*ISNUMBER($J$1:J822)),$J$1:J822),SUMIFS(Master!$G$2:$G$13,Master!$E$2:$E$13,C823,Master!$F$2:$F$13,D823)))</f>
        <v/>
      </c>
      <c r="G823" s="5" t="n"/>
      <c r="H823" s="5" t="n"/>
      <c r="I823" s="5" t="n"/>
      <c r="J823" s="6">
        <f>IF(OR(F823="",COUNT(G823:I823)&lt;3),"",F823+G823-H823-I823)</f>
        <v/>
      </c>
      <c r="K823" s="6">
        <f>IF(COUNTA(A823:D823,G823:I823)=0,"",IF(COUNTA(A823:D823,G823:I823)&lt;7,"LENGKAPI",IF(H823+I823&gt;N(F823)+G823,"ABNORMAL",IF(COUNTIFS($A$2:$A$2001,A823,$B$2:$B$2001,B823,$C$2:$C$2001,C823,$D$2:$D$2001,D823)&gt;1,"DUPLIKAT","OK"))))</f>
        <v/>
      </c>
    </row>
    <row r="824">
      <c r="A824" s="4" t="n"/>
      <c r="B824" s="5" t="n"/>
      <c r="C824" s="5" t="n"/>
      <c r="D824" s="5" t="n"/>
      <c r="E824" s="6">
        <f>IF(A824="","","B"&amp;TEXT(COUNT($A$2:A824),"00000"))</f>
        <v/>
      </c>
      <c r="F824" s="6">
        <f>IF(OR(C824="",D824=""),"",IFERROR(LOOKUP(2,1/(($C$1:C823=C824)*($D$1:D823=D824)*ISNUMBER($J$1:J823)),$J$1:J823),SUMIFS(Master!$G$2:$G$13,Master!$E$2:$E$13,C824,Master!$F$2:$F$13,D824)))</f>
        <v/>
      </c>
      <c r="G824" s="5" t="n"/>
      <c r="H824" s="5" t="n"/>
      <c r="I824" s="5" t="n"/>
      <c r="J824" s="6">
        <f>IF(OR(F824="",COUNT(G824:I824)&lt;3),"",F824+G824-H824-I824)</f>
        <v/>
      </c>
      <c r="K824" s="6">
        <f>IF(COUNTA(A824:D824,G824:I824)=0,"",IF(COUNTA(A824:D824,G824:I824)&lt;7,"LENGKAPI",IF(H824+I824&gt;N(F824)+G824,"ABNORMAL",IF(COUNTIFS($A$2:$A$2001,A824,$B$2:$B$2001,B824,$C$2:$C$2001,C824,$D$2:$D$2001,D824)&gt;1,"DUPLIKAT","OK"))))</f>
        <v/>
      </c>
    </row>
    <row r="825">
      <c r="A825" s="4" t="n"/>
      <c r="B825" s="5" t="n"/>
      <c r="C825" s="5" t="n"/>
      <c r="D825" s="5" t="n"/>
      <c r="E825" s="6">
        <f>IF(A825="","","B"&amp;TEXT(COUNT($A$2:A825),"00000"))</f>
        <v/>
      </c>
      <c r="F825" s="6">
        <f>IF(OR(C825="",D825=""),"",IFERROR(LOOKUP(2,1/(($C$1:C824=C825)*($D$1:D824=D825)*ISNUMBER($J$1:J824)),$J$1:J824),SUMIFS(Master!$G$2:$G$13,Master!$E$2:$E$13,C825,Master!$F$2:$F$13,D825)))</f>
        <v/>
      </c>
      <c r="G825" s="5" t="n"/>
      <c r="H825" s="5" t="n"/>
      <c r="I825" s="5" t="n"/>
      <c r="J825" s="6">
        <f>IF(OR(F825="",COUNT(G825:I825)&lt;3),"",F825+G825-H825-I825)</f>
        <v/>
      </c>
      <c r="K825" s="6">
        <f>IF(COUNTA(A825:D825,G825:I825)=0,"",IF(COUNTA(A825:D825,G825:I825)&lt;7,"LENGKAPI",IF(H825+I825&gt;N(F825)+G825,"ABNORMAL",IF(COUNTIFS($A$2:$A$2001,A825,$B$2:$B$2001,B825,$C$2:$C$2001,C825,$D$2:$D$2001,D825)&gt;1,"DUPLIKAT","OK"))))</f>
        <v/>
      </c>
    </row>
    <row r="826">
      <c r="A826" s="4" t="n"/>
      <c r="B826" s="5" t="n"/>
      <c r="C826" s="5" t="n"/>
      <c r="D826" s="5" t="n"/>
      <c r="E826" s="6">
        <f>IF(A826="","","B"&amp;TEXT(COUNT($A$2:A826),"00000"))</f>
        <v/>
      </c>
      <c r="F826" s="6">
        <f>IF(OR(C826="",D826=""),"",IFERROR(LOOKUP(2,1/(($C$1:C825=C826)*($D$1:D825=D826)*ISNUMBER($J$1:J825)),$J$1:J825),SUMIFS(Master!$G$2:$G$13,Master!$E$2:$E$13,C826,Master!$F$2:$F$13,D826)))</f>
        <v/>
      </c>
      <c r="G826" s="5" t="n"/>
      <c r="H826" s="5" t="n"/>
      <c r="I826" s="5" t="n"/>
      <c r="J826" s="6">
        <f>IF(OR(F826="",COUNT(G826:I826)&lt;3),"",F826+G826-H826-I826)</f>
        <v/>
      </c>
      <c r="K826" s="6">
        <f>IF(COUNTA(A826:D826,G826:I826)=0,"",IF(COUNTA(A826:D826,G826:I826)&lt;7,"LENGKAPI",IF(H826+I826&gt;N(F826)+G826,"ABNORMAL",IF(COUNTIFS($A$2:$A$2001,A826,$B$2:$B$2001,B826,$C$2:$C$2001,C826,$D$2:$D$2001,D826)&gt;1,"DUPLIKAT","OK"))))</f>
        <v/>
      </c>
    </row>
    <row r="827">
      <c r="A827" s="4" t="n"/>
      <c r="B827" s="5" t="n"/>
      <c r="C827" s="5" t="n"/>
      <c r="D827" s="5" t="n"/>
      <c r="E827" s="6">
        <f>IF(A827="","","B"&amp;TEXT(COUNT($A$2:A827),"00000"))</f>
        <v/>
      </c>
      <c r="F827" s="6">
        <f>IF(OR(C827="",D827=""),"",IFERROR(LOOKUP(2,1/(($C$1:C826=C827)*($D$1:D826=D827)*ISNUMBER($J$1:J826)),$J$1:J826),SUMIFS(Master!$G$2:$G$13,Master!$E$2:$E$13,C827,Master!$F$2:$F$13,D827)))</f>
        <v/>
      </c>
      <c r="G827" s="5" t="n"/>
      <c r="H827" s="5" t="n"/>
      <c r="I827" s="5" t="n"/>
      <c r="J827" s="6">
        <f>IF(OR(F827="",COUNT(G827:I827)&lt;3),"",F827+G827-H827-I827)</f>
        <v/>
      </c>
      <c r="K827" s="6">
        <f>IF(COUNTA(A827:D827,G827:I827)=0,"",IF(COUNTA(A827:D827,G827:I827)&lt;7,"LENGKAPI",IF(H827+I827&gt;N(F827)+G827,"ABNORMAL",IF(COUNTIFS($A$2:$A$2001,A827,$B$2:$B$2001,B827,$C$2:$C$2001,C827,$D$2:$D$2001,D827)&gt;1,"DUPLIKAT","OK"))))</f>
        <v/>
      </c>
    </row>
    <row r="828">
      <c r="A828" s="4" t="n"/>
      <c r="B828" s="5" t="n"/>
      <c r="C828" s="5" t="n"/>
      <c r="D828" s="5" t="n"/>
      <c r="E828" s="6">
        <f>IF(A828="","","B"&amp;TEXT(COUNT($A$2:A828),"00000"))</f>
        <v/>
      </c>
      <c r="F828" s="6">
        <f>IF(OR(C828="",D828=""),"",IFERROR(LOOKUP(2,1/(($C$1:C827=C828)*($D$1:D827=D828)*ISNUMBER($J$1:J827)),$J$1:J827),SUMIFS(Master!$G$2:$G$13,Master!$E$2:$E$13,C828,Master!$F$2:$F$13,D828)))</f>
        <v/>
      </c>
      <c r="G828" s="5" t="n"/>
      <c r="H828" s="5" t="n"/>
      <c r="I828" s="5" t="n"/>
      <c r="J828" s="6">
        <f>IF(OR(F828="",COUNT(G828:I828)&lt;3),"",F828+G828-H828-I828)</f>
        <v/>
      </c>
      <c r="K828" s="6">
        <f>IF(COUNTA(A828:D828,G828:I828)=0,"",IF(COUNTA(A828:D828,G828:I828)&lt;7,"LENGKAPI",IF(H828+I828&gt;N(F828)+G828,"ABNORMAL",IF(COUNTIFS($A$2:$A$2001,A828,$B$2:$B$2001,B828,$C$2:$C$2001,C828,$D$2:$D$2001,D828)&gt;1,"DUPLIKAT","OK"))))</f>
        <v/>
      </c>
    </row>
    <row r="829">
      <c r="A829" s="4" t="n"/>
      <c r="B829" s="5" t="n"/>
      <c r="C829" s="5" t="n"/>
      <c r="D829" s="5" t="n"/>
      <c r="E829" s="6">
        <f>IF(A829="","","B"&amp;TEXT(COUNT($A$2:A829),"00000"))</f>
        <v/>
      </c>
      <c r="F829" s="6">
        <f>IF(OR(C829="",D829=""),"",IFERROR(LOOKUP(2,1/(($C$1:C828=C829)*($D$1:D828=D829)*ISNUMBER($J$1:J828)),$J$1:J828),SUMIFS(Master!$G$2:$G$13,Master!$E$2:$E$13,C829,Master!$F$2:$F$13,D829)))</f>
        <v/>
      </c>
      <c r="G829" s="5" t="n"/>
      <c r="H829" s="5" t="n"/>
      <c r="I829" s="5" t="n"/>
      <c r="J829" s="6">
        <f>IF(OR(F829="",COUNT(G829:I829)&lt;3),"",F829+G829-H829-I829)</f>
        <v/>
      </c>
      <c r="K829" s="6">
        <f>IF(COUNTA(A829:D829,G829:I829)=0,"",IF(COUNTA(A829:D829,G829:I829)&lt;7,"LENGKAPI",IF(H829+I829&gt;N(F829)+G829,"ABNORMAL",IF(COUNTIFS($A$2:$A$2001,A829,$B$2:$B$2001,B829,$C$2:$C$2001,C829,$D$2:$D$2001,D829)&gt;1,"DUPLIKAT","OK"))))</f>
        <v/>
      </c>
    </row>
    <row r="830">
      <c r="A830" s="4" t="n"/>
      <c r="B830" s="5" t="n"/>
      <c r="C830" s="5" t="n"/>
      <c r="D830" s="5" t="n"/>
      <c r="E830" s="6">
        <f>IF(A830="","","B"&amp;TEXT(COUNT($A$2:A830),"00000"))</f>
        <v/>
      </c>
      <c r="F830" s="6">
        <f>IF(OR(C830="",D830=""),"",IFERROR(LOOKUP(2,1/(($C$1:C829=C830)*($D$1:D829=D830)*ISNUMBER($J$1:J829)),$J$1:J829),SUMIFS(Master!$G$2:$G$13,Master!$E$2:$E$13,C830,Master!$F$2:$F$13,D830)))</f>
        <v/>
      </c>
      <c r="G830" s="5" t="n"/>
      <c r="H830" s="5" t="n"/>
      <c r="I830" s="5" t="n"/>
      <c r="J830" s="6">
        <f>IF(OR(F830="",COUNT(G830:I830)&lt;3),"",F830+G830-H830-I830)</f>
        <v/>
      </c>
      <c r="K830" s="6">
        <f>IF(COUNTA(A830:D830,G830:I830)=0,"",IF(COUNTA(A830:D830,G830:I830)&lt;7,"LENGKAPI",IF(H830+I830&gt;N(F830)+G830,"ABNORMAL",IF(COUNTIFS($A$2:$A$2001,A830,$B$2:$B$2001,B830,$C$2:$C$2001,C830,$D$2:$D$2001,D830)&gt;1,"DUPLIKAT","OK"))))</f>
        <v/>
      </c>
    </row>
    <row r="831">
      <c r="A831" s="4" t="n"/>
      <c r="B831" s="5" t="n"/>
      <c r="C831" s="5" t="n"/>
      <c r="D831" s="5" t="n"/>
      <c r="E831" s="6">
        <f>IF(A831="","","B"&amp;TEXT(COUNT($A$2:A831),"00000"))</f>
        <v/>
      </c>
      <c r="F831" s="6">
        <f>IF(OR(C831="",D831=""),"",IFERROR(LOOKUP(2,1/(($C$1:C830=C831)*($D$1:D830=D831)*ISNUMBER($J$1:J830)),$J$1:J830),SUMIFS(Master!$G$2:$G$13,Master!$E$2:$E$13,C831,Master!$F$2:$F$13,D831)))</f>
        <v/>
      </c>
      <c r="G831" s="5" t="n"/>
      <c r="H831" s="5" t="n"/>
      <c r="I831" s="5" t="n"/>
      <c r="J831" s="6">
        <f>IF(OR(F831="",COUNT(G831:I831)&lt;3),"",F831+G831-H831-I831)</f>
        <v/>
      </c>
      <c r="K831" s="6">
        <f>IF(COUNTA(A831:D831,G831:I831)=0,"",IF(COUNTA(A831:D831,G831:I831)&lt;7,"LENGKAPI",IF(H831+I831&gt;N(F831)+G831,"ABNORMAL",IF(COUNTIFS($A$2:$A$2001,A831,$B$2:$B$2001,B831,$C$2:$C$2001,C831,$D$2:$D$2001,D831)&gt;1,"DUPLIKAT","OK"))))</f>
        <v/>
      </c>
    </row>
    <row r="832">
      <c r="A832" s="4" t="n"/>
      <c r="B832" s="5" t="n"/>
      <c r="C832" s="5" t="n"/>
      <c r="D832" s="5" t="n"/>
      <c r="E832" s="6">
        <f>IF(A832="","","B"&amp;TEXT(COUNT($A$2:A832),"00000"))</f>
        <v/>
      </c>
      <c r="F832" s="6">
        <f>IF(OR(C832="",D832=""),"",IFERROR(LOOKUP(2,1/(($C$1:C831=C832)*($D$1:D831=D832)*ISNUMBER($J$1:J831)),$J$1:J831),SUMIFS(Master!$G$2:$G$13,Master!$E$2:$E$13,C832,Master!$F$2:$F$13,D832)))</f>
        <v/>
      </c>
      <c r="G832" s="5" t="n"/>
      <c r="H832" s="5" t="n"/>
      <c r="I832" s="5" t="n"/>
      <c r="J832" s="6">
        <f>IF(OR(F832="",COUNT(G832:I832)&lt;3),"",F832+G832-H832-I832)</f>
        <v/>
      </c>
      <c r="K832" s="6">
        <f>IF(COUNTA(A832:D832,G832:I832)=0,"",IF(COUNTA(A832:D832,G832:I832)&lt;7,"LENGKAPI",IF(H832+I832&gt;N(F832)+G832,"ABNORMAL",IF(COUNTIFS($A$2:$A$2001,A832,$B$2:$B$2001,B832,$C$2:$C$2001,C832,$D$2:$D$2001,D832)&gt;1,"DUPLIKAT","OK"))))</f>
        <v/>
      </c>
    </row>
    <row r="833">
      <c r="A833" s="4" t="n"/>
      <c r="B833" s="5" t="n"/>
      <c r="C833" s="5" t="n"/>
      <c r="D833" s="5" t="n"/>
      <c r="E833" s="6">
        <f>IF(A833="","","B"&amp;TEXT(COUNT($A$2:A833),"00000"))</f>
        <v/>
      </c>
      <c r="F833" s="6">
        <f>IF(OR(C833="",D833=""),"",IFERROR(LOOKUP(2,1/(($C$1:C832=C833)*($D$1:D832=D833)*ISNUMBER($J$1:J832)),$J$1:J832),SUMIFS(Master!$G$2:$G$13,Master!$E$2:$E$13,C833,Master!$F$2:$F$13,D833)))</f>
        <v/>
      </c>
      <c r="G833" s="5" t="n"/>
      <c r="H833" s="5" t="n"/>
      <c r="I833" s="5" t="n"/>
      <c r="J833" s="6">
        <f>IF(OR(F833="",COUNT(G833:I833)&lt;3),"",F833+G833-H833-I833)</f>
        <v/>
      </c>
      <c r="K833" s="6">
        <f>IF(COUNTA(A833:D833,G833:I833)=0,"",IF(COUNTA(A833:D833,G833:I833)&lt;7,"LENGKAPI",IF(H833+I833&gt;N(F833)+G833,"ABNORMAL",IF(COUNTIFS($A$2:$A$2001,A833,$B$2:$B$2001,B833,$C$2:$C$2001,C833,$D$2:$D$2001,D833)&gt;1,"DUPLIKAT","OK"))))</f>
        <v/>
      </c>
    </row>
    <row r="834">
      <c r="A834" s="4" t="n"/>
      <c r="B834" s="5" t="n"/>
      <c r="C834" s="5" t="n"/>
      <c r="D834" s="5" t="n"/>
      <c r="E834" s="6">
        <f>IF(A834="","","B"&amp;TEXT(COUNT($A$2:A834),"00000"))</f>
        <v/>
      </c>
      <c r="F834" s="6">
        <f>IF(OR(C834="",D834=""),"",IFERROR(LOOKUP(2,1/(($C$1:C833=C834)*($D$1:D833=D834)*ISNUMBER($J$1:J833)),$J$1:J833),SUMIFS(Master!$G$2:$G$13,Master!$E$2:$E$13,C834,Master!$F$2:$F$13,D834)))</f>
        <v/>
      </c>
      <c r="G834" s="5" t="n"/>
      <c r="H834" s="5" t="n"/>
      <c r="I834" s="5" t="n"/>
      <c r="J834" s="6">
        <f>IF(OR(F834="",COUNT(G834:I834)&lt;3),"",F834+G834-H834-I834)</f>
        <v/>
      </c>
      <c r="K834" s="6">
        <f>IF(COUNTA(A834:D834,G834:I834)=0,"",IF(COUNTA(A834:D834,G834:I834)&lt;7,"LENGKAPI",IF(H834+I834&gt;N(F834)+G834,"ABNORMAL",IF(COUNTIFS($A$2:$A$2001,A834,$B$2:$B$2001,B834,$C$2:$C$2001,C834,$D$2:$D$2001,D834)&gt;1,"DUPLIKAT","OK"))))</f>
        <v/>
      </c>
    </row>
    <row r="835">
      <c r="A835" s="4" t="n"/>
      <c r="B835" s="5" t="n"/>
      <c r="C835" s="5" t="n"/>
      <c r="D835" s="5" t="n"/>
      <c r="E835" s="6">
        <f>IF(A835="","","B"&amp;TEXT(COUNT($A$2:A835),"00000"))</f>
        <v/>
      </c>
      <c r="F835" s="6">
        <f>IF(OR(C835="",D835=""),"",IFERROR(LOOKUP(2,1/(($C$1:C834=C835)*($D$1:D834=D835)*ISNUMBER($J$1:J834)),$J$1:J834),SUMIFS(Master!$G$2:$G$13,Master!$E$2:$E$13,C835,Master!$F$2:$F$13,D835)))</f>
        <v/>
      </c>
      <c r="G835" s="5" t="n"/>
      <c r="H835" s="5" t="n"/>
      <c r="I835" s="5" t="n"/>
      <c r="J835" s="6">
        <f>IF(OR(F835="",COUNT(G835:I835)&lt;3),"",F835+G835-H835-I835)</f>
        <v/>
      </c>
      <c r="K835" s="6">
        <f>IF(COUNTA(A835:D835,G835:I835)=0,"",IF(COUNTA(A835:D835,G835:I835)&lt;7,"LENGKAPI",IF(H835+I835&gt;N(F835)+G835,"ABNORMAL",IF(COUNTIFS($A$2:$A$2001,A835,$B$2:$B$2001,B835,$C$2:$C$2001,C835,$D$2:$D$2001,D835)&gt;1,"DUPLIKAT","OK"))))</f>
        <v/>
      </c>
    </row>
    <row r="836">
      <c r="A836" s="4" t="n"/>
      <c r="B836" s="5" t="n"/>
      <c r="C836" s="5" t="n"/>
      <c r="D836" s="5" t="n"/>
      <c r="E836" s="6">
        <f>IF(A836="","","B"&amp;TEXT(COUNT($A$2:A836),"00000"))</f>
        <v/>
      </c>
      <c r="F836" s="6">
        <f>IF(OR(C836="",D836=""),"",IFERROR(LOOKUP(2,1/(($C$1:C835=C836)*($D$1:D835=D836)*ISNUMBER($J$1:J835)),$J$1:J835),SUMIFS(Master!$G$2:$G$13,Master!$E$2:$E$13,C836,Master!$F$2:$F$13,D836)))</f>
        <v/>
      </c>
      <c r="G836" s="5" t="n"/>
      <c r="H836" s="5" t="n"/>
      <c r="I836" s="5" t="n"/>
      <c r="J836" s="6">
        <f>IF(OR(F836="",COUNT(G836:I836)&lt;3),"",F836+G836-H836-I836)</f>
        <v/>
      </c>
      <c r="K836" s="6">
        <f>IF(COUNTA(A836:D836,G836:I836)=0,"",IF(COUNTA(A836:D836,G836:I836)&lt;7,"LENGKAPI",IF(H836+I836&gt;N(F836)+G836,"ABNORMAL",IF(COUNTIFS($A$2:$A$2001,A836,$B$2:$B$2001,B836,$C$2:$C$2001,C836,$D$2:$D$2001,D836)&gt;1,"DUPLIKAT","OK"))))</f>
        <v/>
      </c>
    </row>
    <row r="837">
      <c r="A837" s="4" t="n"/>
      <c r="B837" s="5" t="n"/>
      <c r="C837" s="5" t="n"/>
      <c r="D837" s="5" t="n"/>
      <c r="E837" s="6">
        <f>IF(A837="","","B"&amp;TEXT(COUNT($A$2:A837),"00000"))</f>
        <v/>
      </c>
      <c r="F837" s="6">
        <f>IF(OR(C837="",D837=""),"",IFERROR(LOOKUP(2,1/(($C$1:C836=C837)*($D$1:D836=D837)*ISNUMBER($J$1:J836)),$J$1:J836),SUMIFS(Master!$G$2:$G$13,Master!$E$2:$E$13,C837,Master!$F$2:$F$13,D837)))</f>
        <v/>
      </c>
      <c r="G837" s="5" t="n"/>
      <c r="H837" s="5" t="n"/>
      <c r="I837" s="5" t="n"/>
      <c r="J837" s="6">
        <f>IF(OR(F837="",COUNT(G837:I837)&lt;3),"",F837+G837-H837-I837)</f>
        <v/>
      </c>
      <c r="K837" s="6">
        <f>IF(COUNTA(A837:D837,G837:I837)=0,"",IF(COUNTA(A837:D837,G837:I837)&lt;7,"LENGKAPI",IF(H837+I837&gt;N(F837)+G837,"ABNORMAL",IF(COUNTIFS($A$2:$A$2001,A837,$B$2:$B$2001,B837,$C$2:$C$2001,C837,$D$2:$D$2001,D837)&gt;1,"DUPLIKAT","OK"))))</f>
        <v/>
      </c>
    </row>
    <row r="838">
      <c r="A838" s="4" t="n"/>
      <c r="B838" s="5" t="n"/>
      <c r="C838" s="5" t="n"/>
      <c r="D838" s="5" t="n"/>
      <c r="E838" s="6">
        <f>IF(A838="","","B"&amp;TEXT(COUNT($A$2:A838),"00000"))</f>
        <v/>
      </c>
      <c r="F838" s="6">
        <f>IF(OR(C838="",D838=""),"",IFERROR(LOOKUP(2,1/(($C$1:C837=C838)*($D$1:D837=D838)*ISNUMBER($J$1:J837)),$J$1:J837),SUMIFS(Master!$G$2:$G$13,Master!$E$2:$E$13,C838,Master!$F$2:$F$13,D838)))</f>
        <v/>
      </c>
      <c r="G838" s="5" t="n"/>
      <c r="H838" s="5" t="n"/>
      <c r="I838" s="5" t="n"/>
      <c r="J838" s="6">
        <f>IF(OR(F838="",COUNT(G838:I838)&lt;3),"",F838+G838-H838-I838)</f>
        <v/>
      </c>
      <c r="K838" s="6">
        <f>IF(COUNTA(A838:D838,G838:I838)=0,"",IF(COUNTA(A838:D838,G838:I838)&lt;7,"LENGKAPI",IF(H838+I838&gt;N(F838)+G838,"ABNORMAL",IF(COUNTIFS($A$2:$A$2001,A838,$B$2:$B$2001,B838,$C$2:$C$2001,C838,$D$2:$D$2001,D838)&gt;1,"DUPLIKAT","OK"))))</f>
        <v/>
      </c>
    </row>
    <row r="839">
      <c r="A839" s="4" t="n"/>
      <c r="B839" s="5" t="n"/>
      <c r="C839" s="5" t="n"/>
      <c r="D839" s="5" t="n"/>
      <c r="E839" s="6">
        <f>IF(A839="","","B"&amp;TEXT(COUNT($A$2:A839),"00000"))</f>
        <v/>
      </c>
      <c r="F839" s="6">
        <f>IF(OR(C839="",D839=""),"",IFERROR(LOOKUP(2,1/(($C$1:C838=C839)*($D$1:D838=D839)*ISNUMBER($J$1:J838)),$J$1:J838),SUMIFS(Master!$G$2:$G$13,Master!$E$2:$E$13,C839,Master!$F$2:$F$13,D839)))</f>
        <v/>
      </c>
      <c r="G839" s="5" t="n"/>
      <c r="H839" s="5" t="n"/>
      <c r="I839" s="5" t="n"/>
      <c r="J839" s="6">
        <f>IF(OR(F839="",COUNT(G839:I839)&lt;3),"",F839+G839-H839-I839)</f>
        <v/>
      </c>
      <c r="K839" s="6">
        <f>IF(COUNTA(A839:D839,G839:I839)=0,"",IF(COUNTA(A839:D839,G839:I839)&lt;7,"LENGKAPI",IF(H839+I839&gt;N(F839)+G839,"ABNORMAL",IF(COUNTIFS($A$2:$A$2001,A839,$B$2:$B$2001,B839,$C$2:$C$2001,C839,$D$2:$D$2001,D839)&gt;1,"DUPLIKAT","OK"))))</f>
        <v/>
      </c>
    </row>
    <row r="840">
      <c r="A840" s="4" t="n"/>
      <c r="B840" s="5" t="n"/>
      <c r="C840" s="5" t="n"/>
      <c r="D840" s="5" t="n"/>
      <c r="E840" s="6">
        <f>IF(A840="","","B"&amp;TEXT(COUNT($A$2:A840),"00000"))</f>
        <v/>
      </c>
      <c r="F840" s="6">
        <f>IF(OR(C840="",D840=""),"",IFERROR(LOOKUP(2,1/(($C$1:C839=C840)*($D$1:D839=D840)*ISNUMBER($J$1:J839)),$J$1:J839),SUMIFS(Master!$G$2:$G$13,Master!$E$2:$E$13,C840,Master!$F$2:$F$13,D840)))</f>
        <v/>
      </c>
      <c r="G840" s="5" t="n"/>
      <c r="H840" s="5" t="n"/>
      <c r="I840" s="5" t="n"/>
      <c r="J840" s="6">
        <f>IF(OR(F840="",COUNT(G840:I840)&lt;3),"",F840+G840-H840-I840)</f>
        <v/>
      </c>
      <c r="K840" s="6">
        <f>IF(COUNTA(A840:D840,G840:I840)=0,"",IF(COUNTA(A840:D840,G840:I840)&lt;7,"LENGKAPI",IF(H840+I840&gt;N(F840)+G840,"ABNORMAL",IF(COUNTIFS($A$2:$A$2001,A840,$B$2:$B$2001,B840,$C$2:$C$2001,C840,$D$2:$D$2001,D840)&gt;1,"DUPLIKAT","OK"))))</f>
        <v/>
      </c>
    </row>
    <row r="841">
      <c r="A841" s="4" t="n"/>
      <c r="B841" s="5" t="n"/>
      <c r="C841" s="5" t="n"/>
      <c r="D841" s="5" t="n"/>
      <c r="E841" s="6">
        <f>IF(A841="","","B"&amp;TEXT(COUNT($A$2:A841),"00000"))</f>
        <v/>
      </c>
      <c r="F841" s="6">
        <f>IF(OR(C841="",D841=""),"",IFERROR(LOOKUP(2,1/(($C$1:C840=C841)*($D$1:D840=D841)*ISNUMBER($J$1:J840)),$J$1:J840),SUMIFS(Master!$G$2:$G$13,Master!$E$2:$E$13,C841,Master!$F$2:$F$13,D841)))</f>
        <v/>
      </c>
      <c r="G841" s="5" t="n"/>
      <c r="H841" s="5" t="n"/>
      <c r="I841" s="5" t="n"/>
      <c r="J841" s="6">
        <f>IF(OR(F841="",COUNT(G841:I841)&lt;3),"",F841+G841-H841-I841)</f>
        <v/>
      </c>
      <c r="K841" s="6">
        <f>IF(COUNTA(A841:D841,G841:I841)=0,"",IF(COUNTA(A841:D841,G841:I841)&lt;7,"LENGKAPI",IF(H841+I841&gt;N(F841)+G841,"ABNORMAL",IF(COUNTIFS($A$2:$A$2001,A841,$B$2:$B$2001,B841,$C$2:$C$2001,C841,$D$2:$D$2001,D841)&gt;1,"DUPLIKAT","OK"))))</f>
        <v/>
      </c>
    </row>
    <row r="842">
      <c r="A842" s="4" t="n"/>
      <c r="B842" s="5" t="n"/>
      <c r="C842" s="5" t="n"/>
      <c r="D842" s="5" t="n"/>
      <c r="E842" s="6">
        <f>IF(A842="","","B"&amp;TEXT(COUNT($A$2:A842),"00000"))</f>
        <v/>
      </c>
      <c r="F842" s="6">
        <f>IF(OR(C842="",D842=""),"",IFERROR(LOOKUP(2,1/(($C$1:C841=C842)*($D$1:D841=D842)*ISNUMBER($J$1:J841)),$J$1:J841),SUMIFS(Master!$G$2:$G$13,Master!$E$2:$E$13,C842,Master!$F$2:$F$13,D842)))</f>
        <v/>
      </c>
      <c r="G842" s="5" t="n"/>
      <c r="H842" s="5" t="n"/>
      <c r="I842" s="5" t="n"/>
      <c r="J842" s="6">
        <f>IF(OR(F842="",COUNT(G842:I842)&lt;3),"",F842+G842-H842-I842)</f>
        <v/>
      </c>
      <c r="K842" s="6">
        <f>IF(COUNTA(A842:D842,G842:I842)=0,"",IF(COUNTA(A842:D842,G842:I842)&lt;7,"LENGKAPI",IF(H842+I842&gt;N(F842)+G842,"ABNORMAL",IF(COUNTIFS($A$2:$A$2001,A842,$B$2:$B$2001,B842,$C$2:$C$2001,C842,$D$2:$D$2001,D842)&gt;1,"DUPLIKAT","OK"))))</f>
        <v/>
      </c>
    </row>
    <row r="843">
      <c r="A843" s="4" t="n"/>
      <c r="B843" s="5" t="n"/>
      <c r="C843" s="5" t="n"/>
      <c r="D843" s="5" t="n"/>
      <c r="E843" s="6">
        <f>IF(A843="","","B"&amp;TEXT(COUNT($A$2:A843),"00000"))</f>
        <v/>
      </c>
      <c r="F843" s="6">
        <f>IF(OR(C843="",D843=""),"",IFERROR(LOOKUP(2,1/(($C$1:C842=C843)*($D$1:D842=D843)*ISNUMBER($J$1:J842)),$J$1:J842),SUMIFS(Master!$G$2:$G$13,Master!$E$2:$E$13,C843,Master!$F$2:$F$13,D843)))</f>
        <v/>
      </c>
      <c r="G843" s="5" t="n"/>
      <c r="H843" s="5" t="n"/>
      <c r="I843" s="5" t="n"/>
      <c r="J843" s="6">
        <f>IF(OR(F843="",COUNT(G843:I843)&lt;3),"",F843+G843-H843-I843)</f>
        <v/>
      </c>
      <c r="K843" s="6">
        <f>IF(COUNTA(A843:D843,G843:I843)=0,"",IF(COUNTA(A843:D843,G843:I843)&lt;7,"LENGKAPI",IF(H843+I843&gt;N(F843)+G843,"ABNORMAL",IF(COUNTIFS($A$2:$A$2001,A843,$B$2:$B$2001,B843,$C$2:$C$2001,C843,$D$2:$D$2001,D843)&gt;1,"DUPLIKAT","OK"))))</f>
        <v/>
      </c>
    </row>
    <row r="844">
      <c r="A844" s="4" t="n"/>
      <c r="B844" s="5" t="n"/>
      <c r="C844" s="5" t="n"/>
      <c r="D844" s="5" t="n"/>
      <c r="E844" s="6">
        <f>IF(A844="","","B"&amp;TEXT(COUNT($A$2:A844),"00000"))</f>
        <v/>
      </c>
      <c r="F844" s="6">
        <f>IF(OR(C844="",D844=""),"",IFERROR(LOOKUP(2,1/(($C$1:C843=C844)*($D$1:D843=D844)*ISNUMBER($J$1:J843)),$J$1:J843),SUMIFS(Master!$G$2:$G$13,Master!$E$2:$E$13,C844,Master!$F$2:$F$13,D844)))</f>
        <v/>
      </c>
      <c r="G844" s="5" t="n"/>
      <c r="H844" s="5" t="n"/>
      <c r="I844" s="5" t="n"/>
      <c r="J844" s="6">
        <f>IF(OR(F844="",COUNT(G844:I844)&lt;3),"",F844+G844-H844-I844)</f>
        <v/>
      </c>
      <c r="K844" s="6">
        <f>IF(COUNTA(A844:D844,G844:I844)=0,"",IF(COUNTA(A844:D844,G844:I844)&lt;7,"LENGKAPI",IF(H844+I844&gt;N(F844)+G844,"ABNORMAL",IF(COUNTIFS($A$2:$A$2001,A844,$B$2:$B$2001,B844,$C$2:$C$2001,C844,$D$2:$D$2001,D844)&gt;1,"DUPLIKAT","OK"))))</f>
        <v/>
      </c>
    </row>
    <row r="845">
      <c r="A845" s="4" t="n"/>
      <c r="B845" s="5" t="n"/>
      <c r="C845" s="5" t="n"/>
      <c r="D845" s="5" t="n"/>
      <c r="E845" s="6">
        <f>IF(A845="","","B"&amp;TEXT(COUNT($A$2:A845),"00000"))</f>
        <v/>
      </c>
      <c r="F845" s="6">
        <f>IF(OR(C845="",D845=""),"",IFERROR(LOOKUP(2,1/(($C$1:C844=C845)*($D$1:D844=D845)*ISNUMBER($J$1:J844)),$J$1:J844),SUMIFS(Master!$G$2:$G$13,Master!$E$2:$E$13,C845,Master!$F$2:$F$13,D845)))</f>
        <v/>
      </c>
      <c r="G845" s="5" t="n"/>
      <c r="H845" s="5" t="n"/>
      <c r="I845" s="5" t="n"/>
      <c r="J845" s="6">
        <f>IF(OR(F845="",COUNT(G845:I845)&lt;3),"",F845+G845-H845-I845)</f>
        <v/>
      </c>
      <c r="K845" s="6">
        <f>IF(COUNTA(A845:D845,G845:I845)=0,"",IF(COUNTA(A845:D845,G845:I845)&lt;7,"LENGKAPI",IF(H845+I845&gt;N(F845)+G845,"ABNORMAL",IF(COUNTIFS($A$2:$A$2001,A845,$B$2:$B$2001,B845,$C$2:$C$2001,C845,$D$2:$D$2001,D845)&gt;1,"DUPLIKAT","OK"))))</f>
        <v/>
      </c>
    </row>
    <row r="846">
      <c r="A846" s="4" t="n"/>
      <c r="B846" s="5" t="n"/>
      <c r="C846" s="5" t="n"/>
      <c r="D846" s="5" t="n"/>
      <c r="E846" s="6">
        <f>IF(A846="","","B"&amp;TEXT(COUNT($A$2:A846),"00000"))</f>
        <v/>
      </c>
      <c r="F846" s="6">
        <f>IF(OR(C846="",D846=""),"",IFERROR(LOOKUP(2,1/(($C$1:C845=C846)*($D$1:D845=D846)*ISNUMBER($J$1:J845)),$J$1:J845),SUMIFS(Master!$G$2:$G$13,Master!$E$2:$E$13,C846,Master!$F$2:$F$13,D846)))</f>
        <v/>
      </c>
      <c r="G846" s="5" t="n"/>
      <c r="H846" s="5" t="n"/>
      <c r="I846" s="5" t="n"/>
      <c r="J846" s="6">
        <f>IF(OR(F846="",COUNT(G846:I846)&lt;3),"",F846+G846-H846-I846)</f>
        <v/>
      </c>
      <c r="K846" s="6">
        <f>IF(COUNTA(A846:D846,G846:I846)=0,"",IF(COUNTA(A846:D846,G846:I846)&lt;7,"LENGKAPI",IF(H846+I846&gt;N(F846)+G846,"ABNORMAL",IF(COUNTIFS($A$2:$A$2001,A846,$B$2:$B$2001,B846,$C$2:$C$2001,C846,$D$2:$D$2001,D846)&gt;1,"DUPLIKAT","OK"))))</f>
        <v/>
      </c>
    </row>
    <row r="847">
      <c r="A847" s="4" t="n"/>
      <c r="B847" s="5" t="n"/>
      <c r="C847" s="5" t="n"/>
      <c r="D847" s="5" t="n"/>
      <c r="E847" s="6">
        <f>IF(A847="","","B"&amp;TEXT(COUNT($A$2:A847),"00000"))</f>
        <v/>
      </c>
      <c r="F847" s="6">
        <f>IF(OR(C847="",D847=""),"",IFERROR(LOOKUP(2,1/(($C$1:C846=C847)*($D$1:D846=D847)*ISNUMBER($J$1:J846)),$J$1:J846),SUMIFS(Master!$G$2:$G$13,Master!$E$2:$E$13,C847,Master!$F$2:$F$13,D847)))</f>
        <v/>
      </c>
      <c r="G847" s="5" t="n"/>
      <c r="H847" s="5" t="n"/>
      <c r="I847" s="5" t="n"/>
      <c r="J847" s="6">
        <f>IF(OR(F847="",COUNT(G847:I847)&lt;3),"",F847+G847-H847-I847)</f>
        <v/>
      </c>
      <c r="K847" s="6">
        <f>IF(COUNTA(A847:D847,G847:I847)=0,"",IF(COUNTA(A847:D847,G847:I847)&lt;7,"LENGKAPI",IF(H847+I847&gt;N(F847)+G847,"ABNORMAL",IF(COUNTIFS($A$2:$A$2001,A847,$B$2:$B$2001,B847,$C$2:$C$2001,C847,$D$2:$D$2001,D847)&gt;1,"DUPLIKAT","OK"))))</f>
        <v/>
      </c>
    </row>
    <row r="848">
      <c r="A848" s="4" t="n"/>
      <c r="B848" s="5" t="n"/>
      <c r="C848" s="5" t="n"/>
      <c r="D848" s="5" t="n"/>
      <c r="E848" s="6">
        <f>IF(A848="","","B"&amp;TEXT(COUNT($A$2:A848),"00000"))</f>
        <v/>
      </c>
      <c r="F848" s="6">
        <f>IF(OR(C848="",D848=""),"",IFERROR(LOOKUP(2,1/(($C$1:C847=C848)*($D$1:D847=D848)*ISNUMBER($J$1:J847)),$J$1:J847),SUMIFS(Master!$G$2:$G$13,Master!$E$2:$E$13,C848,Master!$F$2:$F$13,D848)))</f>
        <v/>
      </c>
      <c r="G848" s="5" t="n"/>
      <c r="H848" s="5" t="n"/>
      <c r="I848" s="5" t="n"/>
      <c r="J848" s="6">
        <f>IF(OR(F848="",COUNT(G848:I848)&lt;3),"",F848+G848-H848-I848)</f>
        <v/>
      </c>
      <c r="K848" s="6">
        <f>IF(COUNTA(A848:D848,G848:I848)=0,"",IF(COUNTA(A848:D848,G848:I848)&lt;7,"LENGKAPI",IF(H848+I848&gt;N(F848)+G848,"ABNORMAL",IF(COUNTIFS($A$2:$A$2001,A848,$B$2:$B$2001,B848,$C$2:$C$2001,C848,$D$2:$D$2001,D848)&gt;1,"DUPLIKAT","OK"))))</f>
        <v/>
      </c>
    </row>
    <row r="849">
      <c r="A849" s="4" t="n"/>
      <c r="B849" s="5" t="n"/>
      <c r="C849" s="5" t="n"/>
      <c r="D849" s="5" t="n"/>
      <c r="E849" s="6">
        <f>IF(A849="","","B"&amp;TEXT(COUNT($A$2:A849),"00000"))</f>
        <v/>
      </c>
      <c r="F849" s="6">
        <f>IF(OR(C849="",D849=""),"",IFERROR(LOOKUP(2,1/(($C$1:C848=C849)*($D$1:D848=D849)*ISNUMBER($J$1:J848)),$J$1:J848),SUMIFS(Master!$G$2:$G$13,Master!$E$2:$E$13,C849,Master!$F$2:$F$13,D849)))</f>
        <v/>
      </c>
      <c r="G849" s="5" t="n"/>
      <c r="H849" s="5" t="n"/>
      <c r="I849" s="5" t="n"/>
      <c r="J849" s="6">
        <f>IF(OR(F849="",COUNT(G849:I849)&lt;3),"",F849+G849-H849-I849)</f>
        <v/>
      </c>
      <c r="K849" s="6">
        <f>IF(COUNTA(A849:D849,G849:I849)=0,"",IF(COUNTA(A849:D849,G849:I849)&lt;7,"LENGKAPI",IF(H849+I849&gt;N(F849)+G849,"ABNORMAL",IF(COUNTIFS($A$2:$A$2001,A849,$B$2:$B$2001,B849,$C$2:$C$2001,C849,$D$2:$D$2001,D849)&gt;1,"DUPLIKAT","OK"))))</f>
        <v/>
      </c>
    </row>
    <row r="850">
      <c r="A850" s="4" t="n"/>
      <c r="B850" s="5" t="n"/>
      <c r="C850" s="5" t="n"/>
      <c r="D850" s="5" t="n"/>
      <c r="E850" s="6">
        <f>IF(A850="","","B"&amp;TEXT(COUNT($A$2:A850),"00000"))</f>
        <v/>
      </c>
      <c r="F850" s="6">
        <f>IF(OR(C850="",D850=""),"",IFERROR(LOOKUP(2,1/(($C$1:C849=C850)*($D$1:D849=D850)*ISNUMBER($J$1:J849)),$J$1:J849),SUMIFS(Master!$G$2:$G$13,Master!$E$2:$E$13,C850,Master!$F$2:$F$13,D850)))</f>
        <v/>
      </c>
      <c r="G850" s="5" t="n"/>
      <c r="H850" s="5" t="n"/>
      <c r="I850" s="5" t="n"/>
      <c r="J850" s="6">
        <f>IF(OR(F850="",COUNT(G850:I850)&lt;3),"",F850+G850-H850-I850)</f>
        <v/>
      </c>
      <c r="K850" s="6">
        <f>IF(COUNTA(A850:D850,G850:I850)=0,"",IF(COUNTA(A850:D850,G850:I850)&lt;7,"LENGKAPI",IF(H850+I850&gt;N(F850)+G850,"ABNORMAL",IF(COUNTIFS($A$2:$A$2001,A850,$B$2:$B$2001,B850,$C$2:$C$2001,C850,$D$2:$D$2001,D850)&gt;1,"DUPLIKAT","OK"))))</f>
        <v/>
      </c>
    </row>
    <row r="851">
      <c r="A851" s="4" t="n"/>
      <c r="B851" s="5" t="n"/>
      <c r="C851" s="5" t="n"/>
      <c r="D851" s="5" t="n"/>
      <c r="E851" s="6">
        <f>IF(A851="","","B"&amp;TEXT(COUNT($A$2:A851),"00000"))</f>
        <v/>
      </c>
      <c r="F851" s="6">
        <f>IF(OR(C851="",D851=""),"",IFERROR(LOOKUP(2,1/(($C$1:C850=C851)*($D$1:D850=D851)*ISNUMBER($J$1:J850)),$J$1:J850),SUMIFS(Master!$G$2:$G$13,Master!$E$2:$E$13,C851,Master!$F$2:$F$13,D851)))</f>
        <v/>
      </c>
      <c r="G851" s="5" t="n"/>
      <c r="H851" s="5" t="n"/>
      <c r="I851" s="5" t="n"/>
      <c r="J851" s="6">
        <f>IF(OR(F851="",COUNT(G851:I851)&lt;3),"",F851+G851-H851-I851)</f>
        <v/>
      </c>
      <c r="K851" s="6">
        <f>IF(COUNTA(A851:D851,G851:I851)=0,"",IF(COUNTA(A851:D851,G851:I851)&lt;7,"LENGKAPI",IF(H851+I851&gt;N(F851)+G851,"ABNORMAL",IF(COUNTIFS($A$2:$A$2001,A851,$B$2:$B$2001,B851,$C$2:$C$2001,C851,$D$2:$D$2001,D851)&gt;1,"DUPLIKAT","OK"))))</f>
        <v/>
      </c>
    </row>
    <row r="852">
      <c r="A852" s="4" t="n"/>
      <c r="B852" s="5" t="n"/>
      <c r="C852" s="5" t="n"/>
      <c r="D852" s="5" t="n"/>
      <c r="E852" s="6">
        <f>IF(A852="","","B"&amp;TEXT(COUNT($A$2:A852),"00000"))</f>
        <v/>
      </c>
      <c r="F852" s="6">
        <f>IF(OR(C852="",D852=""),"",IFERROR(LOOKUP(2,1/(($C$1:C851=C852)*($D$1:D851=D852)*ISNUMBER($J$1:J851)),$J$1:J851),SUMIFS(Master!$G$2:$G$13,Master!$E$2:$E$13,C852,Master!$F$2:$F$13,D852)))</f>
        <v/>
      </c>
      <c r="G852" s="5" t="n"/>
      <c r="H852" s="5" t="n"/>
      <c r="I852" s="5" t="n"/>
      <c r="J852" s="6">
        <f>IF(OR(F852="",COUNT(G852:I852)&lt;3),"",F852+G852-H852-I852)</f>
        <v/>
      </c>
      <c r="K852" s="6">
        <f>IF(COUNTA(A852:D852,G852:I852)=0,"",IF(COUNTA(A852:D852,G852:I852)&lt;7,"LENGKAPI",IF(H852+I852&gt;N(F852)+G852,"ABNORMAL",IF(COUNTIFS($A$2:$A$2001,A852,$B$2:$B$2001,B852,$C$2:$C$2001,C852,$D$2:$D$2001,D852)&gt;1,"DUPLIKAT","OK"))))</f>
        <v/>
      </c>
    </row>
    <row r="853">
      <c r="A853" s="4" t="n"/>
      <c r="B853" s="5" t="n"/>
      <c r="C853" s="5" t="n"/>
      <c r="D853" s="5" t="n"/>
      <c r="E853" s="6">
        <f>IF(A853="","","B"&amp;TEXT(COUNT($A$2:A853),"00000"))</f>
        <v/>
      </c>
      <c r="F853" s="6">
        <f>IF(OR(C853="",D853=""),"",IFERROR(LOOKUP(2,1/(($C$1:C852=C853)*($D$1:D852=D853)*ISNUMBER($J$1:J852)),$J$1:J852),SUMIFS(Master!$G$2:$G$13,Master!$E$2:$E$13,C853,Master!$F$2:$F$13,D853)))</f>
        <v/>
      </c>
      <c r="G853" s="5" t="n"/>
      <c r="H853" s="5" t="n"/>
      <c r="I853" s="5" t="n"/>
      <c r="J853" s="6">
        <f>IF(OR(F853="",COUNT(G853:I853)&lt;3),"",F853+G853-H853-I853)</f>
        <v/>
      </c>
      <c r="K853" s="6">
        <f>IF(COUNTA(A853:D853,G853:I853)=0,"",IF(COUNTA(A853:D853,G853:I853)&lt;7,"LENGKAPI",IF(H853+I853&gt;N(F853)+G853,"ABNORMAL",IF(COUNTIFS($A$2:$A$2001,A853,$B$2:$B$2001,B853,$C$2:$C$2001,C853,$D$2:$D$2001,D853)&gt;1,"DUPLIKAT","OK"))))</f>
        <v/>
      </c>
    </row>
    <row r="854">
      <c r="A854" s="4" t="n"/>
      <c r="B854" s="5" t="n"/>
      <c r="C854" s="5" t="n"/>
      <c r="D854" s="5" t="n"/>
      <c r="E854" s="6">
        <f>IF(A854="","","B"&amp;TEXT(COUNT($A$2:A854),"00000"))</f>
        <v/>
      </c>
      <c r="F854" s="6">
        <f>IF(OR(C854="",D854=""),"",IFERROR(LOOKUP(2,1/(($C$1:C853=C854)*($D$1:D853=D854)*ISNUMBER($J$1:J853)),$J$1:J853),SUMIFS(Master!$G$2:$G$13,Master!$E$2:$E$13,C854,Master!$F$2:$F$13,D854)))</f>
        <v/>
      </c>
      <c r="G854" s="5" t="n"/>
      <c r="H854" s="5" t="n"/>
      <c r="I854" s="5" t="n"/>
      <c r="J854" s="6">
        <f>IF(OR(F854="",COUNT(G854:I854)&lt;3),"",F854+G854-H854-I854)</f>
        <v/>
      </c>
      <c r="K854" s="6">
        <f>IF(COUNTA(A854:D854,G854:I854)=0,"",IF(COUNTA(A854:D854,G854:I854)&lt;7,"LENGKAPI",IF(H854+I854&gt;N(F854)+G854,"ABNORMAL",IF(COUNTIFS($A$2:$A$2001,A854,$B$2:$B$2001,B854,$C$2:$C$2001,C854,$D$2:$D$2001,D854)&gt;1,"DUPLIKAT","OK"))))</f>
        <v/>
      </c>
    </row>
    <row r="855">
      <c r="A855" s="4" t="n"/>
      <c r="B855" s="5" t="n"/>
      <c r="C855" s="5" t="n"/>
      <c r="D855" s="5" t="n"/>
      <c r="E855" s="6">
        <f>IF(A855="","","B"&amp;TEXT(COUNT($A$2:A855),"00000"))</f>
        <v/>
      </c>
      <c r="F855" s="6">
        <f>IF(OR(C855="",D855=""),"",IFERROR(LOOKUP(2,1/(($C$1:C854=C855)*($D$1:D854=D855)*ISNUMBER($J$1:J854)),$J$1:J854),SUMIFS(Master!$G$2:$G$13,Master!$E$2:$E$13,C855,Master!$F$2:$F$13,D855)))</f>
        <v/>
      </c>
      <c r="G855" s="5" t="n"/>
      <c r="H855" s="5" t="n"/>
      <c r="I855" s="5" t="n"/>
      <c r="J855" s="6">
        <f>IF(OR(F855="",COUNT(G855:I855)&lt;3),"",F855+G855-H855-I855)</f>
        <v/>
      </c>
      <c r="K855" s="6">
        <f>IF(COUNTA(A855:D855,G855:I855)=0,"",IF(COUNTA(A855:D855,G855:I855)&lt;7,"LENGKAPI",IF(H855+I855&gt;N(F855)+G855,"ABNORMAL",IF(COUNTIFS($A$2:$A$2001,A855,$B$2:$B$2001,B855,$C$2:$C$2001,C855,$D$2:$D$2001,D855)&gt;1,"DUPLIKAT","OK"))))</f>
        <v/>
      </c>
    </row>
    <row r="856">
      <c r="A856" s="4" t="n"/>
      <c r="B856" s="5" t="n"/>
      <c r="C856" s="5" t="n"/>
      <c r="D856" s="5" t="n"/>
      <c r="E856" s="6">
        <f>IF(A856="","","B"&amp;TEXT(COUNT($A$2:A856),"00000"))</f>
        <v/>
      </c>
      <c r="F856" s="6">
        <f>IF(OR(C856="",D856=""),"",IFERROR(LOOKUP(2,1/(($C$1:C855=C856)*($D$1:D855=D856)*ISNUMBER($J$1:J855)),$J$1:J855),SUMIFS(Master!$G$2:$G$13,Master!$E$2:$E$13,C856,Master!$F$2:$F$13,D856)))</f>
        <v/>
      </c>
      <c r="G856" s="5" t="n"/>
      <c r="H856" s="5" t="n"/>
      <c r="I856" s="5" t="n"/>
      <c r="J856" s="6">
        <f>IF(OR(F856="",COUNT(G856:I856)&lt;3),"",F856+G856-H856-I856)</f>
        <v/>
      </c>
      <c r="K856" s="6">
        <f>IF(COUNTA(A856:D856,G856:I856)=0,"",IF(COUNTA(A856:D856,G856:I856)&lt;7,"LENGKAPI",IF(H856+I856&gt;N(F856)+G856,"ABNORMAL",IF(COUNTIFS($A$2:$A$2001,A856,$B$2:$B$2001,B856,$C$2:$C$2001,C856,$D$2:$D$2001,D856)&gt;1,"DUPLIKAT","OK"))))</f>
        <v/>
      </c>
    </row>
    <row r="857">
      <c r="A857" s="4" t="n"/>
      <c r="B857" s="5" t="n"/>
      <c r="C857" s="5" t="n"/>
      <c r="D857" s="5" t="n"/>
      <c r="E857" s="6">
        <f>IF(A857="","","B"&amp;TEXT(COUNT($A$2:A857),"00000"))</f>
        <v/>
      </c>
      <c r="F857" s="6">
        <f>IF(OR(C857="",D857=""),"",IFERROR(LOOKUP(2,1/(($C$1:C856=C857)*($D$1:D856=D857)*ISNUMBER($J$1:J856)),$J$1:J856),SUMIFS(Master!$G$2:$G$13,Master!$E$2:$E$13,C857,Master!$F$2:$F$13,D857)))</f>
        <v/>
      </c>
      <c r="G857" s="5" t="n"/>
      <c r="H857" s="5" t="n"/>
      <c r="I857" s="5" t="n"/>
      <c r="J857" s="6">
        <f>IF(OR(F857="",COUNT(G857:I857)&lt;3),"",F857+G857-H857-I857)</f>
        <v/>
      </c>
      <c r="K857" s="6">
        <f>IF(COUNTA(A857:D857,G857:I857)=0,"",IF(COUNTA(A857:D857,G857:I857)&lt;7,"LENGKAPI",IF(H857+I857&gt;N(F857)+G857,"ABNORMAL",IF(COUNTIFS($A$2:$A$2001,A857,$B$2:$B$2001,B857,$C$2:$C$2001,C857,$D$2:$D$2001,D857)&gt;1,"DUPLIKAT","OK"))))</f>
        <v/>
      </c>
    </row>
    <row r="858">
      <c r="A858" s="4" t="n"/>
      <c r="B858" s="5" t="n"/>
      <c r="C858" s="5" t="n"/>
      <c r="D858" s="5" t="n"/>
      <c r="E858" s="6">
        <f>IF(A858="","","B"&amp;TEXT(COUNT($A$2:A858),"00000"))</f>
        <v/>
      </c>
      <c r="F858" s="6">
        <f>IF(OR(C858="",D858=""),"",IFERROR(LOOKUP(2,1/(($C$1:C857=C858)*($D$1:D857=D858)*ISNUMBER($J$1:J857)),$J$1:J857),SUMIFS(Master!$G$2:$G$13,Master!$E$2:$E$13,C858,Master!$F$2:$F$13,D858)))</f>
        <v/>
      </c>
      <c r="G858" s="5" t="n"/>
      <c r="H858" s="5" t="n"/>
      <c r="I858" s="5" t="n"/>
      <c r="J858" s="6">
        <f>IF(OR(F858="",COUNT(G858:I858)&lt;3),"",F858+G858-H858-I858)</f>
        <v/>
      </c>
      <c r="K858" s="6">
        <f>IF(COUNTA(A858:D858,G858:I858)=0,"",IF(COUNTA(A858:D858,G858:I858)&lt;7,"LENGKAPI",IF(H858+I858&gt;N(F858)+G858,"ABNORMAL",IF(COUNTIFS($A$2:$A$2001,A858,$B$2:$B$2001,B858,$C$2:$C$2001,C858,$D$2:$D$2001,D858)&gt;1,"DUPLIKAT","OK"))))</f>
        <v/>
      </c>
    </row>
    <row r="859">
      <c r="A859" s="4" t="n"/>
      <c r="B859" s="5" t="n"/>
      <c r="C859" s="5" t="n"/>
      <c r="D859" s="5" t="n"/>
      <c r="E859" s="6">
        <f>IF(A859="","","B"&amp;TEXT(COUNT($A$2:A859),"00000"))</f>
        <v/>
      </c>
      <c r="F859" s="6">
        <f>IF(OR(C859="",D859=""),"",IFERROR(LOOKUP(2,1/(($C$1:C858=C859)*($D$1:D858=D859)*ISNUMBER($J$1:J858)),$J$1:J858),SUMIFS(Master!$G$2:$G$13,Master!$E$2:$E$13,C859,Master!$F$2:$F$13,D859)))</f>
        <v/>
      </c>
      <c r="G859" s="5" t="n"/>
      <c r="H859" s="5" t="n"/>
      <c r="I859" s="5" t="n"/>
      <c r="J859" s="6">
        <f>IF(OR(F859="",COUNT(G859:I859)&lt;3),"",F859+G859-H859-I859)</f>
        <v/>
      </c>
      <c r="K859" s="6">
        <f>IF(COUNTA(A859:D859,G859:I859)=0,"",IF(COUNTA(A859:D859,G859:I859)&lt;7,"LENGKAPI",IF(H859+I859&gt;N(F859)+G859,"ABNORMAL",IF(COUNTIFS($A$2:$A$2001,A859,$B$2:$B$2001,B859,$C$2:$C$2001,C859,$D$2:$D$2001,D859)&gt;1,"DUPLIKAT","OK"))))</f>
        <v/>
      </c>
    </row>
    <row r="860">
      <c r="A860" s="4" t="n"/>
      <c r="B860" s="5" t="n"/>
      <c r="C860" s="5" t="n"/>
      <c r="D860" s="5" t="n"/>
      <c r="E860" s="6">
        <f>IF(A860="","","B"&amp;TEXT(COUNT($A$2:A860),"00000"))</f>
        <v/>
      </c>
      <c r="F860" s="6">
        <f>IF(OR(C860="",D860=""),"",IFERROR(LOOKUP(2,1/(($C$1:C859=C860)*($D$1:D859=D860)*ISNUMBER($J$1:J859)),$J$1:J859),SUMIFS(Master!$G$2:$G$13,Master!$E$2:$E$13,C860,Master!$F$2:$F$13,D860)))</f>
        <v/>
      </c>
      <c r="G860" s="5" t="n"/>
      <c r="H860" s="5" t="n"/>
      <c r="I860" s="5" t="n"/>
      <c r="J860" s="6">
        <f>IF(OR(F860="",COUNT(G860:I860)&lt;3),"",F860+G860-H860-I860)</f>
        <v/>
      </c>
      <c r="K860" s="6">
        <f>IF(COUNTA(A860:D860,G860:I860)=0,"",IF(COUNTA(A860:D860,G860:I860)&lt;7,"LENGKAPI",IF(H860+I860&gt;N(F860)+G860,"ABNORMAL",IF(COUNTIFS($A$2:$A$2001,A860,$B$2:$B$2001,B860,$C$2:$C$2001,C860,$D$2:$D$2001,D860)&gt;1,"DUPLIKAT","OK"))))</f>
        <v/>
      </c>
    </row>
    <row r="861">
      <c r="A861" s="4" t="n"/>
      <c r="B861" s="5" t="n"/>
      <c r="C861" s="5" t="n"/>
      <c r="D861" s="5" t="n"/>
      <c r="E861" s="6">
        <f>IF(A861="","","B"&amp;TEXT(COUNT($A$2:A861),"00000"))</f>
        <v/>
      </c>
      <c r="F861" s="6">
        <f>IF(OR(C861="",D861=""),"",IFERROR(LOOKUP(2,1/(($C$1:C860=C861)*($D$1:D860=D861)*ISNUMBER($J$1:J860)),$J$1:J860),SUMIFS(Master!$G$2:$G$13,Master!$E$2:$E$13,C861,Master!$F$2:$F$13,D861)))</f>
        <v/>
      </c>
      <c r="G861" s="5" t="n"/>
      <c r="H861" s="5" t="n"/>
      <c r="I861" s="5" t="n"/>
      <c r="J861" s="6">
        <f>IF(OR(F861="",COUNT(G861:I861)&lt;3),"",F861+G861-H861-I861)</f>
        <v/>
      </c>
      <c r="K861" s="6">
        <f>IF(COUNTA(A861:D861,G861:I861)=0,"",IF(COUNTA(A861:D861,G861:I861)&lt;7,"LENGKAPI",IF(H861+I861&gt;N(F861)+G861,"ABNORMAL",IF(COUNTIFS($A$2:$A$2001,A861,$B$2:$B$2001,B861,$C$2:$C$2001,C861,$D$2:$D$2001,D861)&gt;1,"DUPLIKAT","OK"))))</f>
        <v/>
      </c>
    </row>
    <row r="862">
      <c r="A862" s="4" t="n"/>
      <c r="B862" s="5" t="n"/>
      <c r="C862" s="5" t="n"/>
      <c r="D862" s="5" t="n"/>
      <c r="E862" s="6">
        <f>IF(A862="","","B"&amp;TEXT(COUNT($A$2:A862),"00000"))</f>
        <v/>
      </c>
      <c r="F862" s="6">
        <f>IF(OR(C862="",D862=""),"",IFERROR(LOOKUP(2,1/(($C$1:C861=C862)*($D$1:D861=D862)*ISNUMBER($J$1:J861)),$J$1:J861),SUMIFS(Master!$G$2:$G$13,Master!$E$2:$E$13,C862,Master!$F$2:$F$13,D862)))</f>
        <v/>
      </c>
      <c r="G862" s="5" t="n"/>
      <c r="H862" s="5" t="n"/>
      <c r="I862" s="5" t="n"/>
      <c r="J862" s="6">
        <f>IF(OR(F862="",COUNT(G862:I862)&lt;3),"",F862+G862-H862-I862)</f>
        <v/>
      </c>
      <c r="K862" s="6">
        <f>IF(COUNTA(A862:D862,G862:I862)=0,"",IF(COUNTA(A862:D862,G862:I862)&lt;7,"LENGKAPI",IF(H862+I862&gt;N(F862)+G862,"ABNORMAL",IF(COUNTIFS($A$2:$A$2001,A862,$B$2:$B$2001,B862,$C$2:$C$2001,C862,$D$2:$D$2001,D862)&gt;1,"DUPLIKAT","OK"))))</f>
        <v/>
      </c>
    </row>
    <row r="863">
      <c r="A863" s="4" t="n"/>
      <c r="B863" s="5" t="n"/>
      <c r="C863" s="5" t="n"/>
      <c r="D863" s="5" t="n"/>
      <c r="E863" s="6">
        <f>IF(A863="","","B"&amp;TEXT(COUNT($A$2:A863),"00000"))</f>
        <v/>
      </c>
      <c r="F863" s="6">
        <f>IF(OR(C863="",D863=""),"",IFERROR(LOOKUP(2,1/(($C$1:C862=C863)*($D$1:D862=D863)*ISNUMBER($J$1:J862)),$J$1:J862),SUMIFS(Master!$G$2:$G$13,Master!$E$2:$E$13,C863,Master!$F$2:$F$13,D863)))</f>
        <v/>
      </c>
      <c r="G863" s="5" t="n"/>
      <c r="H863" s="5" t="n"/>
      <c r="I863" s="5" t="n"/>
      <c r="J863" s="6">
        <f>IF(OR(F863="",COUNT(G863:I863)&lt;3),"",F863+G863-H863-I863)</f>
        <v/>
      </c>
      <c r="K863" s="6">
        <f>IF(COUNTA(A863:D863,G863:I863)=0,"",IF(COUNTA(A863:D863,G863:I863)&lt;7,"LENGKAPI",IF(H863+I863&gt;N(F863)+G863,"ABNORMAL",IF(COUNTIFS($A$2:$A$2001,A863,$B$2:$B$2001,B863,$C$2:$C$2001,C863,$D$2:$D$2001,D863)&gt;1,"DUPLIKAT","OK"))))</f>
        <v/>
      </c>
    </row>
    <row r="864">
      <c r="A864" s="4" t="n"/>
      <c r="B864" s="5" t="n"/>
      <c r="C864" s="5" t="n"/>
      <c r="D864" s="5" t="n"/>
      <c r="E864" s="6">
        <f>IF(A864="","","B"&amp;TEXT(COUNT($A$2:A864),"00000"))</f>
        <v/>
      </c>
      <c r="F864" s="6">
        <f>IF(OR(C864="",D864=""),"",IFERROR(LOOKUP(2,1/(($C$1:C863=C864)*($D$1:D863=D864)*ISNUMBER($J$1:J863)),$J$1:J863),SUMIFS(Master!$G$2:$G$13,Master!$E$2:$E$13,C864,Master!$F$2:$F$13,D864)))</f>
        <v/>
      </c>
      <c r="G864" s="5" t="n"/>
      <c r="H864" s="5" t="n"/>
      <c r="I864" s="5" t="n"/>
      <c r="J864" s="6">
        <f>IF(OR(F864="",COUNT(G864:I864)&lt;3),"",F864+G864-H864-I864)</f>
        <v/>
      </c>
      <c r="K864" s="6">
        <f>IF(COUNTA(A864:D864,G864:I864)=0,"",IF(COUNTA(A864:D864,G864:I864)&lt;7,"LENGKAPI",IF(H864+I864&gt;N(F864)+G864,"ABNORMAL",IF(COUNTIFS($A$2:$A$2001,A864,$B$2:$B$2001,B864,$C$2:$C$2001,C864,$D$2:$D$2001,D864)&gt;1,"DUPLIKAT","OK"))))</f>
        <v/>
      </c>
    </row>
    <row r="865">
      <c r="A865" s="4" t="n"/>
      <c r="B865" s="5" t="n"/>
      <c r="C865" s="5" t="n"/>
      <c r="D865" s="5" t="n"/>
      <c r="E865" s="6">
        <f>IF(A865="","","B"&amp;TEXT(COUNT($A$2:A865),"00000"))</f>
        <v/>
      </c>
      <c r="F865" s="6">
        <f>IF(OR(C865="",D865=""),"",IFERROR(LOOKUP(2,1/(($C$1:C864=C865)*($D$1:D864=D865)*ISNUMBER($J$1:J864)),$J$1:J864),SUMIFS(Master!$G$2:$G$13,Master!$E$2:$E$13,C865,Master!$F$2:$F$13,D865)))</f>
        <v/>
      </c>
      <c r="G865" s="5" t="n"/>
      <c r="H865" s="5" t="n"/>
      <c r="I865" s="5" t="n"/>
      <c r="J865" s="6">
        <f>IF(OR(F865="",COUNT(G865:I865)&lt;3),"",F865+G865-H865-I865)</f>
        <v/>
      </c>
      <c r="K865" s="6">
        <f>IF(COUNTA(A865:D865,G865:I865)=0,"",IF(COUNTA(A865:D865,G865:I865)&lt;7,"LENGKAPI",IF(H865+I865&gt;N(F865)+G865,"ABNORMAL",IF(COUNTIFS($A$2:$A$2001,A865,$B$2:$B$2001,B865,$C$2:$C$2001,C865,$D$2:$D$2001,D865)&gt;1,"DUPLIKAT","OK"))))</f>
        <v/>
      </c>
    </row>
    <row r="866">
      <c r="A866" s="4" t="n"/>
      <c r="B866" s="5" t="n"/>
      <c r="C866" s="5" t="n"/>
      <c r="D866" s="5" t="n"/>
      <c r="E866" s="6">
        <f>IF(A866="","","B"&amp;TEXT(COUNT($A$2:A866),"00000"))</f>
        <v/>
      </c>
      <c r="F866" s="6">
        <f>IF(OR(C866="",D866=""),"",IFERROR(LOOKUP(2,1/(($C$1:C865=C866)*($D$1:D865=D866)*ISNUMBER($J$1:J865)),$J$1:J865),SUMIFS(Master!$G$2:$G$13,Master!$E$2:$E$13,C866,Master!$F$2:$F$13,D866)))</f>
        <v/>
      </c>
      <c r="G866" s="5" t="n"/>
      <c r="H866" s="5" t="n"/>
      <c r="I866" s="5" t="n"/>
      <c r="J866" s="6">
        <f>IF(OR(F866="",COUNT(G866:I866)&lt;3),"",F866+G866-H866-I866)</f>
        <v/>
      </c>
      <c r="K866" s="6">
        <f>IF(COUNTA(A866:D866,G866:I866)=0,"",IF(COUNTA(A866:D866,G866:I866)&lt;7,"LENGKAPI",IF(H866+I866&gt;N(F866)+G866,"ABNORMAL",IF(COUNTIFS($A$2:$A$2001,A866,$B$2:$B$2001,B866,$C$2:$C$2001,C866,$D$2:$D$2001,D866)&gt;1,"DUPLIKAT","OK"))))</f>
        <v/>
      </c>
    </row>
    <row r="867">
      <c r="A867" s="4" t="n"/>
      <c r="B867" s="5" t="n"/>
      <c r="C867" s="5" t="n"/>
      <c r="D867" s="5" t="n"/>
      <c r="E867" s="6">
        <f>IF(A867="","","B"&amp;TEXT(COUNT($A$2:A867),"00000"))</f>
        <v/>
      </c>
      <c r="F867" s="6">
        <f>IF(OR(C867="",D867=""),"",IFERROR(LOOKUP(2,1/(($C$1:C866=C867)*($D$1:D866=D867)*ISNUMBER($J$1:J866)),$J$1:J866),SUMIFS(Master!$G$2:$G$13,Master!$E$2:$E$13,C867,Master!$F$2:$F$13,D867)))</f>
        <v/>
      </c>
      <c r="G867" s="5" t="n"/>
      <c r="H867" s="5" t="n"/>
      <c r="I867" s="5" t="n"/>
      <c r="J867" s="6">
        <f>IF(OR(F867="",COUNT(G867:I867)&lt;3),"",F867+G867-H867-I867)</f>
        <v/>
      </c>
      <c r="K867" s="6">
        <f>IF(COUNTA(A867:D867,G867:I867)=0,"",IF(COUNTA(A867:D867,G867:I867)&lt;7,"LENGKAPI",IF(H867+I867&gt;N(F867)+G867,"ABNORMAL",IF(COUNTIFS($A$2:$A$2001,A867,$B$2:$B$2001,B867,$C$2:$C$2001,C867,$D$2:$D$2001,D867)&gt;1,"DUPLIKAT","OK"))))</f>
        <v/>
      </c>
    </row>
    <row r="868">
      <c r="A868" s="4" t="n"/>
      <c r="B868" s="5" t="n"/>
      <c r="C868" s="5" t="n"/>
      <c r="D868" s="5" t="n"/>
      <c r="E868" s="6">
        <f>IF(A868="","","B"&amp;TEXT(COUNT($A$2:A868),"00000"))</f>
        <v/>
      </c>
      <c r="F868" s="6">
        <f>IF(OR(C868="",D868=""),"",IFERROR(LOOKUP(2,1/(($C$1:C867=C868)*($D$1:D867=D868)*ISNUMBER($J$1:J867)),$J$1:J867),SUMIFS(Master!$G$2:$G$13,Master!$E$2:$E$13,C868,Master!$F$2:$F$13,D868)))</f>
        <v/>
      </c>
      <c r="G868" s="5" t="n"/>
      <c r="H868" s="5" t="n"/>
      <c r="I868" s="5" t="n"/>
      <c r="J868" s="6">
        <f>IF(OR(F868="",COUNT(G868:I868)&lt;3),"",F868+G868-H868-I868)</f>
        <v/>
      </c>
      <c r="K868" s="6">
        <f>IF(COUNTA(A868:D868,G868:I868)=0,"",IF(COUNTA(A868:D868,G868:I868)&lt;7,"LENGKAPI",IF(H868+I868&gt;N(F868)+G868,"ABNORMAL",IF(COUNTIFS($A$2:$A$2001,A868,$B$2:$B$2001,B868,$C$2:$C$2001,C868,$D$2:$D$2001,D868)&gt;1,"DUPLIKAT","OK"))))</f>
        <v/>
      </c>
    </row>
    <row r="869">
      <c r="A869" s="4" t="n"/>
      <c r="B869" s="5" t="n"/>
      <c r="C869" s="5" t="n"/>
      <c r="D869" s="5" t="n"/>
      <c r="E869" s="6">
        <f>IF(A869="","","B"&amp;TEXT(COUNT($A$2:A869),"00000"))</f>
        <v/>
      </c>
      <c r="F869" s="6">
        <f>IF(OR(C869="",D869=""),"",IFERROR(LOOKUP(2,1/(($C$1:C868=C869)*($D$1:D868=D869)*ISNUMBER($J$1:J868)),$J$1:J868),SUMIFS(Master!$G$2:$G$13,Master!$E$2:$E$13,C869,Master!$F$2:$F$13,D869)))</f>
        <v/>
      </c>
      <c r="G869" s="5" t="n"/>
      <c r="H869" s="5" t="n"/>
      <c r="I869" s="5" t="n"/>
      <c r="J869" s="6">
        <f>IF(OR(F869="",COUNT(G869:I869)&lt;3),"",F869+G869-H869-I869)</f>
        <v/>
      </c>
      <c r="K869" s="6">
        <f>IF(COUNTA(A869:D869,G869:I869)=0,"",IF(COUNTA(A869:D869,G869:I869)&lt;7,"LENGKAPI",IF(H869+I869&gt;N(F869)+G869,"ABNORMAL",IF(COUNTIFS($A$2:$A$2001,A869,$B$2:$B$2001,B869,$C$2:$C$2001,C869,$D$2:$D$2001,D869)&gt;1,"DUPLIKAT","OK"))))</f>
        <v/>
      </c>
    </row>
    <row r="870">
      <c r="A870" s="4" t="n"/>
      <c r="B870" s="5" t="n"/>
      <c r="C870" s="5" t="n"/>
      <c r="D870" s="5" t="n"/>
      <c r="E870" s="6">
        <f>IF(A870="","","B"&amp;TEXT(COUNT($A$2:A870),"00000"))</f>
        <v/>
      </c>
      <c r="F870" s="6">
        <f>IF(OR(C870="",D870=""),"",IFERROR(LOOKUP(2,1/(($C$1:C869=C870)*($D$1:D869=D870)*ISNUMBER($J$1:J869)),$J$1:J869),SUMIFS(Master!$G$2:$G$13,Master!$E$2:$E$13,C870,Master!$F$2:$F$13,D870)))</f>
        <v/>
      </c>
      <c r="G870" s="5" t="n"/>
      <c r="H870" s="5" t="n"/>
      <c r="I870" s="5" t="n"/>
      <c r="J870" s="6">
        <f>IF(OR(F870="",COUNT(G870:I870)&lt;3),"",F870+G870-H870-I870)</f>
        <v/>
      </c>
      <c r="K870" s="6">
        <f>IF(COUNTA(A870:D870,G870:I870)=0,"",IF(COUNTA(A870:D870,G870:I870)&lt;7,"LENGKAPI",IF(H870+I870&gt;N(F870)+G870,"ABNORMAL",IF(COUNTIFS($A$2:$A$2001,A870,$B$2:$B$2001,B870,$C$2:$C$2001,C870,$D$2:$D$2001,D870)&gt;1,"DUPLIKAT","OK"))))</f>
        <v/>
      </c>
    </row>
    <row r="871">
      <c r="A871" s="4" t="n"/>
      <c r="B871" s="5" t="n"/>
      <c r="C871" s="5" t="n"/>
      <c r="D871" s="5" t="n"/>
      <c r="E871" s="6">
        <f>IF(A871="","","B"&amp;TEXT(COUNT($A$2:A871),"00000"))</f>
        <v/>
      </c>
      <c r="F871" s="6">
        <f>IF(OR(C871="",D871=""),"",IFERROR(LOOKUP(2,1/(($C$1:C870=C871)*($D$1:D870=D871)*ISNUMBER($J$1:J870)),$J$1:J870),SUMIFS(Master!$G$2:$G$13,Master!$E$2:$E$13,C871,Master!$F$2:$F$13,D871)))</f>
        <v/>
      </c>
      <c r="G871" s="5" t="n"/>
      <c r="H871" s="5" t="n"/>
      <c r="I871" s="5" t="n"/>
      <c r="J871" s="6">
        <f>IF(OR(F871="",COUNT(G871:I871)&lt;3),"",F871+G871-H871-I871)</f>
        <v/>
      </c>
      <c r="K871" s="6">
        <f>IF(COUNTA(A871:D871,G871:I871)=0,"",IF(COUNTA(A871:D871,G871:I871)&lt;7,"LENGKAPI",IF(H871+I871&gt;N(F871)+G871,"ABNORMAL",IF(COUNTIFS($A$2:$A$2001,A871,$B$2:$B$2001,B871,$C$2:$C$2001,C871,$D$2:$D$2001,D871)&gt;1,"DUPLIKAT","OK"))))</f>
        <v/>
      </c>
    </row>
    <row r="872">
      <c r="A872" s="4" t="n"/>
      <c r="B872" s="5" t="n"/>
      <c r="C872" s="5" t="n"/>
      <c r="D872" s="5" t="n"/>
      <c r="E872" s="6">
        <f>IF(A872="","","B"&amp;TEXT(COUNT($A$2:A872),"00000"))</f>
        <v/>
      </c>
      <c r="F872" s="6">
        <f>IF(OR(C872="",D872=""),"",IFERROR(LOOKUP(2,1/(($C$1:C871=C872)*($D$1:D871=D872)*ISNUMBER($J$1:J871)),$J$1:J871),SUMIFS(Master!$G$2:$G$13,Master!$E$2:$E$13,C872,Master!$F$2:$F$13,D872)))</f>
        <v/>
      </c>
      <c r="G872" s="5" t="n"/>
      <c r="H872" s="5" t="n"/>
      <c r="I872" s="5" t="n"/>
      <c r="J872" s="6">
        <f>IF(OR(F872="",COUNT(G872:I872)&lt;3),"",F872+G872-H872-I872)</f>
        <v/>
      </c>
      <c r="K872" s="6">
        <f>IF(COUNTA(A872:D872,G872:I872)=0,"",IF(COUNTA(A872:D872,G872:I872)&lt;7,"LENGKAPI",IF(H872+I872&gt;N(F872)+G872,"ABNORMAL",IF(COUNTIFS($A$2:$A$2001,A872,$B$2:$B$2001,B872,$C$2:$C$2001,C872,$D$2:$D$2001,D872)&gt;1,"DUPLIKAT","OK"))))</f>
        <v/>
      </c>
    </row>
    <row r="873">
      <c r="A873" s="4" t="n"/>
      <c r="B873" s="5" t="n"/>
      <c r="C873" s="5" t="n"/>
      <c r="D873" s="5" t="n"/>
      <c r="E873" s="6">
        <f>IF(A873="","","B"&amp;TEXT(COUNT($A$2:A873),"00000"))</f>
        <v/>
      </c>
      <c r="F873" s="6">
        <f>IF(OR(C873="",D873=""),"",IFERROR(LOOKUP(2,1/(($C$1:C872=C873)*($D$1:D872=D873)*ISNUMBER($J$1:J872)),$J$1:J872),SUMIFS(Master!$G$2:$G$13,Master!$E$2:$E$13,C873,Master!$F$2:$F$13,D873)))</f>
        <v/>
      </c>
      <c r="G873" s="5" t="n"/>
      <c r="H873" s="5" t="n"/>
      <c r="I873" s="5" t="n"/>
      <c r="J873" s="6">
        <f>IF(OR(F873="",COUNT(G873:I873)&lt;3),"",F873+G873-H873-I873)</f>
        <v/>
      </c>
      <c r="K873" s="6">
        <f>IF(COUNTA(A873:D873,G873:I873)=0,"",IF(COUNTA(A873:D873,G873:I873)&lt;7,"LENGKAPI",IF(H873+I873&gt;N(F873)+G873,"ABNORMAL",IF(COUNTIFS($A$2:$A$2001,A873,$B$2:$B$2001,B873,$C$2:$C$2001,C873,$D$2:$D$2001,D873)&gt;1,"DUPLIKAT","OK"))))</f>
        <v/>
      </c>
    </row>
    <row r="874">
      <c r="A874" s="4" t="n"/>
      <c r="B874" s="5" t="n"/>
      <c r="C874" s="5" t="n"/>
      <c r="D874" s="5" t="n"/>
      <c r="E874" s="6">
        <f>IF(A874="","","B"&amp;TEXT(COUNT($A$2:A874),"00000"))</f>
        <v/>
      </c>
      <c r="F874" s="6">
        <f>IF(OR(C874="",D874=""),"",IFERROR(LOOKUP(2,1/(($C$1:C873=C874)*($D$1:D873=D874)*ISNUMBER($J$1:J873)),$J$1:J873),SUMIFS(Master!$G$2:$G$13,Master!$E$2:$E$13,C874,Master!$F$2:$F$13,D874)))</f>
        <v/>
      </c>
      <c r="G874" s="5" t="n"/>
      <c r="H874" s="5" t="n"/>
      <c r="I874" s="5" t="n"/>
      <c r="J874" s="6">
        <f>IF(OR(F874="",COUNT(G874:I874)&lt;3),"",F874+G874-H874-I874)</f>
        <v/>
      </c>
      <c r="K874" s="6">
        <f>IF(COUNTA(A874:D874,G874:I874)=0,"",IF(COUNTA(A874:D874,G874:I874)&lt;7,"LENGKAPI",IF(H874+I874&gt;N(F874)+G874,"ABNORMAL",IF(COUNTIFS($A$2:$A$2001,A874,$B$2:$B$2001,B874,$C$2:$C$2001,C874,$D$2:$D$2001,D874)&gt;1,"DUPLIKAT","OK"))))</f>
        <v/>
      </c>
    </row>
    <row r="875">
      <c r="A875" s="4" t="n"/>
      <c r="B875" s="5" t="n"/>
      <c r="C875" s="5" t="n"/>
      <c r="D875" s="5" t="n"/>
      <c r="E875" s="6">
        <f>IF(A875="","","B"&amp;TEXT(COUNT($A$2:A875),"00000"))</f>
        <v/>
      </c>
      <c r="F875" s="6">
        <f>IF(OR(C875="",D875=""),"",IFERROR(LOOKUP(2,1/(($C$1:C874=C875)*($D$1:D874=D875)*ISNUMBER($J$1:J874)),$J$1:J874),SUMIFS(Master!$G$2:$G$13,Master!$E$2:$E$13,C875,Master!$F$2:$F$13,D875)))</f>
        <v/>
      </c>
      <c r="G875" s="5" t="n"/>
      <c r="H875" s="5" t="n"/>
      <c r="I875" s="5" t="n"/>
      <c r="J875" s="6">
        <f>IF(OR(F875="",COUNT(G875:I875)&lt;3),"",F875+G875-H875-I875)</f>
        <v/>
      </c>
      <c r="K875" s="6">
        <f>IF(COUNTA(A875:D875,G875:I875)=0,"",IF(COUNTA(A875:D875,G875:I875)&lt;7,"LENGKAPI",IF(H875+I875&gt;N(F875)+G875,"ABNORMAL",IF(COUNTIFS($A$2:$A$2001,A875,$B$2:$B$2001,B875,$C$2:$C$2001,C875,$D$2:$D$2001,D875)&gt;1,"DUPLIKAT","OK"))))</f>
        <v/>
      </c>
    </row>
    <row r="876">
      <c r="A876" s="4" t="n"/>
      <c r="B876" s="5" t="n"/>
      <c r="C876" s="5" t="n"/>
      <c r="D876" s="5" t="n"/>
      <c r="E876" s="6">
        <f>IF(A876="","","B"&amp;TEXT(COUNT($A$2:A876),"00000"))</f>
        <v/>
      </c>
      <c r="F876" s="6">
        <f>IF(OR(C876="",D876=""),"",IFERROR(LOOKUP(2,1/(($C$1:C875=C876)*($D$1:D875=D876)*ISNUMBER($J$1:J875)),$J$1:J875),SUMIFS(Master!$G$2:$G$13,Master!$E$2:$E$13,C876,Master!$F$2:$F$13,D876)))</f>
        <v/>
      </c>
      <c r="G876" s="5" t="n"/>
      <c r="H876" s="5" t="n"/>
      <c r="I876" s="5" t="n"/>
      <c r="J876" s="6">
        <f>IF(OR(F876="",COUNT(G876:I876)&lt;3),"",F876+G876-H876-I876)</f>
        <v/>
      </c>
      <c r="K876" s="6">
        <f>IF(COUNTA(A876:D876,G876:I876)=0,"",IF(COUNTA(A876:D876,G876:I876)&lt;7,"LENGKAPI",IF(H876+I876&gt;N(F876)+G876,"ABNORMAL",IF(COUNTIFS($A$2:$A$2001,A876,$B$2:$B$2001,B876,$C$2:$C$2001,C876,$D$2:$D$2001,D876)&gt;1,"DUPLIKAT","OK"))))</f>
        <v/>
      </c>
    </row>
    <row r="877">
      <c r="A877" s="4" t="n"/>
      <c r="B877" s="5" t="n"/>
      <c r="C877" s="5" t="n"/>
      <c r="D877" s="5" t="n"/>
      <c r="E877" s="6">
        <f>IF(A877="","","B"&amp;TEXT(COUNT($A$2:A877),"00000"))</f>
        <v/>
      </c>
      <c r="F877" s="6">
        <f>IF(OR(C877="",D877=""),"",IFERROR(LOOKUP(2,1/(($C$1:C876=C877)*($D$1:D876=D877)*ISNUMBER($J$1:J876)),$J$1:J876),SUMIFS(Master!$G$2:$G$13,Master!$E$2:$E$13,C877,Master!$F$2:$F$13,D877)))</f>
        <v/>
      </c>
      <c r="G877" s="5" t="n"/>
      <c r="H877" s="5" t="n"/>
      <c r="I877" s="5" t="n"/>
      <c r="J877" s="6">
        <f>IF(OR(F877="",COUNT(G877:I877)&lt;3),"",F877+G877-H877-I877)</f>
        <v/>
      </c>
      <c r="K877" s="6">
        <f>IF(COUNTA(A877:D877,G877:I877)=0,"",IF(COUNTA(A877:D877,G877:I877)&lt;7,"LENGKAPI",IF(H877+I877&gt;N(F877)+G877,"ABNORMAL",IF(COUNTIFS($A$2:$A$2001,A877,$B$2:$B$2001,B877,$C$2:$C$2001,C877,$D$2:$D$2001,D877)&gt;1,"DUPLIKAT","OK"))))</f>
        <v/>
      </c>
    </row>
    <row r="878">
      <c r="A878" s="4" t="n"/>
      <c r="B878" s="5" t="n"/>
      <c r="C878" s="5" t="n"/>
      <c r="D878" s="5" t="n"/>
      <c r="E878" s="6">
        <f>IF(A878="","","B"&amp;TEXT(COUNT($A$2:A878),"00000"))</f>
        <v/>
      </c>
      <c r="F878" s="6">
        <f>IF(OR(C878="",D878=""),"",IFERROR(LOOKUP(2,1/(($C$1:C877=C878)*($D$1:D877=D878)*ISNUMBER($J$1:J877)),$J$1:J877),SUMIFS(Master!$G$2:$G$13,Master!$E$2:$E$13,C878,Master!$F$2:$F$13,D878)))</f>
        <v/>
      </c>
      <c r="G878" s="5" t="n"/>
      <c r="H878" s="5" t="n"/>
      <c r="I878" s="5" t="n"/>
      <c r="J878" s="6">
        <f>IF(OR(F878="",COUNT(G878:I878)&lt;3),"",F878+G878-H878-I878)</f>
        <v/>
      </c>
      <c r="K878" s="6">
        <f>IF(COUNTA(A878:D878,G878:I878)=0,"",IF(COUNTA(A878:D878,G878:I878)&lt;7,"LENGKAPI",IF(H878+I878&gt;N(F878)+G878,"ABNORMAL",IF(COUNTIFS($A$2:$A$2001,A878,$B$2:$B$2001,B878,$C$2:$C$2001,C878,$D$2:$D$2001,D878)&gt;1,"DUPLIKAT","OK"))))</f>
        <v/>
      </c>
    </row>
    <row r="879">
      <c r="A879" s="4" t="n"/>
      <c r="B879" s="5" t="n"/>
      <c r="C879" s="5" t="n"/>
      <c r="D879" s="5" t="n"/>
      <c r="E879" s="6">
        <f>IF(A879="","","B"&amp;TEXT(COUNT($A$2:A879),"00000"))</f>
        <v/>
      </c>
      <c r="F879" s="6">
        <f>IF(OR(C879="",D879=""),"",IFERROR(LOOKUP(2,1/(($C$1:C878=C879)*($D$1:D878=D879)*ISNUMBER($J$1:J878)),$J$1:J878),SUMIFS(Master!$G$2:$G$13,Master!$E$2:$E$13,C879,Master!$F$2:$F$13,D879)))</f>
        <v/>
      </c>
      <c r="G879" s="5" t="n"/>
      <c r="H879" s="5" t="n"/>
      <c r="I879" s="5" t="n"/>
      <c r="J879" s="6">
        <f>IF(OR(F879="",COUNT(G879:I879)&lt;3),"",F879+G879-H879-I879)</f>
        <v/>
      </c>
      <c r="K879" s="6">
        <f>IF(COUNTA(A879:D879,G879:I879)=0,"",IF(COUNTA(A879:D879,G879:I879)&lt;7,"LENGKAPI",IF(H879+I879&gt;N(F879)+G879,"ABNORMAL",IF(COUNTIFS($A$2:$A$2001,A879,$B$2:$B$2001,B879,$C$2:$C$2001,C879,$D$2:$D$2001,D879)&gt;1,"DUPLIKAT","OK"))))</f>
        <v/>
      </c>
    </row>
    <row r="880">
      <c r="A880" s="4" t="n"/>
      <c r="B880" s="5" t="n"/>
      <c r="C880" s="5" t="n"/>
      <c r="D880" s="5" t="n"/>
      <c r="E880" s="6">
        <f>IF(A880="","","B"&amp;TEXT(COUNT($A$2:A880),"00000"))</f>
        <v/>
      </c>
      <c r="F880" s="6">
        <f>IF(OR(C880="",D880=""),"",IFERROR(LOOKUP(2,1/(($C$1:C879=C880)*($D$1:D879=D880)*ISNUMBER($J$1:J879)),$J$1:J879),SUMIFS(Master!$G$2:$G$13,Master!$E$2:$E$13,C880,Master!$F$2:$F$13,D880)))</f>
        <v/>
      </c>
      <c r="G880" s="5" t="n"/>
      <c r="H880" s="5" t="n"/>
      <c r="I880" s="5" t="n"/>
      <c r="J880" s="6">
        <f>IF(OR(F880="",COUNT(G880:I880)&lt;3),"",F880+G880-H880-I880)</f>
        <v/>
      </c>
      <c r="K880" s="6">
        <f>IF(COUNTA(A880:D880,G880:I880)=0,"",IF(COUNTA(A880:D880,G880:I880)&lt;7,"LENGKAPI",IF(H880+I880&gt;N(F880)+G880,"ABNORMAL",IF(COUNTIFS($A$2:$A$2001,A880,$B$2:$B$2001,B880,$C$2:$C$2001,C880,$D$2:$D$2001,D880)&gt;1,"DUPLIKAT","OK"))))</f>
        <v/>
      </c>
    </row>
    <row r="881">
      <c r="A881" s="4" t="n"/>
      <c r="B881" s="5" t="n"/>
      <c r="C881" s="5" t="n"/>
      <c r="D881" s="5" t="n"/>
      <c r="E881" s="6">
        <f>IF(A881="","","B"&amp;TEXT(COUNT($A$2:A881),"00000"))</f>
        <v/>
      </c>
      <c r="F881" s="6">
        <f>IF(OR(C881="",D881=""),"",IFERROR(LOOKUP(2,1/(($C$1:C880=C881)*($D$1:D880=D881)*ISNUMBER($J$1:J880)),$J$1:J880),SUMIFS(Master!$G$2:$G$13,Master!$E$2:$E$13,C881,Master!$F$2:$F$13,D881)))</f>
        <v/>
      </c>
      <c r="G881" s="5" t="n"/>
      <c r="H881" s="5" t="n"/>
      <c r="I881" s="5" t="n"/>
      <c r="J881" s="6">
        <f>IF(OR(F881="",COUNT(G881:I881)&lt;3),"",F881+G881-H881-I881)</f>
        <v/>
      </c>
      <c r="K881" s="6">
        <f>IF(COUNTA(A881:D881,G881:I881)=0,"",IF(COUNTA(A881:D881,G881:I881)&lt;7,"LENGKAPI",IF(H881+I881&gt;N(F881)+G881,"ABNORMAL",IF(COUNTIFS($A$2:$A$2001,A881,$B$2:$B$2001,B881,$C$2:$C$2001,C881,$D$2:$D$2001,D881)&gt;1,"DUPLIKAT","OK"))))</f>
        <v/>
      </c>
    </row>
    <row r="882">
      <c r="A882" s="4" t="n"/>
      <c r="B882" s="5" t="n"/>
      <c r="C882" s="5" t="n"/>
      <c r="D882" s="5" t="n"/>
      <c r="E882" s="6">
        <f>IF(A882="","","B"&amp;TEXT(COUNT($A$2:A882),"00000"))</f>
        <v/>
      </c>
      <c r="F882" s="6">
        <f>IF(OR(C882="",D882=""),"",IFERROR(LOOKUP(2,1/(($C$1:C881=C882)*($D$1:D881=D882)*ISNUMBER($J$1:J881)),$J$1:J881),SUMIFS(Master!$G$2:$G$13,Master!$E$2:$E$13,C882,Master!$F$2:$F$13,D882)))</f>
        <v/>
      </c>
      <c r="G882" s="5" t="n"/>
      <c r="H882" s="5" t="n"/>
      <c r="I882" s="5" t="n"/>
      <c r="J882" s="6">
        <f>IF(OR(F882="",COUNT(G882:I882)&lt;3),"",F882+G882-H882-I882)</f>
        <v/>
      </c>
      <c r="K882" s="6">
        <f>IF(COUNTA(A882:D882,G882:I882)=0,"",IF(COUNTA(A882:D882,G882:I882)&lt;7,"LENGKAPI",IF(H882+I882&gt;N(F882)+G882,"ABNORMAL",IF(COUNTIFS($A$2:$A$2001,A882,$B$2:$B$2001,B882,$C$2:$C$2001,C882,$D$2:$D$2001,D882)&gt;1,"DUPLIKAT","OK"))))</f>
        <v/>
      </c>
    </row>
    <row r="883">
      <c r="A883" s="4" t="n"/>
      <c r="B883" s="5" t="n"/>
      <c r="C883" s="5" t="n"/>
      <c r="D883" s="5" t="n"/>
      <c r="E883" s="6">
        <f>IF(A883="","","B"&amp;TEXT(COUNT($A$2:A883),"00000"))</f>
        <v/>
      </c>
      <c r="F883" s="6">
        <f>IF(OR(C883="",D883=""),"",IFERROR(LOOKUP(2,1/(($C$1:C882=C883)*($D$1:D882=D883)*ISNUMBER($J$1:J882)),$J$1:J882),SUMIFS(Master!$G$2:$G$13,Master!$E$2:$E$13,C883,Master!$F$2:$F$13,D883)))</f>
        <v/>
      </c>
      <c r="G883" s="5" t="n"/>
      <c r="H883" s="5" t="n"/>
      <c r="I883" s="5" t="n"/>
      <c r="J883" s="6">
        <f>IF(OR(F883="",COUNT(G883:I883)&lt;3),"",F883+G883-H883-I883)</f>
        <v/>
      </c>
      <c r="K883" s="6">
        <f>IF(COUNTA(A883:D883,G883:I883)=0,"",IF(COUNTA(A883:D883,G883:I883)&lt;7,"LENGKAPI",IF(H883+I883&gt;N(F883)+G883,"ABNORMAL",IF(COUNTIFS($A$2:$A$2001,A883,$B$2:$B$2001,B883,$C$2:$C$2001,C883,$D$2:$D$2001,D883)&gt;1,"DUPLIKAT","OK"))))</f>
        <v/>
      </c>
    </row>
    <row r="884">
      <c r="A884" s="4" t="n"/>
      <c r="B884" s="5" t="n"/>
      <c r="C884" s="5" t="n"/>
      <c r="D884" s="5" t="n"/>
      <c r="E884" s="6">
        <f>IF(A884="","","B"&amp;TEXT(COUNT($A$2:A884),"00000"))</f>
        <v/>
      </c>
      <c r="F884" s="6">
        <f>IF(OR(C884="",D884=""),"",IFERROR(LOOKUP(2,1/(($C$1:C883=C884)*($D$1:D883=D884)*ISNUMBER($J$1:J883)),$J$1:J883),SUMIFS(Master!$G$2:$G$13,Master!$E$2:$E$13,C884,Master!$F$2:$F$13,D884)))</f>
        <v/>
      </c>
      <c r="G884" s="5" t="n"/>
      <c r="H884" s="5" t="n"/>
      <c r="I884" s="5" t="n"/>
      <c r="J884" s="6">
        <f>IF(OR(F884="",COUNT(G884:I884)&lt;3),"",F884+G884-H884-I884)</f>
        <v/>
      </c>
      <c r="K884" s="6">
        <f>IF(COUNTA(A884:D884,G884:I884)=0,"",IF(COUNTA(A884:D884,G884:I884)&lt;7,"LENGKAPI",IF(H884+I884&gt;N(F884)+G884,"ABNORMAL",IF(COUNTIFS($A$2:$A$2001,A884,$B$2:$B$2001,B884,$C$2:$C$2001,C884,$D$2:$D$2001,D884)&gt;1,"DUPLIKAT","OK"))))</f>
        <v/>
      </c>
    </row>
    <row r="885">
      <c r="A885" s="4" t="n"/>
      <c r="B885" s="5" t="n"/>
      <c r="C885" s="5" t="n"/>
      <c r="D885" s="5" t="n"/>
      <c r="E885" s="6">
        <f>IF(A885="","","B"&amp;TEXT(COUNT($A$2:A885),"00000"))</f>
        <v/>
      </c>
      <c r="F885" s="6">
        <f>IF(OR(C885="",D885=""),"",IFERROR(LOOKUP(2,1/(($C$1:C884=C885)*($D$1:D884=D885)*ISNUMBER($J$1:J884)),$J$1:J884),SUMIFS(Master!$G$2:$G$13,Master!$E$2:$E$13,C885,Master!$F$2:$F$13,D885)))</f>
        <v/>
      </c>
      <c r="G885" s="5" t="n"/>
      <c r="H885" s="5" t="n"/>
      <c r="I885" s="5" t="n"/>
      <c r="J885" s="6">
        <f>IF(OR(F885="",COUNT(G885:I885)&lt;3),"",F885+G885-H885-I885)</f>
        <v/>
      </c>
      <c r="K885" s="6">
        <f>IF(COUNTA(A885:D885,G885:I885)=0,"",IF(COUNTA(A885:D885,G885:I885)&lt;7,"LENGKAPI",IF(H885+I885&gt;N(F885)+G885,"ABNORMAL",IF(COUNTIFS($A$2:$A$2001,A885,$B$2:$B$2001,B885,$C$2:$C$2001,C885,$D$2:$D$2001,D885)&gt;1,"DUPLIKAT","OK"))))</f>
        <v/>
      </c>
    </row>
    <row r="886">
      <c r="A886" s="4" t="n"/>
      <c r="B886" s="5" t="n"/>
      <c r="C886" s="5" t="n"/>
      <c r="D886" s="5" t="n"/>
      <c r="E886" s="6">
        <f>IF(A886="","","B"&amp;TEXT(COUNT($A$2:A886),"00000"))</f>
        <v/>
      </c>
      <c r="F886" s="6">
        <f>IF(OR(C886="",D886=""),"",IFERROR(LOOKUP(2,1/(($C$1:C885=C886)*($D$1:D885=D886)*ISNUMBER($J$1:J885)),$J$1:J885),SUMIFS(Master!$G$2:$G$13,Master!$E$2:$E$13,C886,Master!$F$2:$F$13,D886)))</f>
        <v/>
      </c>
      <c r="G886" s="5" t="n"/>
      <c r="H886" s="5" t="n"/>
      <c r="I886" s="5" t="n"/>
      <c r="J886" s="6">
        <f>IF(OR(F886="",COUNT(G886:I886)&lt;3),"",F886+G886-H886-I886)</f>
        <v/>
      </c>
      <c r="K886" s="6">
        <f>IF(COUNTA(A886:D886,G886:I886)=0,"",IF(COUNTA(A886:D886,G886:I886)&lt;7,"LENGKAPI",IF(H886+I886&gt;N(F886)+G886,"ABNORMAL",IF(COUNTIFS($A$2:$A$2001,A886,$B$2:$B$2001,B886,$C$2:$C$2001,C886,$D$2:$D$2001,D886)&gt;1,"DUPLIKAT","OK"))))</f>
        <v/>
      </c>
    </row>
    <row r="887">
      <c r="A887" s="4" t="n"/>
      <c r="B887" s="5" t="n"/>
      <c r="C887" s="5" t="n"/>
      <c r="D887" s="5" t="n"/>
      <c r="E887" s="6">
        <f>IF(A887="","","B"&amp;TEXT(COUNT($A$2:A887),"00000"))</f>
        <v/>
      </c>
      <c r="F887" s="6">
        <f>IF(OR(C887="",D887=""),"",IFERROR(LOOKUP(2,1/(($C$1:C886=C887)*($D$1:D886=D887)*ISNUMBER($J$1:J886)),$J$1:J886),SUMIFS(Master!$G$2:$G$13,Master!$E$2:$E$13,C887,Master!$F$2:$F$13,D887)))</f>
        <v/>
      </c>
      <c r="G887" s="5" t="n"/>
      <c r="H887" s="5" t="n"/>
      <c r="I887" s="5" t="n"/>
      <c r="J887" s="6">
        <f>IF(OR(F887="",COUNT(G887:I887)&lt;3),"",F887+G887-H887-I887)</f>
        <v/>
      </c>
      <c r="K887" s="6">
        <f>IF(COUNTA(A887:D887,G887:I887)=0,"",IF(COUNTA(A887:D887,G887:I887)&lt;7,"LENGKAPI",IF(H887+I887&gt;N(F887)+G887,"ABNORMAL",IF(COUNTIFS($A$2:$A$2001,A887,$B$2:$B$2001,B887,$C$2:$C$2001,C887,$D$2:$D$2001,D887)&gt;1,"DUPLIKAT","OK"))))</f>
        <v/>
      </c>
    </row>
    <row r="888">
      <c r="A888" s="4" t="n"/>
      <c r="B888" s="5" t="n"/>
      <c r="C888" s="5" t="n"/>
      <c r="D888" s="5" t="n"/>
      <c r="E888" s="6">
        <f>IF(A888="","","B"&amp;TEXT(COUNT($A$2:A888),"00000"))</f>
        <v/>
      </c>
      <c r="F888" s="6">
        <f>IF(OR(C888="",D888=""),"",IFERROR(LOOKUP(2,1/(($C$1:C887=C888)*($D$1:D887=D888)*ISNUMBER($J$1:J887)),$J$1:J887),SUMIFS(Master!$G$2:$G$13,Master!$E$2:$E$13,C888,Master!$F$2:$F$13,D888)))</f>
        <v/>
      </c>
      <c r="G888" s="5" t="n"/>
      <c r="H888" s="5" t="n"/>
      <c r="I888" s="5" t="n"/>
      <c r="J888" s="6">
        <f>IF(OR(F888="",COUNT(G888:I888)&lt;3),"",F888+G888-H888-I888)</f>
        <v/>
      </c>
      <c r="K888" s="6">
        <f>IF(COUNTA(A888:D888,G888:I888)=0,"",IF(COUNTA(A888:D888,G888:I888)&lt;7,"LENGKAPI",IF(H888+I888&gt;N(F888)+G888,"ABNORMAL",IF(COUNTIFS($A$2:$A$2001,A888,$B$2:$B$2001,B888,$C$2:$C$2001,C888,$D$2:$D$2001,D888)&gt;1,"DUPLIKAT","OK"))))</f>
        <v/>
      </c>
    </row>
    <row r="889">
      <c r="A889" s="4" t="n"/>
      <c r="B889" s="5" t="n"/>
      <c r="C889" s="5" t="n"/>
      <c r="D889" s="5" t="n"/>
      <c r="E889" s="6">
        <f>IF(A889="","","B"&amp;TEXT(COUNT($A$2:A889),"00000"))</f>
        <v/>
      </c>
      <c r="F889" s="6">
        <f>IF(OR(C889="",D889=""),"",IFERROR(LOOKUP(2,1/(($C$1:C888=C889)*($D$1:D888=D889)*ISNUMBER($J$1:J888)),$J$1:J888),SUMIFS(Master!$G$2:$G$13,Master!$E$2:$E$13,C889,Master!$F$2:$F$13,D889)))</f>
        <v/>
      </c>
      <c r="G889" s="5" t="n"/>
      <c r="H889" s="5" t="n"/>
      <c r="I889" s="5" t="n"/>
      <c r="J889" s="6">
        <f>IF(OR(F889="",COUNT(G889:I889)&lt;3),"",F889+G889-H889-I889)</f>
        <v/>
      </c>
      <c r="K889" s="6">
        <f>IF(COUNTA(A889:D889,G889:I889)=0,"",IF(COUNTA(A889:D889,G889:I889)&lt;7,"LENGKAPI",IF(H889+I889&gt;N(F889)+G889,"ABNORMAL",IF(COUNTIFS($A$2:$A$2001,A889,$B$2:$B$2001,B889,$C$2:$C$2001,C889,$D$2:$D$2001,D889)&gt;1,"DUPLIKAT","OK"))))</f>
        <v/>
      </c>
    </row>
    <row r="890">
      <c r="A890" s="4" t="n"/>
      <c r="B890" s="5" t="n"/>
      <c r="C890" s="5" t="n"/>
      <c r="D890" s="5" t="n"/>
      <c r="E890" s="6">
        <f>IF(A890="","","B"&amp;TEXT(COUNT($A$2:A890),"00000"))</f>
        <v/>
      </c>
      <c r="F890" s="6">
        <f>IF(OR(C890="",D890=""),"",IFERROR(LOOKUP(2,1/(($C$1:C889=C890)*($D$1:D889=D890)*ISNUMBER($J$1:J889)),$J$1:J889),SUMIFS(Master!$G$2:$G$13,Master!$E$2:$E$13,C890,Master!$F$2:$F$13,D890)))</f>
        <v/>
      </c>
      <c r="G890" s="5" t="n"/>
      <c r="H890" s="5" t="n"/>
      <c r="I890" s="5" t="n"/>
      <c r="J890" s="6">
        <f>IF(OR(F890="",COUNT(G890:I890)&lt;3),"",F890+G890-H890-I890)</f>
        <v/>
      </c>
      <c r="K890" s="6">
        <f>IF(COUNTA(A890:D890,G890:I890)=0,"",IF(COUNTA(A890:D890,G890:I890)&lt;7,"LENGKAPI",IF(H890+I890&gt;N(F890)+G890,"ABNORMAL",IF(COUNTIFS($A$2:$A$2001,A890,$B$2:$B$2001,B890,$C$2:$C$2001,C890,$D$2:$D$2001,D890)&gt;1,"DUPLIKAT","OK"))))</f>
        <v/>
      </c>
    </row>
    <row r="891">
      <c r="A891" s="4" t="n"/>
      <c r="B891" s="5" t="n"/>
      <c r="C891" s="5" t="n"/>
      <c r="D891" s="5" t="n"/>
      <c r="E891" s="6">
        <f>IF(A891="","","B"&amp;TEXT(COUNT($A$2:A891),"00000"))</f>
        <v/>
      </c>
      <c r="F891" s="6">
        <f>IF(OR(C891="",D891=""),"",IFERROR(LOOKUP(2,1/(($C$1:C890=C891)*($D$1:D890=D891)*ISNUMBER($J$1:J890)),$J$1:J890),SUMIFS(Master!$G$2:$G$13,Master!$E$2:$E$13,C891,Master!$F$2:$F$13,D891)))</f>
        <v/>
      </c>
      <c r="G891" s="5" t="n"/>
      <c r="H891" s="5" t="n"/>
      <c r="I891" s="5" t="n"/>
      <c r="J891" s="6">
        <f>IF(OR(F891="",COUNT(G891:I891)&lt;3),"",F891+G891-H891-I891)</f>
        <v/>
      </c>
      <c r="K891" s="6">
        <f>IF(COUNTA(A891:D891,G891:I891)=0,"",IF(COUNTA(A891:D891,G891:I891)&lt;7,"LENGKAPI",IF(H891+I891&gt;N(F891)+G891,"ABNORMAL",IF(COUNTIFS($A$2:$A$2001,A891,$B$2:$B$2001,B891,$C$2:$C$2001,C891,$D$2:$D$2001,D891)&gt;1,"DUPLIKAT","OK"))))</f>
        <v/>
      </c>
    </row>
    <row r="892">
      <c r="A892" s="4" t="n"/>
      <c r="B892" s="5" t="n"/>
      <c r="C892" s="5" t="n"/>
      <c r="D892" s="5" t="n"/>
      <c r="E892" s="6">
        <f>IF(A892="","","B"&amp;TEXT(COUNT($A$2:A892),"00000"))</f>
        <v/>
      </c>
      <c r="F892" s="6">
        <f>IF(OR(C892="",D892=""),"",IFERROR(LOOKUP(2,1/(($C$1:C891=C892)*($D$1:D891=D892)*ISNUMBER($J$1:J891)),$J$1:J891),SUMIFS(Master!$G$2:$G$13,Master!$E$2:$E$13,C892,Master!$F$2:$F$13,D892)))</f>
        <v/>
      </c>
      <c r="G892" s="5" t="n"/>
      <c r="H892" s="5" t="n"/>
      <c r="I892" s="5" t="n"/>
      <c r="J892" s="6">
        <f>IF(OR(F892="",COUNT(G892:I892)&lt;3),"",F892+G892-H892-I892)</f>
        <v/>
      </c>
      <c r="K892" s="6">
        <f>IF(COUNTA(A892:D892,G892:I892)=0,"",IF(COUNTA(A892:D892,G892:I892)&lt;7,"LENGKAPI",IF(H892+I892&gt;N(F892)+G892,"ABNORMAL",IF(COUNTIFS($A$2:$A$2001,A892,$B$2:$B$2001,B892,$C$2:$C$2001,C892,$D$2:$D$2001,D892)&gt;1,"DUPLIKAT","OK"))))</f>
        <v/>
      </c>
    </row>
    <row r="893">
      <c r="A893" s="4" t="n"/>
      <c r="B893" s="5" t="n"/>
      <c r="C893" s="5" t="n"/>
      <c r="D893" s="5" t="n"/>
      <c r="E893" s="6">
        <f>IF(A893="","","B"&amp;TEXT(COUNT($A$2:A893),"00000"))</f>
        <v/>
      </c>
      <c r="F893" s="6">
        <f>IF(OR(C893="",D893=""),"",IFERROR(LOOKUP(2,1/(($C$1:C892=C893)*($D$1:D892=D893)*ISNUMBER($J$1:J892)),$J$1:J892),SUMIFS(Master!$G$2:$G$13,Master!$E$2:$E$13,C893,Master!$F$2:$F$13,D893)))</f>
        <v/>
      </c>
      <c r="G893" s="5" t="n"/>
      <c r="H893" s="5" t="n"/>
      <c r="I893" s="5" t="n"/>
      <c r="J893" s="6">
        <f>IF(OR(F893="",COUNT(G893:I893)&lt;3),"",F893+G893-H893-I893)</f>
        <v/>
      </c>
      <c r="K893" s="6">
        <f>IF(COUNTA(A893:D893,G893:I893)=0,"",IF(COUNTA(A893:D893,G893:I893)&lt;7,"LENGKAPI",IF(H893+I893&gt;N(F893)+G893,"ABNORMAL",IF(COUNTIFS($A$2:$A$2001,A893,$B$2:$B$2001,B893,$C$2:$C$2001,C893,$D$2:$D$2001,D893)&gt;1,"DUPLIKAT","OK"))))</f>
        <v/>
      </c>
    </row>
    <row r="894">
      <c r="A894" s="4" t="n"/>
      <c r="B894" s="5" t="n"/>
      <c r="C894" s="5" t="n"/>
      <c r="D894" s="5" t="n"/>
      <c r="E894" s="6">
        <f>IF(A894="","","B"&amp;TEXT(COUNT($A$2:A894),"00000"))</f>
        <v/>
      </c>
      <c r="F894" s="6">
        <f>IF(OR(C894="",D894=""),"",IFERROR(LOOKUP(2,1/(($C$1:C893=C894)*($D$1:D893=D894)*ISNUMBER($J$1:J893)),$J$1:J893),SUMIFS(Master!$G$2:$G$13,Master!$E$2:$E$13,C894,Master!$F$2:$F$13,D894)))</f>
        <v/>
      </c>
      <c r="G894" s="5" t="n"/>
      <c r="H894" s="5" t="n"/>
      <c r="I894" s="5" t="n"/>
      <c r="J894" s="6">
        <f>IF(OR(F894="",COUNT(G894:I894)&lt;3),"",F894+G894-H894-I894)</f>
        <v/>
      </c>
      <c r="K894" s="6">
        <f>IF(COUNTA(A894:D894,G894:I894)=0,"",IF(COUNTA(A894:D894,G894:I894)&lt;7,"LENGKAPI",IF(H894+I894&gt;N(F894)+G894,"ABNORMAL",IF(COUNTIFS($A$2:$A$2001,A894,$B$2:$B$2001,B894,$C$2:$C$2001,C894,$D$2:$D$2001,D894)&gt;1,"DUPLIKAT","OK"))))</f>
        <v/>
      </c>
    </row>
    <row r="895">
      <c r="A895" s="4" t="n"/>
      <c r="B895" s="5" t="n"/>
      <c r="C895" s="5" t="n"/>
      <c r="D895" s="5" t="n"/>
      <c r="E895" s="6">
        <f>IF(A895="","","B"&amp;TEXT(COUNT($A$2:A895),"00000"))</f>
        <v/>
      </c>
      <c r="F895" s="6">
        <f>IF(OR(C895="",D895=""),"",IFERROR(LOOKUP(2,1/(($C$1:C894=C895)*($D$1:D894=D895)*ISNUMBER($J$1:J894)),$J$1:J894),SUMIFS(Master!$G$2:$G$13,Master!$E$2:$E$13,C895,Master!$F$2:$F$13,D895)))</f>
        <v/>
      </c>
      <c r="G895" s="5" t="n"/>
      <c r="H895" s="5" t="n"/>
      <c r="I895" s="5" t="n"/>
      <c r="J895" s="6">
        <f>IF(OR(F895="",COUNT(G895:I895)&lt;3),"",F895+G895-H895-I895)</f>
        <v/>
      </c>
      <c r="K895" s="6">
        <f>IF(COUNTA(A895:D895,G895:I895)=0,"",IF(COUNTA(A895:D895,G895:I895)&lt;7,"LENGKAPI",IF(H895+I895&gt;N(F895)+G895,"ABNORMAL",IF(COUNTIFS($A$2:$A$2001,A895,$B$2:$B$2001,B895,$C$2:$C$2001,C895,$D$2:$D$2001,D895)&gt;1,"DUPLIKAT","OK"))))</f>
        <v/>
      </c>
    </row>
    <row r="896">
      <c r="A896" s="4" t="n"/>
      <c r="B896" s="5" t="n"/>
      <c r="C896" s="5" t="n"/>
      <c r="D896" s="5" t="n"/>
      <c r="E896" s="6">
        <f>IF(A896="","","B"&amp;TEXT(COUNT($A$2:A896),"00000"))</f>
        <v/>
      </c>
      <c r="F896" s="6">
        <f>IF(OR(C896="",D896=""),"",IFERROR(LOOKUP(2,1/(($C$1:C895=C896)*($D$1:D895=D896)*ISNUMBER($J$1:J895)),$J$1:J895),SUMIFS(Master!$G$2:$G$13,Master!$E$2:$E$13,C896,Master!$F$2:$F$13,D896)))</f>
        <v/>
      </c>
      <c r="G896" s="5" t="n"/>
      <c r="H896" s="5" t="n"/>
      <c r="I896" s="5" t="n"/>
      <c r="J896" s="6">
        <f>IF(OR(F896="",COUNT(G896:I896)&lt;3),"",F896+G896-H896-I896)</f>
        <v/>
      </c>
      <c r="K896" s="6">
        <f>IF(COUNTA(A896:D896,G896:I896)=0,"",IF(COUNTA(A896:D896,G896:I896)&lt;7,"LENGKAPI",IF(H896+I896&gt;N(F896)+G896,"ABNORMAL",IF(COUNTIFS($A$2:$A$2001,A896,$B$2:$B$2001,B896,$C$2:$C$2001,C896,$D$2:$D$2001,D896)&gt;1,"DUPLIKAT","OK"))))</f>
        <v/>
      </c>
    </row>
    <row r="897">
      <c r="A897" s="4" t="n"/>
      <c r="B897" s="5" t="n"/>
      <c r="C897" s="5" t="n"/>
      <c r="D897" s="5" t="n"/>
      <c r="E897" s="6">
        <f>IF(A897="","","B"&amp;TEXT(COUNT($A$2:A897),"00000"))</f>
        <v/>
      </c>
      <c r="F897" s="6">
        <f>IF(OR(C897="",D897=""),"",IFERROR(LOOKUP(2,1/(($C$1:C896=C897)*($D$1:D896=D897)*ISNUMBER($J$1:J896)),$J$1:J896),SUMIFS(Master!$G$2:$G$13,Master!$E$2:$E$13,C897,Master!$F$2:$F$13,D897)))</f>
        <v/>
      </c>
      <c r="G897" s="5" t="n"/>
      <c r="H897" s="5" t="n"/>
      <c r="I897" s="5" t="n"/>
      <c r="J897" s="6">
        <f>IF(OR(F897="",COUNT(G897:I897)&lt;3),"",F897+G897-H897-I897)</f>
        <v/>
      </c>
      <c r="K897" s="6">
        <f>IF(COUNTA(A897:D897,G897:I897)=0,"",IF(COUNTA(A897:D897,G897:I897)&lt;7,"LENGKAPI",IF(H897+I897&gt;N(F897)+G897,"ABNORMAL",IF(COUNTIFS($A$2:$A$2001,A897,$B$2:$B$2001,B897,$C$2:$C$2001,C897,$D$2:$D$2001,D897)&gt;1,"DUPLIKAT","OK"))))</f>
        <v/>
      </c>
    </row>
    <row r="898">
      <c r="A898" s="4" t="n"/>
      <c r="B898" s="5" t="n"/>
      <c r="C898" s="5" t="n"/>
      <c r="D898" s="5" t="n"/>
      <c r="E898" s="6">
        <f>IF(A898="","","B"&amp;TEXT(COUNT($A$2:A898),"00000"))</f>
        <v/>
      </c>
      <c r="F898" s="6">
        <f>IF(OR(C898="",D898=""),"",IFERROR(LOOKUP(2,1/(($C$1:C897=C898)*($D$1:D897=D898)*ISNUMBER($J$1:J897)),$J$1:J897),SUMIFS(Master!$G$2:$G$13,Master!$E$2:$E$13,C898,Master!$F$2:$F$13,D898)))</f>
        <v/>
      </c>
      <c r="G898" s="5" t="n"/>
      <c r="H898" s="5" t="n"/>
      <c r="I898" s="5" t="n"/>
      <c r="J898" s="6">
        <f>IF(OR(F898="",COUNT(G898:I898)&lt;3),"",F898+G898-H898-I898)</f>
        <v/>
      </c>
      <c r="K898" s="6">
        <f>IF(COUNTA(A898:D898,G898:I898)=0,"",IF(COUNTA(A898:D898,G898:I898)&lt;7,"LENGKAPI",IF(H898+I898&gt;N(F898)+G898,"ABNORMAL",IF(COUNTIFS($A$2:$A$2001,A898,$B$2:$B$2001,B898,$C$2:$C$2001,C898,$D$2:$D$2001,D898)&gt;1,"DUPLIKAT","OK"))))</f>
        <v/>
      </c>
    </row>
    <row r="899">
      <c r="A899" s="4" t="n"/>
      <c r="B899" s="5" t="n"/>
      <c r="C899" s="5" t="n"/>
      <c r="D899" s="5" t="n"/>
      <c r="E899" s="6">
        <f>IF(A899="","","B"&amp;TEXT(COUNT($A$2:A899),"00000"))</f>
        <v/>
      </c>
      <c r="F899" s="6">
        <f>IF(OR(C899="",D899=""),"",IFERROR(LOOKUP(2,1/(($C$1:C898=C899)*($D$1:D898=D899)*ISNUMBER($J$1:J898)),$J$1:J898),SUMIFS(Master!$G$2:$G$13,Master!$E$2:$E$13,C899,Master!$F$2:$F$13,D899)))</f>
        <v/>
      </c>
      <c r="G899" s="5" t="n"/>
      <c r="H899" s="5" t="n"/>
      <c r="I899" s="5" t="n"/>
      <c r="J899" s="6">
        <f>IF(OR(F899="",COUNT(G899:I899)&lt;3),"",F899+G899-H899-I899)</f>
        <v/>
      </c>
      <c r="K899" s="6">
        <f>IF(COUNTA(A899:D899,G899:I899)=0,"",IF(COUNTA(A899:D899,G899:I899)&lt;7,"LENGKAPI",IF(H899+I899&gt;N(F899)+G899,"ABNORMAL",IF(COUNTIFS($A$2:$A$2001,A899,$B$2:$B$2001,B899,$C$2:$C$2001,C899,$D$2:$D$2001,D899)&gt;1,"DUPLIKAT","OK"))))</f>
        <v/>
      </c>
    </row>
    <row r="900">
      <c r="A900" s="4" t="n"/>
      <c r="B900" s="5" t="n"/>
      <c r="C900" s="5" t="n"/>
      <c r="D900" s="5" t="n"/>
      <c r="E900" s="6">
        <f>IF(A900="","","B"&amp;TEXT(COUNT($A$2:A900),"00000"))</f>
        <v/>
      </c>
      <c r="F900" s="6">
        <f>IF(OR(C900="",D900=""),"",IFERROR(LOOKUP(2,1/(($C$1:C899=C900)*($D$1:D899=D900)*ISNUMBER($J$1:J899)),$J$1:J899),SUMIFS(Master!$G$2:$G$13,Master!$E$2:$E$13,C900,Master!$F$2:$F$13,D900)))</f>
        <v/>
      </c>
      <c r="G900" s="5" t="n"/>
      <c r="H900" s="5" t="n"/>
      <c r="I900" s="5" t="n"/>
      <c r="J900" s="6">
        <f>IF(OR(F900="",COUNT(G900:I900)&lt;3),"",F900+G900-H900-I900)</f>
        <v/>
      </c>
      <c r="K900" s="6">
        <f>IF(COUNTA(A900:D900,G900:I900)=0,"",IF(COUNTA(A900:D900,G900:I900)&lt;7,"LENGKAPI",IF(H900+I900&gt;N(F900)+G900,"ABNORMAL",IF(COUNTIFS($A$2:$A$2001,A900,$B$2:$B$2001,B900,$C$2:$C$2001,C900,$D$2:$D$2001,D900)&gt;1,"DUPLIKAT","OK"))))</f>
        <v/>
      </c>
    </row>
    <row r="901">
      <c r="A901" s="4" t="n"/>
      <c r="B901" s="5" t="n"/>
      <c r="C901" s="5" t="n"/>
      <c r="D901" s="5" t="n"/>
      <c r="E901" s="6">
        <f>IF(A901="","","B"&amp;TEXT(COUNT($A$2:A901),"00000"))</f>
        <v/>
      </c>
      <c r="F901" s="6">
        <f>IF(OR(C901="",D901=""),"",IFERROR(LOOKUP(2,1/(($C$1:C900=C901)*($D$1:D900=D901)*ISNUMBER($J$1:J900)),$J$1:J900),SUMIFS(Master!$G$2:$G$13,Master!$E$2:$E$13,C901,Master!$F$2:$F$13,D901)))</f>
        <v/>
      </c>
      <c r="G901" s="5" t="n"/>
      <c r="H901" s="5" t="n"/>
      <c r="I901" s="5" t="n"/>
      <c r="J901" s="6">
        <f>IF(OR(F901="",COUNT(G901:I901)&lt;3),"",F901+G901-H901-I901)</f>
        <v/>
      </c>
      <c r="K901" s="6">
        <f>IF(COUNTA(A901:D901,G901:I901)=0,"",IF(COUNTA(A901:D901,G901:I901)&lt;7,"LENGKAPI",IF(H901+I901&gt;N(F901)+G901,"ABNORMAL",IF(COUNTIFS($A$2:$A$2001,A901,$B$2:$B$2001,B901,$C$2:$C$2001,C901,$D$2:$D$2001,D901)&gt;1,"DUPLIKAT","OK"))))</f>
        <v/>
      </c>
    </row>
    <row r="902">
      <c r="A902" s="4" t="n"/>
      <c r="B902" s="5" t="n"/>
      <c r="C902" s="5" t="n"/>
      <c r="D902" s="5" t="n"/>
      <c r="E902" s="6">
        <f>IF(A902="","","B"&amp;TEXT(COUNT($A$2:A902),"00000"))</f>
        <v/>
      </c>
      <c r="F902" s="6">
        <f>IF(OR(C902="",D902=""),"",IFERROR(LOOKUP(2,1/(($C$1:C901=C902)*($D$1:D901=D902)*ISNUMBER($J$1:J901)),$J$1:J901),SUMIFS(Master!$G$2:$G$13,Master!$E$2:$E$13,C902,Master!$F$2:$F$13,D902)))</f>
        <v/>
      </c>
      <c r="G902" s="5" t="n"/>
      <c r="H902" s="5" t="n"/>
      <c r="I902" s="5" t="n"/>
      <c r="J902" s="6">
        <f>IF(OR(F902="",COUNT(G902:I902)&lt;3),"",F902+G902-H902-I902)</f>
        <v/>
      </c>
      <c r="K902" s="6">
        <f>IF(COUNTA(A902:D902,G902:I902)=0,"",IF(COUNTA(A902:D902,G902:I902)&lt;7,"LENGKAPI",IF(H902+I902&gt;N(F902)+G902,"ABNORMAL",IF(COUNTIFS($A$2:$A$2001,A902,$B$2:$B$2001,B902,$C$2:$C$2001,C902,$D$2:$D$2001,D902)&gt;1,"DUPLIKAT","OK"))))</f>
        <v/>
      </c>
    </row>
    <row r="903">
      <c r="A903" s="4" t="n"/>
      <c r="B903" s="5" t="n"/>
      <c r="C903" s="5" t="n"/>
      <c r="D903" s="5" t="n"/>
      <c r="E903" s="6">
        <f>IF(A903="","","B"&amp;TEXT(COUNT($A$2:A903),"00000"))</f>
        <v/>
      </c>
      <c r="F903" s="6">
        <f>IF(OR(C903="",D903=""),"",IFERROR(LOOKUP(2,1/(($C$1:C902=C903)*($D$1:D902=D903)*ISNUMBER($J$1:J902)),$J$1:J902),SUMIFS(Master!$G$2:$G$13,Master!$E$2:$E$13,C903,Master!$F$2:$F$13,D903)))</f>
        <v/>
      </c>
      <c r="G903" s="5" t="n"/>
      <c r="H903" s="5" t="n"/>
      <c r="I903" s="5" t="n"/>
      <c r="J903" s="6">
        <f>IF(OR(F903="",COUNT(G903:I903)&lt;3),"",F903+G903-H903-I903)</f>
        <v/>
      </c>
      <c r="K903" s="6">
        <f>IF(COUNTA(A903:D903,G903:I903)=0,"",IF(COUNTA(A903:D903,G903:I903)&lt;7,"LENGKAPI",IF(H903+I903&gt;N(F903)+G903,"ABNORMAL",IF(COUNTIFS($A$2:$A$2001,A903,$B$2:$B$2001,B903,$C$2:$C$2001,C903,$D$2:$D$2001,D903)&gt;1,"DUPLIKAT","OK"))))</f>
        <v/>
      </c>
    </row>
    <row r="904">
      <c r="A904" s="4" t="n"/>
      <c r="B904" s="5" t="n"/>
      <c r="C904" s="5" t="n"/>
      <c r="D904" s="5" t="n"/>
      <c r="E904" s="6">
        <f>IF(A904="","","B"&amp;TEXT(COUNT($A$2:A904),"00000"))</f>
        <v/>
      </c>
      <c r="F904" s="6">
        <f>IF(OR(C904="",D904=""),"",IFERROR(LOOKUP(2,1/(($C$1:C903=C904)*($D$1:D903=D904)*ISNUMBER($J$1:J903)),$J$1:J903),SUMIFS(Master!$G$2:$G$13,Master!$E$2:$E$13,C904,Master!$F$2:$F$13,D904)))</f>
        <v/>
      </c>
      <c r="G904" s="5" t="n"/>
      <c r="H904" s="5" t="n"/>
      <c r="I904" s="5" t="n"/>
      <c r="J904" s="6">
        <f>IF(OR(F904="",COUNT(G904:I904)&lt;3),"",F904+G904-H904-I904)</f>
        <v/>
      </c>
      <c r="K904" s="6">
        <f>IF(COUNTA(A904:D904,G904:I904)=0,"",IF(COUNTA(A904:D904,G904:I904)&lt;7,"LENGKAPI",IF(H904+I904&gt;N(F904)+G904,"ABNORMAL",IF(COUNTIFS($A$2:$A$2001,A904,$B$2:$B$2001,B904,$C$2:$C$2001,C904,$D$2:$D$2001,D904)&gt;1,"DUPLIKAT","OK"))))</f>
        <v/>
      </c>
    </row>
    <row r="905">
      <c r="A905" s="4" t="n"/>
      <c r="B905" s="5" t="n"/>
      <c r="C905" s="5" t="n"/>
      <c r="D905" s="5" t="n"/>
      <c r="E905" s="6">
        <f>IF(A905="","","B"&amp;TEXT(COUNT($A$2:A905),"00000"))</f>
        <v/>
      </c>
      <c r="F905" s="6">
        <f>IF(OR(C905="",D905=""),"",IFERROR(LOOKUP(2,1/(($C$1:C904=C905)*($D$1:D904=D905)*ISNUMBER($J$1:J904)),$J$1:J904),SUMIFS(Master!$G$2:$G$13,Master!$E$2:$E$13,C905,Master!$F$2:$F$13,D905)))</f>
        <v/>
      </c>
      <c r="G905" s="5" t="n"/>
      <c r="H905" s="5" t="n"/>
      <c r="I905" s="5" t="n"/>
      <c r="J905" s="6">
        <f>IF(OR(F905="",COUNT(G905:I905)&lt;3),"",F905+G905-H905-I905)</f>
        <v/>
      </c>
      <c r="K905" s="6">
        <f>IF(COUNTA(A905:D905,G905:I905)=0,"",IF(COUNTA(A905:D905,G905:I905)&lt;7,"LENGKAPI",IF(H905+I905&gt;N(F905)+G905,"ABNORMAL",IF(COUNTIFS($A$2:$A$2001,A905,$B$2:$B$2001,B905,$C$2:$C$2001,C905,$D$2:$D$2001,D905)&gt;1,"DUPLIKAT","OK"))))</f>
        <v/>
      </c>
    </row>
    <row r="906">
      <c r="A906" s="4" t="n"/>
      <c r="B906" s="5" t="n"/>
      <c r="C906" s="5" t="n"/>
      <c r="D906" s="5" t="n"/>
      <c r="E906" s="6">
        <f>IF(A906="","","B"&amp;TEXT(COUNT($A$2:A906),"00000"))</f>
        <v/>
      </c>
      <c r="F906" s="6">
        <f>IF(OR(C906="",D906=""),"",IFERROR(LOOKUP(2,1/(($C$1:C905=C906)*($D$1:D905=D906)*ISNUMBER($J$1:J905)),$J$1:J905),SUMIFS(Master!$G$2:$G$13,Master!$E$2:$E$13,C906,Master!$F$2:$F$13,D906)))</f>
        <v/>
      </c>
      <c r="G906" s="5" t="n"/>
      <c r="H906" s="5" t="n"/>
      <c r="I906" s="5" t="n"/>
      <c r="J906" s="6">
        <f>IF(OR(F906="",COUNT(G906:I906)&lt;3),"",F906+G906-H906-I906)</f>
        <v/>
      </c>
      <c r="K906" s="6">
        <f>IF(COUNTA(A906:D906,G906:I906)=0,"",IF(COUNTA(A906:D906,G906:I906)&lt;7,"LENGKAPI",IF(H906+I906&gt;N(F906)+G906,"ABNORMAL",IF(COUNTIFS($A$2:$A$2001,A906,$B$2:$B$2001,B906,$C$2:$C$2001,C906,$D$2:$D$2001,D906)&gt;1,"DUPLIKAT","OK"))))</f>
        <v/>
      </c>
    </row>
    <row r="907">
      <c r="A907" s="4" t="n"/>
      <c r="B907" s="5" t="n"/>
      <c r="C907" s="5" t="n"/>
      <c r="D907" s="5" t="n"/>
      <c r="E907" s="6">
        <f>IF(A907="","","B"&amp;TEXT(COUNT($A$2:A907),"00000"))</f>
        <v/>
      </c>
      <c r="F907" s="6">
        <f>IF(OR(C907="",D907=""),"",IFERROR(LOOKUP(2,1/(($C$1:C906=C907)*($D$1:D906=D907)*ISNUMBER($J$1:J906)),$J$1:J906),SUMIFS(Master!$G$2:$G$13,Master!$E$2:$E$13,C907,Master!$F$2:$F$13,D907)))</f>
        <v/>
      </c>
      <c r="G907" s="5" t="n"/>
      <c r="H907" s="5" t="n"/>
      <c r="I907" s="5" t="n"/>
      <c r="J907" s="6">
        <f>IF(OR(F907="",COUNT(G907:I907)&lt;3),"",F907+G907-H907-I907)</f>
        <v/>
      </c>
      <c r="K907" s="6">
        <f>IF(COUNTA(A907:D907,G907:I907)=0,"",IF(COUNTA(A907:D907,G907:I907)&lt;7,"LENGKAPI",IF(H907+I907&gt;N(F907)+G907,"ABNORMAL",IF(COUNTIFS($A$2:$A$2001,A907,$B$2:$B$2001,B907,$C$2:$C$2001,C907,$D$2:$D$2001,D907)&gt;1,"DUPLIKAT","OK"))))</f>
        <v/>
      </c>
    </row>
    <row r="908">
      <c r="A908" s="4" t="n"/>
      <c r="B908" s="5" t="n"/>
      <c r="C908" s="5" t="n"/>
      <c r="D908" s="5" t="n"/>
      <c r="E908" s="6">
        <f>IF(A908="","","B"&amp;TEXT(COUNT($A$2:A908),"00000"))</f>
        <v/>
      </c>
      <c r="F908" s="6">
        <f>IF(OR(C908="",D908=""),"",IFERROR(LOOKUP(2,1/(($C$1:C907=C908)*($D$1:D907=D908)*ISNUMBER($J$1:J907)),$J$1:J907),SUMIFS(Master!$G$2:$G$13,Master!$E$2:$E$13,C908,Master!$F$2:$F$13,D908)))</f>
        <v/>
      </c>
      <c r="G908" s="5" t="n"/>
      <c r="H908" s="5" t="n"/>
      <c r="I908" s="5" t="n"/>
      <c r="J908" s="6">
        <f>IF(OR(F908="",COUNT(G908:I908)&lt;3),"",F908+G908-H908-I908)</f>
        <v/>
      </c>
      <c r="K908" s="6">
        <f>IF(COUNTA(A908:D908,G908:I908)=0,"",IF(COUNTA(A908:D908,G908:I908)&lt;7,"LENGKAPI",IF(H908+I908&gt;N(F908)+G908,"ABNORMAL",IF(COUNTIFS($A$2:$A$2001,A908,$B$2:$B$2001,B908,$C$2:$C$2001,C908,$D$2:$D$2001,D908)&gt;1,"DUPLIKAT","OK"))))</f>
        <v/>
      </c>
    </row>
    <row r="909">
      <c r="A909" s="4" t="n"/>
      <c r="B909" s="5" t="n"/>
      <c r="C909" s="5" t="n"/>
      <c r="D909" s="5" t="n"/>
      <c r="E909" s="6">
        <f>IF(A909="","","B"&amp;TEXT(COUNT($A$2:A909),"00000"))</f>
        <v/>
      </c>
      <c r="F909" s="6">
        <f>IF(OR(C909="",D909=""),"",IFERROR(LOOKUP(2,1/(($C$1:C908=C909)*($D$1:D908=D909)*ISNUMBER($J$1:J908)),$J$1:J908),SUMIFS(Master!$G$2:$G$13,Master!$E$2:$E$13,C909,Master!$F$2:$F$13,D909)))</f>
        <v/>
      </c>
      <c r="G909" s="5" t="n"/>
      <c r="H909" s="5" t="n"/>
      <c r="I909" s="5" t="n"/>
      <c r="J909" s="6">
        <f>IF(OR(F909="",COUNT(G909:I909)&lt;3),"",F909+G909-H909-I909)</f>
        <v/>
      </c>
      <c r="K909" s="6">
        <f>IF(COUNTA(A909:D909,G909:I909)=0,"",IF(COUNTA(A909:D909,G909:I909)&lt;7,"LENGKAPI",IF(H909+I909&gt;N(F909)+G909,"ABNORMAL",IF(COUNTIFS($A$2:$A$2001,A909,$B$2:$B$2001,B909,$C$2:$C$2001,C909,$D$2:$D$2001,D909)&gt;1,"DUPLIKAT","OK"))))</f>
        <v/>
      </c>
    </row>
    <row r="910">
      <c r="A910" s="4" t="n"/>
      <c r="B910" s="5" t="n"/>
      <c r="C910" s="5" t="n"/>
      <c r="D910" s="5" t="n"/>
      <c r="E910" s="6">
        <f>IF(A910="","","B"&amp;TEXT(COUNT($A$2:A910),"00000"))</f>
        <v/>
      </c>
      <c r="F910" s="6">
        <f>IF(OR(C910="",D910=""),"",IFERROR(LOOKUP(2,1/(($C$1:C909=C910)*($D$1:D909=D910)*ISNUMBER($J$1:J909)),$J$1:J909),SUMIFS(Master!$G$2:$G$13,Master!$E$2:$E$13,C910,Master!$F$2:$F$13,D910)))</f>
        <v/>
      </c>
      <c r="G910" s="5" t="n"/>
      <c r="H910" s="5" t="n"/>
      <c r="I910" s="5" t="n"/>
      <c r="J910" s="6">
        <f>IF(OR(F910="",COUNT(G910:I910)&lt;3),"",F910+G910-H910-I910)</f>
        <v/>
      </c>
      <c r="K910" s="6">
        <f>IF(COUNTA(A910:D910,G910:I910)=0,"",IF(COUNTA(A910:D910,G910:I910)&lt;7,"LENGKAPI",IF(H910+I910&gt;N(F910)+G910,"ABNORMAL",IF(COUNTIFS($A$2:$A$2001,A910,$B$2:$B$2001,B910,$C$2:$C$2001,C910,$D$2:$D$2001,D910)&gt;1,"DUPLIKAT","OK"))))</f>
        <v/>
      </c>
    </row>
    <row r="911">
      <c r="A911" s="4" t="n"/>
      <c r="B911" s="5" t="n"/>
      <c r="C911" s="5" t="n"/>
      <c r="D911" s="5" t="n"/>
      <c r="E911" s="6">
        <f>IF(A911="","","B"&amp;TEXT(COUNT($A$2:A911),"00000"))</f>
        <v/>
      </c>
      <c r="F911" s="6">
        <f>IF(OR(C911="",D911=""),"",IFERROR(LOOKUP(2,1/(($C$1:C910=C911)*($D$1:D910=D911)*ISNUMBER($J$1:J910)),$J$1:J910),SUMIFS(Master!$G$2:$G$13,Master!$E$2:$E$13,C911,Master!$F$2:$F$13,D911)))</f>
        <v/>
      </c>
      <c r="G911" s="5" t="n"/>
      <c r="H911" s="5" t="n"/>
      <c r="I911" s="5" t="n"/>
      <c r="J911" s="6">
        <f>IF(OR(F911="",COUNT(G911:I911)&lt;3),"",F911+G911-H911-I911)</f>
        <v/>
      </c>
      <c r="K911" s="6">
        <f>IF(COUNTA(A911:D911,G911:I911)=0,"",IF(COUNTA(A911:D911,G911:I911)&lt;7,"LENGKAPI",IF(H911+I911&gt;N(F911)+G911,"ABNORMAL",IF(COUNTIFS($A$2:$A$2001,A911,$B$2:$B$2001,B911,$C$2:$C$2001,C911,$D$2:$D$2001,D911)&gt;1,"DUPLIKAT","OK"))))</f>
        <v/>
      </c>
    </row>
    <row r="912">
      <c r="A912" s="4" t="n"/>
      <c r="B912" s="5" t="n"/>
      <c r="C912" s="5" t="n"/>
      <c r="D912" s="5" t="n"/>
      <c r="E912" s="6">
        <f>IF(A912="","","B"&amp;TEXT(COUNT($A$2:A912),"00000"))</f>
        <v/>
      </c>
      <c r="F912" s="6">
        <f>IF(OR(C912="",D912=""),"",IFERROR(LOOKUP(2,1/(($C$1:C911=C912)*($D$1:D911=D912)*ISNUMBER($J$1:J911)),$J$1:J911),SUMIFS(Master!$G$2:$G$13,Master!$E$2:$E$13,C912,Master!$F$2:$F$13,D912)))</f>
        <v/>
      </c>
      <c r="G912" s="5" t="n"/>
      <c r="H912" s="5" t="n"/>
      <c r="I912" s="5" t="n"/>
      <c r="J912" s="6">
        <f>IF(OR(F912="",COUNT(G912:I912)&lt;3),"",F912+G912-H912-I912)</f>
        <v/>
      </c>
      <c r="K912" s="6">
        <f>IF(COUNTA(A912:D912,G912:I912)=0,"",IF(COUNTA(A912:D912,G912:I912)&lt;7,"LENGKAPI",IF(H912+I912&gt;N(F912)+G912,"ABNORMAL",IF(COUNTIFS($A$2:$A$2001,A912,$B$2:$B$2001,B912,$C$2:$C$2001,C912,$D$2:$D$2001,D912)&gt;1,"DUPLIKAT","OK"))))</f>
        <v/>
      </c>
    </row>
    <row r="913">
      <c r="A913" s="4" t="n"/>
      <c r="B913" s="5" t="n"/>
      <c r="C913" s="5" t="n"/>
      <c r="D913" s="5" t="n"/>
      <c r="E913" s="6">
        <f>IF(A913="","","B"&amp;TEXT(COUNT($A$2:A913),"00000"))</f>
        <v/>
      </c>
      <c r="F913" s="6">
        <f>IF(OR(C913="",D913=""),"",IFERROR(LOOKUP(2,1/(($C$1:C912=C913)*($D$1:D912=D913)*ISNUMBER($J$1:J912)),$J$1:J912),SUMIFS(Master!$G$2:$G$13,Master!$E$2:$E$13,C913,Master!$F$2:$F$13,D913)))</f>
        <v/>
      </c>
      <c r="G913" s="5" t="n"/>
      <c r="H913" s="5" t="n"/>
      <c r="I913" s="5" t="n"/>
      <c r="J913" s="6">
        <f>IF(OR(F913="",COUNT(G913:I913)&lt;3),"",F913+G913-H913-I913)</f>
        <v/>
      </c>
      <c r="K913" s="6">
        <f>IF(COUNTA(A913:D913,G913:I913)=0,"",IF(COUNTA(A913:D913,G913:I913)&lt;7,"LENGKAPI",IF(H913+I913&gt;N(F913)+G913,"ABNORMAL",IF(COUNTIFS($A$2:$A$2001,A913,$B$2:$B$2001,B913,$C$2:$C$2001,C913,$D$2:$D$2001,D913)&gt;1,"DUPLIKAT","OK"))))</f>
        <v/>
      </c>
    </row>
    <row r="914">
      <c r="A914" s="4" t="n"/>
      <c r="B914" s="5" t="n"/>
      <c r="C914" s="5" t="n"/>
      <c r="D914" s="5" t="n"/>
      <c r="E914" s="6">
        <f>IF(A914="","","B"&amp;TEXT(COUNT($A$2:A914),"00000"))</f>
        <v/>
      </c>
      <c r="F914" s="6">
        <f>IF(OR(C914="",D914=""),"",IFERROR(LOOKUP(2,1/(($C$1:C913=C914)*($D$1:D913=D914)*ISNUMBER($J$1:J913)),$J$1:J913),SUMIFS(Master!$G$2:$G$13,Master!$E$2:$E$13,C914,Master!$F$2:$F$13,D914)))</f>
        <v/>
      </c>
      <c r="G914" s="5" t="n"/>
      <c r="H914" s="5" t="n"/>
      <c r="I914" s="5" t="n"/>
      <c r="J914" s="6">
        <f>IF(OR(F914="",COUNT(G914:I914)&lt;3),"",F914+G914-H914-I914)</f>
        <v/>
      </c>
      <c r="K914" s="6">
        <f>IF(COUNTA(A914:D914,G914:I914)=0,"",IF(COUNTA(A914:D914,G914:I914)&lt;7,"LENGKAPI",IF(H914+I914&gt;N(F914)+G914,"ABNORMAL",IF(COUNTIFS($A$2:$A$2001,A914,$B$2:$B$2001,B914,$C$2:$C$2001,C914,$D$2:$D$2001,D914)&gt;1,"DUPLIKAT","OK"))))</f>
        <v/>
      </c>
    </row>
    <row r="915">
      <c r="A915" s="4" t="n"/>
      <c r="B915" s="5" t="n"/>
      <c r="C915" s="5" t="n"/>
      <c r="D915" s="5" t="n"/>
      <c r="E915" s="6">
        <f>IF(A915="","","B"&amp;TEXT(COUNT($A$2:A915),"00000"))</f>
        <v/>
      </c>
      <c r="F915" s="6">
        <f>IF(OR(C915="",D915=""),"",IFERROR(LOOKUP(2,1/(($C$1:C914=C915)*($D$1:D914=D915)*ISNUMBER($J$1:J914)),$J$1:J914),SUMIFS(Master!$G$2:$G$13,Master!$E$2:$E$13,C915,Master!$F$2:$F$13,D915)))</f>
        <v/>
      </c>
      <c r="G915" s="5" t="n"/>
      <c r="H915" s="5" t="n"/>
      <c r="I915" s="5" t="n"/>
      <c r="J915" s="6">
        <f>IF(OR(F915="",COUNT(G915:I915)&lt;3),"",F915+G915-H915-I915)</f>
        <v/>
      </c>
      <c r="K915" s="6">
        <f>IF(COUNTA(A915:D915,G915:I915)=0,"",IF(COUNTA(A915:D915,G915:I915)&lt;7,"LENGKAPI",IF(H915+I915&gt;N(F915)+G915,"ABNORMAL",IF(COUNTIFS($A$2:$A$2001,A915,$B$2:$B$2001,B915,$C$2:$C$2001,C915,$D$2:$D$2001,D915)&gt;1,"DUPLIKAT","OK"))))</f>
        <v/>
      </c>
    </row>
    <row r="916">
      <c r="A916" s="4" t="n"/>
      <c r="B916" s="5" t="n"/>
      <c r="C916" s="5" t="n"/>
      <c r="D916" s="5" t="n"/>
      <c r="E916" s="6">
        <f>IF(A916="","","B"&amp;TEXT(COUNT($A$2:A916),"00000"))</f>
        <v/>
      </c>
      <c r="F916" s="6">
        <f>IF(OR(C916="",D916=""),"",IFERROR(LOOKUP(2,1/(($C$1:C915=C916)*($D$1:D915=D916)*ISNUMBER($J$1:J915)),$J$1:J915),SUMIFS(Master!$G$2:$G$13,Master!$E$2:$E$13,C916,Master!$F$2:$F$13,D916)))</f>
        <v/>
      </c>
      <c r="G916" s="5" t="n"/>
      <c r="H916" s="5" t="n"/>
      <c r="I916" s="5" t="n"/>
      <c r="J916" s="6">
        <f>IF(OR(F916="",COUNT(G916:I916)&lt;3),"",F916+G916-H916-I916)</f>
        <v/>
      </c>
      <c r="K916" s="6">
        <f>IF(COUNTA(A916:D916,G916:I916)=0,"",IF(COUNTA(A916:D916,G916:I916)&lt;7,"LENGKAPI",IF(H916+I916&gt;N(F916)+G916,"ABNORMAL",IF(COUNTIFS($A$2:$A$2001,A916,$B$2:$B$2001,B916,$C$2:$C$2001,C916,$D$2:$D$2001,D916)&gt;1,"DUPLIKAT","OK"))))</f>
        <v/>
      </c>
    </row>
    <row r="917">
      <c r="A917" s="4" t="n"/>
      <c r="B917" s="5" t="n"/>
      <c r="C917" s="5" t="n"/>
      <c r="D917" s="5" t="n"/>
      <c r="E917" s="6">
        <f>IF(A917="","","B"&amp;TEXT(COUNT($A$2:A917),"00000"))</f>
        <v/>
      </c>
      <c r="F917" s="6">
        <f>IF(OR(C917="",D917=""),"",IFERROR(LOOKUP(2,1/(($C$1:C916=C917)*($D$1:D916=D917)*ISNUMBER($J$1:J916)),$J$1:J916),SUMIFS(Master!$G$2:$G$13,Master!$E$2:$E$13,C917,Master!$F$2:$F$13,D917)))</f>
        <v/>
      </c>
      <c r="G917" s="5" t="n"/>
      <c r="H917" s="5" t="n"/>
      <c r="I917" s="5" t="n"/>
      <c r="J917" s="6">
        <f>IF(OR(F917="",COUNT(G917:I917)&lt;3),"",F917+G917-H917-I917)</f>
        <v/>
      </c>
      <c r="K917" s="6">
        <f>IF(COUNTA(A917:D917,G917:I917)=0,"",IF(COUNTA(A917:D917,G917:I917)&lt;7,"LENGKAPI",IF(H917+I917&gt;N(F917)+G917,"ABNORMAL",IF(COUNTIFS($A$2:$A$2001,A917,$B$2:$B$2001,B917,$C$2:$C$2001,C917,$D$2:$D$2001,D917)&gt;1,"DUPLIKAT","OK"))))</f>
        <v/>
      </c>
    </row>
    <row r="918">
      <c r="A918" s="4" t="n"/>
      <c r="B918" s="5" t="n"/>
      <c r="C918" s="5" t="n"/>
      <c r="D918" s="5" t="n"/>
      <c r="E918" s="6">
        <f>IF(A918="","","B"&amp;TEXT(COUNT($A$2:A918),"00000"))</f>
        <v/>
      </c>
      <c r="F918" s="6">
        <f>IF(OR(C918="",D918=""),"",IFERROR(LOOKUP(2,1/(($C$1:C917=C918)*($D$1:D917=D918)*ISNUMBER($J$1:J917)),$J$1:J917),SUMIFS(Master!$G$2:$G$13,Master!$E$2:$E$13,C918,Master!$F$2:$F$13,D918)))</f>
        <v/>
      </c>
      <c r="G918" s="5" t="n"/>
      <c r="H918" s="5" t="n"/>
      <c r="I918" s="5" t="n"/>
      <c r="J918" s="6">
        <f>IF(OR(F918="",COUNT(G918:I918)&lt;3),"",F918+G918-H918-I918)</f>
        <v/>
      </c>
      <c r="K918" s="6">
        <f>IF(COUNTA(A918:D918,G918:I918)=0,"",IF(COUNTA(A918:D918,G918:I918)&lt;7,"LENGKAPI",IF(H918+I918&gt;N(F918)+G918,"ABNORMAL",IF(COUNTIFS($A$2:$A$2001,A918,$B$2:$B$2001,B918,$C$2:$C$2001,C918,$D$2:$D$2001,D918)&gt;1,"DUPLIKAT","OK"))))</f>
        <v/>
      </c>
    </row>
    <row r="919">
      <c r="A919" s="4" t="n"/>
      <c r="B919" s="5" t="n"/>
      <c r="C919" s="5" t="n"/>
      <c r="D919" s="5" t="n"/>
      <c r="E919" s="6">
        <f>IF(A919="","","B"&amp;TEXT(COUNT($A$2:A919),"00000"))</f>
        <v/>
      </c>
      <c r="F919" s="6">
        <f>IF(OR(C919="",D919=""),"",IFERROR(LOOKUP(2,1/(($C$1:C918=C919)*($D$1:D918=D919)*ISNUMBER($J$1:J918)),$J$1:J918),SUMIFS(Master!$G$2:$G$13,Master!$E$2:$E$13,C919,Master!$F$2:$F$13,D919)))</f>
        <v/>
      </c>
      <c r="G919" s="5" t="n"/>
      <c r="H919" s="5" t="n"/>
      <c r="I919" s="5" t="n"/>
      <c r="J919" s="6">
        <f>IF(OR(F919="",COUNT(G919:I919)&lt;3),"",F919+G919-H919-I919)</f>
        <v/>
      </c>
      <c r="K919" s="6">
        <f>IF(COUNTA(A919:D919,G919:I919)=0,"",IF(COUNTA(A919:D919,G919:I919)&lt;7,"LENGKAPI",IF(H919+I919&gt;N(F919)+G919,"ABNORMAL",IF(COUNTIFS($A$2:$A$2001,A919,$B$2:$B$2001,B919,$C$2:$C$2001,C919,$D$2:$D$2001,D919)&gt;1,"DUPLIKAT","OK"))))</f>
        <v/>
      </c>
    </row>
    <row r="920">
      <c r="A920" s="4" t="n"/>
      <c r="B920" s="5" t="n"/>
      <c r="C920" s="5" t="n"/>
      <c r="D920" s="5" t="n"/>
      <c r="E920" s="6">
        <f>IF(A920="","","B"&amp;TEXT(COUNT($A$2:A920),"00000"))</f>
        <v/>
      </c>
      <c r="F920" s="6">
        <f>IF(OR(C920="",D920=""),"",IFERROR(LOOKUP(2,1/(($C$1:C919=C920)*($D$1:D919=D920)*ISNUMBER($J$1:J919)),$J$1:J919),SUMIFS(Master!$G$2:$G$13,Master!$E$2:$E$13,C920,Master!$F$2:$F$13,D920)))</f>
        <v/>
      </c>
      <c r="G920" s="5" t="n"/>
      <c r="H920" s="5" t="n"/>
      <c r="I920" s="5" t="n"/>
      <c r="J920" s="6">
        <f>IF(OR(F920="",COUNT(G920:I920)&lt;3),"",F920+G920-H920-I920)</f>
        <v/>
      </c>
      <c r="K920" s="6">
        <f>IF(COUNTA(A920:D920,G920:I920)=0,"",IF(COUNTA(A920:D920,G920:I920)&lt;7,"LENGKAPI",IF(H920+I920&gt;N(F920)+G920,"ABNORMAL",IF(COUNTIFS($A$2:$A$2001,A920,$B$2:$B$2001,B920,$C$2:$C$2001,C920,$D$2:$D$2001,D920)&gt;1,"DUPLIKAT","OK"))))</f>
        <v/>
      </c>
    </row>
    <row r="921">
      <c r="A921" s="4" t="n"/>
      <c r="B921" s="5" t="n"/>
      <c r="C921" s="5" t="n"/>
      <c r="D921" s="5" t="n"/>
      <c r="E921" s="6">
        <f>IF(A921="","","B"&amp;TEXT(COUNT($A$2:A921),"00000"))</f>
        <v/>
      </c>
      <c r="F921" s="6">
        <f>IF(OR(C921="",D921=""),"",IFERROR(LOOKUP(2,1/(($C$1:C920=C921)*($D$1:D920=D921)*ISNUMBER($J$1:J920)),$J$1:J920),SUMIFS(Master!$G$2:$G$13,Master!$E$2:$E$13,C921,Master!$F$2:$F$13,D921)))</f>
        <v/>
      </c>
      <c r="G921" s="5" t="n"/>
      <c r="H921" s="5" t="n"/>
      <c r="I921" s="5" t="n"/>
      <c r="J921" s="6">
        <f>IF(OR(F921="",COUNT(G921:I921)&lt;3),"",F921+G921-H921-I921)</f>
        <v/>
      </c>
      <c r="K921" s="6">
        <f>IF(COUNTA(A921:D921,G921:I921)=0,"",IF(COUNTA(A921:D921,G921:I921)&lt;7,"LENGKAPI",IF(H921+I921&gt;N(F921)+G921,"ABNORMAL",IF(COUNTIFS($A$2:$A$2001,A921,$B$2:$B$2001,B921,$C$2:$C$2001,C921,$D$2:$D$2001,D921)&gt;1,"DUPLIKAT","OK"))))</f>
        <v/>
      </c>
    </row>
    <row r="922">
      <c r="A922" s="4" t="n"/>
      <c r="B922" s="5" t="n"/>
      <c r="C922" s="5" t="n"/>
      <c r="D922" s="5" t="n"/>
      <c r="E922" s="6">
        <f>IF(A922="","","B"&amp;TEXT(COUNT($A$2:A922),"00000"))</f>
        <v/>
      </c>
      <c r="F922" s="6">
        <f>IF(OR(C922="",D922=""),"",IFERROR(LOOKUP(2,1/(($C$1:C921=C922)*($D$1:D921=D922)*ISNUMBER($J$1:J921)),$J$1:J921),SUMIFS(Master!$G$2:$G$13,Master!$E$2:$E$13,C922,Master!$F$2:$F$13,D922)))</f>
        <v/>
      </c>
      <c r="G922" s="5" t="n"/>
      <c r="H922" s="5" t="n"/>
      <c r="I922" s="5" t="n"/>
      <c r="J922" s="6">
        <f>IF(OR(F922="",COUNT(G922:I922)&lt;3),"",F922+G922-H922-I922)</f>
        <v/>
      </c>
      <c r="K922" s="6">
        <f>IF(COUNTA(A922:D922,G922:I922)=0,"",IF(COUNTA(A922:D922,G922:I922)&lt;7,"LENGKAPI",IF(H922+I922&gt;N(F922)+G922,"ABNORMAL",IF(COUNTIFS($A$2:$A$2001,A922,$B$2:$B$2001,B922,$C$2:$C$2001,C922,$D$2:$D$2001,D922)&gt;1,"DUPLIKAT","OK"))))</f>
        <v/>
      </c>
    </row>
    <row r="923">
      <c r="A923" s="4" t="n"/>
      <c r="B923" s="5" t="n"/>
      <c r="C923" s="5" t="n"/>
      <c r="D923" s="5" t="n"/>
      <c r="E923" s="6">
        <f>IF(A923="","","B"&amp;TEXT(COUNT($A$2:A923),"00000"))</f>
        <v/>
      </c>
      <c r="F923" s="6">
        <f>IF(OR(C923="",D923=""),"",IFERROR(LOOKUP(2,1/(($C$1:C922=C923)*($D$1:D922=D923)*ISNUMBER($J$1:J922)),$J$1:J922),SUMIFS(Master!$G$2:$G$13,Master!$E$2:$E$13,C923,Master!$F$2:$F$13,D923)))</f>
        <v/>
      </c>
      <c r="G923" s="5" t="n"/>
      <c r="H923" s="5" t="n"/>
      <c r="I923" s="5" t="n"/>
      <c r="J923" s="6">
        <f>IF(OR(F923="",COUNT(G923:I923)&lt;3),"",F923+G923-H923-I923)</f>
        <v/>
      </c>
      <c r="K923" s="6">
        <f>IF(COUNTA(A923:D923,G923:I923)=0,"",IF(COUNTA(A923:D923,G923:I923)&lt;7,"LENGKAPI",IF(H923+I923&gt;N(F923)+G923,"ABNORMAL",IF(COUNTIFS($A$2:$A$2001,A923,$B$2:$B$2001,B923,$C$2:$C$2001,C923,$D$2:$D$2001,D923)&gt;1,"DUPLIKAT","OK"))))</f>
        <v/>
      </c>
    </row>
    <row r="924">
      <c r="A924" s="4" t="n"/>
      <c r="B924" s="5" t="n"/>
      <c r="C924" s="5" t="n"/>
      <c r="D924" s="5" t="n"/>
      <c r="E924" s="6">
        <f>IF(A924="","","B"&amp;TEXT(COUNT($A$2:A924),"00000"))</f>
        <v/>
      </c>
      <c r="F924" s="6">
        <f>IF(OR(C924="",D924=""),"",IFERROR(LOOKUP(2,1/(($C$1:C923=C924)*($D$1:D923=D924)*ISNUMBER($J$1:J923)),$J$1:J923),SUMIFS(Master!$G$2:$G$13,Master!$E$2:$E$13,C924,Master!$F$2:$F$13,D924)))</f>
        <v/>
      </c>
      <c r="G924" s="5" t="n"/>
      <c r="H924" s="5" t="n"/>
      <c r="I924" s="5" t="n"/>
      <c r="J924" s="6">
        <f>IF(OR(F924="",COUNT(G924:I924)&lt;3),"",F924+G924-H924-I924)</f>
        <v/>
      </c>
      <c r="K924" s="6">
        <f>IF(COUNTA(A924:D924,G924:I924)=0,"",IF(COUNTA(A924:D924,G924:I924)&lt;7,"LENGKAPI",IF(H924+I924&gt;N(F924)+G924,"ABNORMAL",IF(COUNTIFS($A$2:$A$2001,A924,$B$2:$B$2001,B924,$C$2:$C$2001,C924,$D$2:$D$2001,D924)&gt;1,"DUPLIKAT","OK"))))</f>
        <v/>
      </c>
    </row>
    <row r="925">
      <c r="A925" s="4" t="n"/>
      <c r="B925" s="5" t="n"/>
      <c r="C925" s="5" t="n"/>
      <c r="D925" s="5" t="n"/>
      <c r="E925" s="6">
        <f>IF(A925="","","B"&amp;TEXT(COUNT($A$2:A925),"00000"))</f>
        <v/>
      </c>
      <c r="F925" s="6">
        <f>IF(OR(C925="",D925=""),"",IFERROR(LOOKUP(2,1/(($C$1:C924=C925)*($D$1:D924=D925)*ISNUMBER($J$1:J924)),$J$1:J924),SUMIFS(Master!$G$2:$G$13,Master!$E$2:$E$13,C925,Master!$F$2:$F$13,D925)))</f>
        <v/>
      </c>
      <c r="G925" s="5" t="n"/>
      <c r="H925" s="5" t="n"/>
      <c r="I925" s="5" t="n"/>
      <c r="J925" s="6">
        <f>IF(OR(F925="",COUNT(G925:I925)&lt;3),"",F925+G925-H925-I925)</f>
        <v/>
      </c>
      <c r="K925" s="6">
        <f>IF(COUNTA(A925:D925,G925:I925)=0,"",IF(COUNTA(A925:D925,G925:I925)&lt;7,"LENGKAPI",IF(H925+I925&gt;N(F925)+G925,"ABNORMAL",IF(COUNTIFS($A$2:$A$2001,A925,$B$2:$B$2001,B925,$C$2:$C$2001,C925,$D$2:$D$2001,D925)&gt;1,"DUPLIKAT","OK"))))</f>
        <v/>
      </c>
    </row>
    <row r="926">
      <c r="A926" s="4" t="n"/>
      <c r="B926" s="5" t="n"/>
      <c r="C926" s="5" t="n"/>
      <c r="D926" s="5" t="n"/>
      <c r="E926" s="6">
        <f>IF(A926="","","B"&amp;TEXT(COUNT($A$2:A926),"00000"))</f>
        <v/>
      </c>
      <c r="F926" s="6">
        <f>IF(OR(C926="",D926=""),"",IFERROR(LOOKUP(2,1/(($C$1:C925=C926)*($D$1:D925=D926)*ISNUMBER($J$1:J925)),$J$1:J925),SUMIFS(Master!$G$2:$G$13,Master!$E$2:$E$13,C926,Master!$F$2:$F$13,D926)))</f>
        <v/>
      </c>
      <c r="G926" s="5" t="n"/>
      <c r="H926" s="5" t="n"/>
      <c r="I926" s="5" t="n"/>
      <c r="J926" s="6">
        <f>IF(OR(F926="",COUNT(G926:I926)&lt;3),"",F926+G926-H926-I926)</f>
        <v/>
      </c>
      <c r="K926" s="6">
        <f>IF(COUNTA(A926:D926,G926:I926)=0,"",IF(COUNTA(A926:D926,G926:I926)&lt;7,"LENGKAPI",IF(H926+I926&gt;N(F926)+G926,"ABNORMAL",IF(COUNTIFS($A$2:$A$2001,A926,$B$2:$B$2001,B926,$C$2:$C$2001,C926,$D$2:$D$2001,D926)&gt;1,"DUPLIKAT","OK"))))</f>
        <v/>
      </c>
    </row>
    <row r="927">
      <c r="A927" s="4" t="n"/>
      <c r="B927" s="5" t="n"/>
      <c r="C927" s="5" t="n"/>
      <c r="D927" s="5" t="n"/>
      <c r="E927" s="6">
        <f>IF(A927="","","B"&amp;TEXT(COUNT($A$2:A927),"00000"))</f>
        <v/>
      </c>
      <c r="F927" s="6">
        <f>IF(OR(C927="",D927=""),"",IFERROR(LOOKUP(2,1/(($C$1:C926=C927)*($D$1:D926=D927)*ISNUMBER($J$1:J926)),$J$1:J926),SUMIFS(Master!$G$2:$G$13,Master!$E$2:$E$13,C927,Master!$F$2:$F$13,D927)))</f>
        <v/>
      </c>
      <c r="G927" s="5" t="n"/>
      <c r="H927" s="5" t="n"/>
      <c r="I927" s="5" t="n"/>
      <c r="J927" s="6">
        <f>IF(OR(F927="",COUNT(G927:I927)&lt;3),"",F927+G927-H927-I927)</f>
        <v/>
      </c>
      <c r="K927" s="6">
        <f>IF(COUNTA(A927:D927,G927:I927)=0,"",IF(COUNTA(A927:D927,G927:I927)&lt;7,"LENGKAPI",IF(H927+I927&gt;N(F927)+G927,"ABNORMAL",IF(COUNTIFS($A$2:$A$2001,A927,$B$2:$B$2001,B927,$C$2:$C$2001,C927,$D$2:$D$2001,D927)&gt;1,"DUPLIKAT","OK"))))</f>
        <v/>
      </c>
    </row>
    <row r="928">
      <c r="A928" s="4" t="n"/>
      <c r="B928" s="5" t="n"/>
      <c r="C928" s="5" t="n"/>
      <c r="D928" s="5" t="n"/>
      <c r="E928" s="6">
        <f>IF(A928="","","B"&amp;TEXT(COUNT($A$2:A928),"00000"))</f>
        <v/>
      </c>
      <c r="F928" s="6">
        <f>IF(OR(C928="",D928=""),"",IFERROR(LOOKUP(2,1/(($C$1:C927=C928)*($D$1:D927=D928)*ISNUMBER($J$1:J927)),$J$1:J927),SUMIFS(Master!$G$2:$G$13,Master!$E$2:$E$13,C928,Master!$F$2:$F$13,D928)))</f>
        <v/>
      </c>
      <c r="G928" s="5" t="n"/>
      <c r="H928" s="5" t="n"/>
      <c r="I928" s="5" t="n"/>
      <c r="J928" s="6">
        <f>IF(OR(F928="",COUNT(G928:I928)&lt;3),"",F928+G928-H928-I928)</f>
        <v/>
      </c>
      <c r="K928" s="6">
        <f>IF(COUNTA(A928:D928,G928:I928)=0,"",IF(COUNTA(A928:D928,G928:I928)&lt;7,"LENGKAPI",IF(H928+I928&gt;N(F928)+G928,"ABNORMAL",IF(COUNTIFS($A$2:$A$2001,A928,$B$2:$B$2001,B928,$C$2:$C$2001,C928,$D$2:$D$2001,D928)&gt;1,"DUPLIKAT","OK"))))</f>
        <v/>
      </c>
    </row>
    <row r="929">
      <c r="A929" s="4" t="n"/>
      <c r="B929" s="5" t="n"/>
      <c r="C929" s="5" t="n"/>
      <c r="D929" s="5" t="n"/>
      <c r="E929" s="6">
        <f>IF(A929="","","B"&amp;TEXT(COUNT($A$2:A929),"00000"))</f>
        <v/>
      </c>
      <c r="F929" s="6">
        <f>IF(OR(C929="",D929=""),"",IFERROR(LOOKUP(2,1/(($C$1:C928=C929)*($D$1:D928=D929)*ISNUMBER($J$1:J928)),$J$1:J928),SUMIFS(Master!$G$2:$G$13,Master!$E$2:$E$13,C929,Master!$F$2:$F$13,D929)))</f>
        <v/>
      </c>
      <c r="G929" s="5" t="n"/>
      <c r="H929" s="5" t="n"/>
      <c r="I929" s="5" t="n"/>
      <c r="J929" s="6">
        <f>IF(OR(F929="",COUNT(G929:I929)&lt;3),"",F929+G929-H929-I929)</f>
        <v/>
      </c>
      <c r="K929" s="6">
        <f>IF(COUNTA(A929:D929,G929:I929)=0,"",IF(COUNTA(A929:D929,G929:I929)&lt;7,"LENGKAPI",IF(H929+I929&gt;N(F929)+G929,"ABNORMAL",IF(COUNTIFS($A$2:$A$2001,A929,$B$2:$B$2001,B929,$C$2:$C$2001,C929,$D$2:$D$2001,D929)&gt;1,"DUPLIKAT","OK"))))</f>
        <v/>
      </c>
    </row>
    <row r="930">
      <c r="A930" s="4" t="n"/>
      <c r="B930" s="5" t="n"/>
      <c r="C930" s="5" t="n"/>
      <c r="D930" s="5" t="n"/>
      <c r="E930" s="6">
        <f>IF(A930="","","B"&amp;TEXT(COUNT($A$2:A930),"00000"))</f>
        <v/>
      </c>
      <c r="F930" s="6">
        <f>IF(OR(C930="",D930=""),"",IFERROR(LOOKUP(2,1/(($C$1:C929=C930)*($D$1:D929=D930)*ISNUMBER($J$1:J929)),$J$1:J929),SUMIFS(Master!$G$2:$G$13,Master!$E$2:$E$13,C930,Master!$F$2:$F$13,D930)))</f>
        <v/>
      </c>
      <c r="G930" s="5" t="n"/>
      <c r="H930" s="5" t="n"/>
      <c r="I930" s="5" t="n"/>
      <c r="J930" s="6">
        <f>IF(OR(F930="",COUNT(G930:I930)&lt;3),"",F930+G930-H930-I930)</f>
        <v/>
      </c>
      <c r="K930" s="6">
        <f>IF(COUNTA(A930:D930,G930:I930)=0,"",IF(COUNTA(A930:D930,G930:I930)&lt;7,"LENGKAPI",IF(H930+I930&gt;N(F930)+G930,"ABNORMAL",IF(COUNTIFS($A$2:$A$2001,A930,$B$2:$B$2001,B930,$C$2:$C$2001,C930,$D$2:$D$2001,D930)&gt;1,"DUPLIKAT","OK"))))</f>
        <v/>
      </c>
    </row>
    <row r="931">
      <c r="A931" s="4" t="n"/>
      <c r="B931" s="5" t="n"/>
      <c r="C931" s="5" t="n"/>
      <c r="D931" s="5" t="n"/>
      <c r="E931" s="6">
        <f>IF(A931="","","B"&amp;TEXT(COUNT($A$2:A931),"00000"))</f>
        <v/>
      </c>
      <c r="F931" s="6">
        <f>IF(OR(C931="",D931=""),"",IFERROR(LOOKUP(2,1/(($C$1:C930=C931)*($D$1:D930=D931)*ISNUMBER($J$1:J930)),$J$1:J930),SUMIFS(Master!$G$2:$G$13,Master!$E$2:$E$13,C931,Master!$F$2:$F$13,D931)))</f>
        <v/>
      </c>
      <c r="G931" s="5" t="n"/>
      <c r="H931" s="5" t="n"/>
      <c r="I931" s="5" t="n"/>
      <c r="J931" s="6">
        <f>IF(OR(F931="",COUNT(G931:I931)&lt;3),"",F931+G931-H931-I931)</f>
        <v/>
      </c>
      <c r="K931" s="6">
        <f>IF(COUNTA(A931:D931,G931:I931)=0,"",IF(COUNTA(A931:D931,G931:I931)&lt;7,"LENGKAPI",IF(H931+I931&gt;N(F931)+G931,"ABNORMAL",IF(COUNTIFS($A$2:$A$2001,A931,$B$2:$B$2001,B931,$C$2:$C$2001,C931,$D$2:$D$2001,D931)&gt;1,"DUPLIKAT","OK"))))</f>
        <v/>
      </c>
    </row>
    <row r="932">
      <c r="A932" s="4" t="n"/>
      <c r="B932" s="5" t="n"/>
      <c r="C932" s="5" t="n"/>
      <c r="D932" s="5" t="n"/>
      <c r="E932" s="6">
        <f>IF(A932="","","B"&amp;TEXT(COUNT($A$2:A932),"00000"))</f>
        <v/>
      </c>
      <c r="F932" s="6">
        <f>IF(OR(C932="",D932=""),"",IFERROR(LOOKUP(2,1/(($C$1:C931=C932)*($D$1:D931=D932)*ISNUMBER($J$1:J931)),$J$1:J931),SUMIFS(Master!$G$2:$G$13,Master!$E$2:$E$13,C932,Master!$F$2:$F$13,D932)))</f>
        <v/>
      </c>
      <c r="G932" s="5" t="n"/>
      <c r="H932" s="5" t="n"/>
      <c r="I932" s="5" t="n"/>
      <c r="J932" s="6">
        <f>IF(OR(F932="",COUNT(G932:I932)&lt;3),"",F932+G932-H932-I932)</f>
        <v/>
      </c>
      <c r="K932" s="6">
        <f>IF(COUNTA(A932:D932,G932:I932)=0,"",IF(COUNTA(A932:D932,G932:I932)&lt;7,"LENGKAPI",IF(H932+I932&gt;N(F932)+G932,"ABNORMAL",IF(COUNTIFS($A$2:$A$2001,A932,$B$2:$B$2001,B932,$C$2:$C$2001,C932,$D$2:$D$2001,D932)&gt;1,"DUPLIKAT","OK"))))</f>
        <v/>
      </c>
    </row>
    <row r="933">
      <c r="A933" s="4" t="n"/>
      <c r="B933" s="5" t="n"/>
      <c r="C933" s="5" t="n"/>
      <c r="D933" s="5" t="n"/>
      <c r="E933" s="6">
        <f>IF(A933="","","B"&amp;TEXT(COUNT($A$2:A933),"00000"))</f>
        <v/>
      </c>
      <c r="F933" s="6">
        <f>IF(OR(C933="",D933=""),"",IFERROR(LOOKUP(2,1/(($C$1:C932=C933)*($D$1:D932=D933)*ISNUMBER($J$1:J932)),$J$1:J932),SUMIFS(Master!$G$2:$G$13,Master!$E$2:$E$13,C933,Master!$F$2:$F$13,D933)))</f>
        <v/>
      </c>
      <c r="G933" s="5" t="n"/>
      <c r="H933" s="5" t="n"/>
      <c r="I933" s="5" t="n"/>
      <c r="J933" s="6">
        <f>IF(OR(F933="",COUNT(G933:I933)&lt;3),"",F933+G933-H933-I933)</f>
        <v/>
      </c>
      <c r="K933" s="6">
        <f>IF(COUNTA(A933:D933,G933:I933)=0,"",IF(COUNTA(A933:D933,G933:I933)&lt;7,"LENGKAPI",IF(H933+I933&gt;N(F933)+G933,"ABNORMAL",IF(COUNTIFS($A$2:$A$2001,A933,$B$2:$B$2001,B933,$C$2:$C$2001,C933,$D$2:$D$2001,D933)&gt;1,"DUPLIKAT","OK"))))</f>
        <v/>
      </c>
    </row>
    <row r="934">
      <c r="A934" s="4" t="n"/>
      <c r="B934" s="5" t="n"/>
      <c r="C934" s="5" t="n"/>
      <c r="D934" s="5" t="n"/>
      <c r="E934" s="6">
        <f>IF(A934="","","B"&amp;TEXT(COUNT($A$2:A934),"00000"))</f>
        <v/>
      </c>
      <c r="F934" s="6">
        <f>IF(OR(C934="",D934=""),"",IFERROR(LOOKUP(2,1/(($C$1:C933=C934)*($D$1:D933=D934)*ISNUMBER($J$1:J933)),$J$1:J933),SUMIFS(Master!$G$2:$G$13,Master!$E$2:$E$13,C934,Master!$F$2:$F$13,D934)))</f>
        <v/>
      </c>
      <c r="G934" s="5" t="n"/>
      <c r="H934" s="5" t="n"/>
      <c r="I934" s="5" t="n"/>
      <c r="J934" s="6">
        <f>IF(OR(F934="",COUNT(G934:I934)&lt;3),"",F934+G934-H934-I934)</f>
        <v/>
      </c>
      <c r="K934" s="6">
        <f>IF(COUNTA(A934:D934,G934:I934)=0,"",IF(COUNTA(A934:D934,G934:I934)&lt;7,"LENGKAPI",IF(H934+I934&gt;N(F934)+G934,"ABNORMAL",IF(COUNTIFS($A$2:$A$2001,A934,$B$2:$B$2001,B934,$C$2:$C$2001,C934,$D$2:$D$2001,D934)&gt;1,"DUPLIKAT","OK"))))</f>
        <v/>
      </c>
    </row>
    <row r="935">
      <c r="A935" s="4" t="n"/>
      <c r="B935" s="5" t="n"/>
      <c r="C935" s="5" t="n"/>
      <c r="D935" s="5" t="n"/>
      <c r="E935" s="6">
        <f>IF(A935="","","B"&amp;TEXT(COUNT($A$2:A935),"00000"))</f>
        <v/>
      </c>
      <c r="F935" s="6">
        <f>IF(OR(C935="",D935=""),"",IFERROR(LOOKUP(2,1/(($C$1:C934=C935)*($D$1:D934=D935)*ISNUMBER($J$1:J934)),$J$1:J934),SUMIFS(Master!$G$2:$G$13,Master!$E$2:$E$13,C935,Master!$F$2:$F$13,D935)))</f>
        <v/>
      </c>
      <c r="G935" s="5" t="n"/>
      <c r="H935" s="5" t="n"/>
      <c r="I935" s="5" t="n"/>
      <c r="J935" s="6">
        <f>IF(OR(F935="",COUNT(G935:I935)&lt;3),"",F935+G935-H935-I935)</f>
        <v/>
      </c>
      <c r="K935" s="6">
        <f>IF(COUNTA(A935:D935,G935:I935)=0,"",IF(COUNTA(A935:D935,G935:I935)&lt;7,"LENGKAPI",IF(H935+I935&gt;N(F935)+G935,"ABNORMAL",IF(COUNTIFS($A$2:$A$2001,A935,$B$2:$B$2001,B935,$C$2:$C$2001,C935,$D$2:$D$2001,D935)&gt;1,"DUPLIKAT","OK"))))</f>
        <v/>
      </c>
    </row>
    <row r="936">
      <c r="A936" s="4" t="n"/>
      <c r="B936" s="5" t="n"/>
      <c r="C936" s="5" t="n"/>
      <c r="D936" s="5" t="n"/>
      <c r="E936" s="6">
        <f>IF(A936="","","B"&amp;TEXT(COUNT($A$2:A936),"00000"))</f>
        <v/>
      </c>
      <c r="F936" s="6">
        <f>IF(OR(C936="",D936=""),"",IFERROR(LOOKUP(2,1/(($C$1:C935=C936)*($D$1:D935=D936)*ISNUMBER($J$1:J935)),$J$1:J935),SUMIFS(Master!$G$2:$G$13,Master!$E$2:$E$13,C936,Master!$F$2:$F$13,D936)))</f>
        <v/>
      </c>
      <c r="G936" s="5" t="n"/>
      <c r="H936" s="5" t="n"/>
      <c r="I936" s="5" t="n"/>
      <c r="J936" s="6">
        <f>IF(OR(F936="",COUNT(G936:I936)&lt;3),"",F936+G936-H936-I936)</f>
        <v/>
      </c>
      <c r="K936" s="6">
        <f>IF(COUNTA(A936:D936,G936:I936)=0,"",IF(COUNTA(A936:D936,G936:I936)&lt;7,"LENGKAPI",IF(H936+I936&gt;N(F936)+G936,"ABNORMAL",IF(COUNTIFS($A$2:$A$2001,A936,$B$2:$B$2001,B936,$C$2:$C$2001,C936,$D$2:$D$2001,D936)&gt;1,"DUPLIKAT","OK"))))</f>
        <v/>
      </c>
    </row>
    <row r="937">
      <c r="A937" s="4" t="n"/>
      <c r="B937" s="5" t="n"/>
      <c r="C937" s="5" t="n"/>
      <c r="D937" s="5" t="n"/>
      <c r="E937" s="6">
        <f>IF(A937="","","B"&amp;TEXT(COUNT($A$2:A937),"00000"))</f>
        <v/>
      </c>
      <c r="F937" s="6">
        <f>IF(OR(C937="",D937=""),"",IFERROR(LOOKUP(2,1/(($C$1:C936=C937)*($D$1:D936=D937)*ISNUMBER($J$1:J936)),$J$1:J936),SUMIFS(Master!$G$2:$G$13,Master!$E$2:$E$13,C937,Master!$F$2:$F$13,D937)))</f>
        <v/>
      </c>
      <c r="G937" s="5" t="n"/>
      <c r="H937" s="5" t="n"/>
      <c r="I937" s="5" t="n"/>
      <c r="J937" s="6">
        <f>IF(OR(F937="",COUNT(G937:I937)&lt;3),"",F937+G937-H937-I937)</f>
        <v/>
      </c>
      <c r="K937" s="6">
        <f>IF(COUNTA(A937:D937,G937:I937)=0,"",IF(COUNTA(A937:D937,G937:I937)&lt;7,"LENGKAPI",IF(H937+I937&gt;N(F937)+G937,"ABNORMAL",IF(COUNTIFS($A$2:$A$2001,A937,$B$2:$B$2001,B937,$C$2:$C$2001,C937,$D$2:$D$2001,D937)&gt;1,"DUPLIKAT","OK"))))</f>
        <v/>
      </c>
    </row>
    <row r="938">
      <c r="A938" s="4" t="n"/>
      <c r="B938" s="5" t="n"/>
      <c r="C938" s="5" t="n"/>
      <c r="D938" s="5" t="n"/>
      <c r="E938" s="6">
        <f>IF(A938="","","B"&amp;TEXT(COUNT($A$2:A938),"00000"))</f>
        <v/>
      </c>
      <c r="F938" s="6">
        <f>IF(OR(C938="",D938=""),"",IFERROR(LOOKUP(2,1/(($C$1:C937=C938)*($D$1:D937=D938)*ISNUMBER($J$1:J937)),$J$1:J937),SUMIFS(Master!$G$2:$G$13,Master!$E$2:$E$13,C938,Master!$F$2:$F$13,D938)))</f>
        <v/>
      </c>
      <c r="G938" s="5" t="n"/>
      <c r="H938" s="5" t="n"/>
      <c r="I938" s="5" t="n"/>
      <c r="J938" s="6">
        <f>IF(OR(F938="",COUNT(G938:I938)&lt;3),"",F938+G938-H938-I938)</f>
        <v/>
      </c>
      <c r="K938" s="6">
        <f>IF(COUNTA(A938:D938,G938:I938)=0,"",IF(COUNTA(A938:D938,G938:I938)&lt;7,"LENGKAPI",IF(H938+I938&gt;N(F938)+G938,"ABNORMAL",IF(COUNTIFS($A$2:$A$2001,A938,$B$2:$B$2001,B938,$C$2:$C$2001,C938,$D$2:$D$2001,D938)&gt;1,"DUPLIKAT","OK"))))</f>
        <v/>
      </c>
    </row>
    <row r="939">
      <c r="A939" s="4" t="n"/>
      <c r="B939" s="5" t="n"/>
      <c r="C939" s="5" t="n"/>
      <c r="D939" s="5" t="n"/>
      <c r="E939" s="6">
        <f>IF(A939="","","B"&amp;TEXT(COUNT($A$2:A939),"00000"))</f>
        <v/>
      </c>
      <c r="F939" s="6">
        <f>IF(OR(C939="",D939=""),"",IFERROR(LOOKUP(2,1/(($C$1:C938=C939)*($D$1:D938=D939)*ISNUMBER($J$1:J938)),$J$1:J938),SUMIFS(Master!$G$2:$G$13,Master!$E$2:$E$13,C939,Master!$F$2:$F$13,D939)))</f>
        <v/>
      </c>
      <c r="G939" s="5" t="n"/>
      <c r="H939" s="5" t="n"/>
      <c r="I939" s="5" t="n"/>
      <c r="J939" s="6">
        <f>IF(OR(F939="",COUNT(G939:I939)&lt;3),"",F939+G939-H939-I939)</f>
        <v/>
      </c>
      <c r="K939" s="6">
        <f>IF(COUNTA(A939:D939,G939:I939)=0,"",IF(COUNTA(A939:D939,G939:I939)&lt;7,"LENGKAPI",IF(H939+I939&gt;N(F939)+G939,"ABNORMAL",IF(COUNTIFS($A$2:$A$2001,A939,$B$2:$B$2001,B939,$C$2:$C$2001,C939,$D$2:$D$2001,D939)&gt;1,"DUPLIKAT","OK"))))</f>
        <v/>
      </c>
    </row>
    <row r="940">
      <c r="A940" s="4" t="n"/>
      <c r="B940" s="5" t="n"/>
      <c r="C940" s="5" t="n"/>
      <c r="D940" s="5" t="n"/>
      <c r="E940" s="6">
        <f>IF(A940="","","B"&amp;TEXT(COUNT($A$2:A940),"00000"))</f>
        <v/>
      </c>
      <c r="F940" s="6">
        <f>IF(OR(C940="",D940=""),"",IFERROR(LOOKUP(2,1/(($C$1:C939=C940)*($D$1:D939=D940)*ISNUMBER($J$1:J939)),$J$1:J939),SUMIFS(Master!$G$2:$G$13,Master!$E$2:$E$13,C940,Master!$F$2:$F$13,D940)))</f>
        <v/>
      </c>
      <c r="G940" s="5" t="n"/>
      <c r="H940" s="5" t="n"/>
      <c r="I940" s="5" t="n"/>
      <c r="J940" s="6">
        <f>IF(OR(F940="",COUNT(G940:I940)&lt;3),"",F940+G940-H940-I940)</f>
        <v/>
      </c>
      <c r="K940" s="6">
        <f>IF(COUNTA(A940:D940,G940:I940)=0,"",IF(COUNTA(A940:D940,G940:I940)&lt;7,"LENGKAPI",IF(H940+I940&gt;N(F940)+G940,"ABNORMAL",IF(COUNTIFS($A$2:$A$2001,A940,$B$2:$B$2001,B940,$C$2:$C$2001,C940,$D$2:$D$2001,D940)&gt;1,"DUPLIKAT","OK"))))</f>
        <v/>
      </c>
    </row>
    <row r="941">
      <c r="A941" s="4" t="n"/>
      <c r="B941" s="5" t="n"/>
      <c r="C941" s="5" t="n"/>
      <c r="D941" s="5" t="n"/>
      <c r="E941" s="6">
        <f>IF(A941="","","B"&amp;TEXT(COUNT($A$2:A941),"00000"))</f>
        <v/>
      </c>
      <c r="F941" s="6">
        <f>IF(OR(C941="",D941=""),"",IFERROR(LOOKUP(2,1/(($C$1:C940=C941)*($D$1:D940=D941)*ISNUMBER($J$1:J940)),$J$1:J940),SUMIFS(Master!$G$2:$G$13,Master!$E$2:$E$13,C941,Master!$F$2:$F$13,D941)))</f>
        <v/>
      </c>
      <c r="G941" s="5" t="n"/>
      <c r="H941" s="5" t="n"/>
      <c r="I941" s="5" t="n"/>
      <c r="J941" s="6">
        <f>IF(OR(F941="",COUNT(G941:I941)&lt;3),"",F941+G941-H941-I941)</f>
        <v/>
      </c>
      <c r="K941" s="6">
        <f>IF(COUNTA(A941:D941,G941:I941)=0,"",IF(COUNTA(A941:D941,G941:I941)&lt;7,"LENGKAPI",IF(H941+I941&gt;N(F941)+G941,"ABNORMAL",IF(COUNTIFS($A$2:$A$2001,A941,$B$2:$B$2001,B941,$C$2:$C$2001,C941,$D$2:$D$2001,D941)&gt;1,"DUPLIKAT","OK"))))</f>
        <v/>
      </c>
    </row>
    <row r="942">
      <c r="A942" s="4" t="n"/>
      <c r="B942" s="5" t="n"/>
      <c r="C942" s="5" t="n"/>
      <c r="D942" s="5" t="n"/>
      <c r="E942" s="6">
        <f>IF(A942="","","B"&amp;TEXT(COUNT($A$2:A942),"00000"))</f>
        <v/>
      </c>
      <c r="F942" s="6">
        <f>IF(OR(C942="",D942=""),"",IFERROR(LOOKUP(2,1/(($C$1:C941=C942)*($D$1:D941=D942)*ISNUMBER($J$1:J941)),$J$1:J941),SUMIFS(Master!$G$2:$G$13,Master!$E$2:$E$13,C942,Master!$F$2:$F$13,D942)))</f>
        <v/>
      </c>
      <c r="G942" s="5" t="n"/>
      <c r="H942" s="5" t="n"/>
      <c r="I942" s="5" t="n"/>
      <c r="J942" s="6">
        <f>IF(OR(F942="",COUNT(G942:I942)&lt;3),"",F942+G942-H942-I942)</f>
        <v/>
      </c>
      <c r="K942" s="6">
        <f>IF(COUNTA(A942:D942,G942:I942)=0,"",IF(COUNTA(A942:D942,G942:I942)&lt;7,"LENGKAPI",IF(H942+I942&gt;N(F942)+G942,"ABNORMAL",IF(COUNTIFS($A$2:$A$2001,A942,$B$2:$B$2001,B942,$C$2:$C$2001,C942,$D$2:$D$2001,D942)&gt;1,"DUPLIKAT","OK"))))</f>
        <v/>
      </c>
    </row>
    <row r="943">
      <c r="A943" s="4" t="n"/>
      <c r="B943" s="5" t="n"/>
      <c r="C943" s="5" t="n"/>
      <c r="D943" s="5" t="n"/>
      <c r="E943" s="6">
        <f>IF(A943="","","B"&amp;TEXT(COUNT($A$2:A943),"00000"))</f>
        <v/>
      </c>
      <c r="F943" s="6">
        <f>IF(OR(C943="",D943=""),"",IFERROR(LOOKUP(2,1/(($C$1:C942=C943)*($D$1:D942=D943)*ISNUMBER($J$1:J942)),$J$1:J942),SUMIFS(Master!$G$2:$G$13,Master!$E$2:$E$13,C943,Master!$F$2:$F$13,D943)))</f>
        <v/>
      </c>
      <c r="G943" s="5" t="n"/>
      <c r="H943" s="5" t="n"/>
      <c r="I943" s="5" t="n"/>
      <c r="J943" s="6">
        <f>IF(OR(F943="",COUNT(G943:I943)&lt;3),"",F943+G943-H943-I943)</f>
        <v/>
      </c>
      <c r="K943" s="6">
        <f>IF(COUNTA(A943:D943,G943:I943)=0,"",IF(COUNTA(A943:D943,G943:I943)&lt;7,"LENGKAPI",IF(H943+I943&gt;N(F943)+G943,"ABNORMAL",IF(COUNTIFS($A$2:$A$2001,A943,$B$2:$B$2001,B943,$C$2:$C$2001,C943,$D$2:$D$2001,D943)&gt;1,"DUPLIKAT","OK"))))</f>
        <v/>
      </c>
    </row>
    <row r="944">
      <c r="A944" s="4" t="n"/>
      <c r="B944" s="5" t="n"/>
      <c r="C944" s="5" t="n"/>
      <c r="D944" s="5" t="n"/>
      <c r="E944" s="6">
        <f>IF(A944="","","B"&amp;TEXT(COUNT($A$2:A944),"00000"))</f>
        <v/>
      </c>
      <c r="F944" s="6">
        <f>IF(OR(C944="",D944=""),"",IFERROR(LOOKUP(2,1/(($C$1:C943=C944)*($D$1:D943=D944)*ISNUMBER($J$1:J943)),$J$1:J943),SUMIFS(Master!$G$2:$G$13,Master!$E$2:$E$13,C944,Master!$F$2:$F$13,D944)))</f>
        <v/>
      </c>
      <c r="G944" s="5" t="n"/>
      <c r="H944" s="5" t="n"/>
      <c r="I944" s="5" t="n"/>
      <c r="J944" s="6">
        <f>IF(OR(F944="",COUNT(G944:I944)&lt;3),"",F944+G944-H944-I944)</f>
        <v/>
      </c>
      <c r="K944" s="6">
        <f>IF(COUNTA(A944:D944,G944:I944)=0,"",IF(COUNTA(A944:D944,G944:I944)&lt;7,"LENGKAPI",IF(H944+I944&gt;N(F944)+G944,"ABNORMAL",IF(COUNTIFS($A$2:$A$2001,A944,$B$2:$B$2001,B944,$C$2:$C$2001,C944,$D$2:$D$2001,D944)&gt;1,"DUPLIKAT","OK"))))</f>
        <v/>
      </c>
    </row>
    <row r="945">
      <c r="A945" s="4" t="n"/>
      <c r="B945" s="5" t="n"/>
      <c r="C945" s="5" t="n"/>
      <c r="D945" s="5" t="n"/>
      <c r="E945" s="6">
        <f>IF(A945="","","B"&amp;TEXT(COUNT($A$2:A945),"00000"))</f>
        <v/>
      </c>
      <c r="F945" s="6">
        <f>IF(OR(C945="",D945=""),"",IFERROR(LOOKUP(2,1/(($C$1:C944=C945)*($D$1:D944=D945)*ISNUMBER($J$1:J944)),$J$1:J944),SUMIFS(Master!$G$2:$G$13,Master!$E$2:$E$13,C945,Master!$F$2:$F$13,D945)))</f>
        <v/>
      </c>
      <c r="G945" s="5" t="n"/>
      <c r="H945" s="5" t="n"/>
      <c r="I945" s="5" t="n"/>
      <c r="J945" s="6">
        <f>IF(OR(F945="",COUNT(G945:I945)&lt;3),"",F945+G945-H945-I945)</f>
        <v/>
      </c>
      <c r="K945" s="6">
        <f>IF(COUNTA(A945:D945,G945:I945)=0,"",IF(COUNTA(A945:D945,G945:I945)&lt;7,"LENGKAPI",IF(H945+I945&gt;N(F945)+G945,"ABNORMAL",IF(COUNTIFS($A$2:$A$2001,A945,$B$2:$B$2001,B945,$C$2:$C$2001,C945,$D$2:$D$2001,D945)&gt;1,"DUPLIKAT","OK"))))</f>
        <v/>
      </c>
    </row>
    <row r="946">
      <c r="A946" s="4" t="n"/>
      <c r="B946" s="5" t="n"/>
      <c r="C946" s="5" t="n"/>
      <c r="D946" s="5" t="n"/>
      <c r="E946" s="6">
        <f>IF(A946="","","B"&amp;TEXT(COUNT($A$2:A946),"00000"))</f>
        <v/>
      </c>
      <c r="F946" s="6">
        <f>IF(OR(C946="",D946=""),"",IFERROR(LOOKUP(2,1/(($C$1:C945=C946)*($D$1:D945=D946)*ISNUMBER($J$1:J945)),$J$1:J945),SUMIFS(Master!$G$2:$G$13,Master!$E$2:$E$13,C946,Master!$F$2:$F$13,D946)))</f>
        <v/>
      </c>
      <c r="G946" s="5" t="n"/>
      <c r="H946" s="5" t="n"/>
      <c r="I946" s="5" t="n"/>
      <c r="J946" s="6">
        <f>IF(OR(F946="",COUNT(G946:I946)&lt;3),"",F946+G946-H946-I946)</f>
        <v/>
      </c>
      <c r="K946" s="6">
        <f>IF(COUNTA(A946:D946,G946:I946)=0,"",IF(COUNTA(A946:D946,G946:I946)&lt;7,"LENGKAPI",IF(H946+I946&gt;N(F946)+G946,"ABNORMAL",IF(COUNTIFS($A$2:$A$2001,A946,$B$2:$B$2001,B946,$C$2:$C$2001,C946,$D$2:$D$2001,D946)&gt;1,"DUPLIKAT","OK"))))</f>
        <v/>
      </c>
    </row>
    <row r="947">
      <c r="A947" s="4" t="n"/>
      <c r="B947" s="5" t="n"/>
      <c r="C947" s="5" t="n"/>
      <c r="D947" s="5" t="n"/>
      <c r="E947" s="6">
        <f>IF(A947="","","B"&amp;TEXT(COUNT($A$2:A947),"00000"))</f>
        <v/>
      </c>
      <c r="F947" s="6">
        <f>IF(OR(C947="",D947=""),"",IFERROR(LOOKUP(2,1/(($C$1:C946=C947)*($D$1:D946=D947)*ISNUMBER($J$1:J946)),$J$1:J946),SUMIFS(Master!$G$2:$G$13,Master!$E$2:$E$13,C947,Master!$F$2:$F$13,D947)))</f>
        <v/>
      </c>
      <c r="G947" s="5" t="n"/>
      <c r="H947" s="5" t="n"/>
      <c r="I947" s="5" t="n"/>
      <c r="J947" s="6">
        <f>IF(OR(F947="",COUNT(G947:I947)&lt;3),"",F947+G947-H947-I947)</f>
        <v/>
      </c>
      <c r="K947" s="6">
        <f>IF(COUNTA(A947:D947,G947:I947)=0,"",IF(COUNTA(A947:D947,G947:I947)&lt;7,"LENGKAPI",IF(H947+I947&gt;N(F947)+G947,"ABNORMAL",IF(COUNTIFS($A$2:$A$2001,A947,$B$2:$B$2001,B947,$C$2:$C$2001,C947,$D$2:$D$2001,D947)&gt;1,"DUPLIKAT","OK"))))</f>
        <v/>
      </c>
    </row>
    <row r="948">
      <c r="A948" s="4" t="n"/>
      <c r="B948" s="5" t="n"/>
      <c r="C948" s="5" t="n"/>
      <c r="D948" s="5" t="n"/>
      <c r="E948" s="6">
        <f>IF(A948="","","B"&amp;TEXT(COUNT($A$2:A948),"00000"))</f>
        <v/>
      </c>
      <c r="F948" s="6">
        <f>IF(OR(C948="",D948=""),"",IFERROR(LOOKUP(2,1/(($C$1:C947=C948)*($D$1:D947=D948)*ISNUMBER($J$1:J947)),$J$1:J947),SUMIFS(Master!$G$2:$G$13,Master!$E$2:$E$13,C948,Master!$F$2:$F$13,D948)))</f>
        <v/>
      </c>
      <c r="G948" s="5" t="n"/>
      <c r="H948" s="5" t="n"/>
      <c r="I948" s="5" t="n"/>
      <c r="J948" s="6">
        <f>IF(OR(F948="",COUNT(G948:I948)&lt;3),"",F948+G948-H948-I948)</f>
        <v/>
      </c>
      <c r="K948" s="6">
        <f>IF(COUNTA(A948:D948,G948:I948)=0,"",IF(COUNTA(A948:D948,G948:I948)&lt;7,"LENGKAPI",IF(H948+I948&gt;N(F948)+G948,"ABNORMAL",IF(COUNTIFS($A$2:$A$2001,A948,$B$2:$B$2001,B948,$C$2:$C$2001,C948,$D$2:$D$2001,D948)&gt;1,"DUPLIKAT","OK"))))</f>
        <v/>
      </c>
    </row>
    <row r="949">
      <c r="A949" s="4" t="n"/>
      <c r="B949" s="5" t="n"/>
      <c r="C949" s="5" t="n"/>
      <c r="D949" s="5" t="n"/>
      <c r="E949" s="6">
        <f>IF(A949="","","B"&amp;TEXT(COUNT($A$2:A949),"00000"))</f>
        <v/>
      </c>
      <c r="F949" s="6">
        <f>IF(OR(C949="",D949=""),"",IFERROR(LOOKUP(2,1/(($C$1:C948=C949)*($D$1:D948=D949)*ISNUMBER($J$1:J948)),$J$1:J948),SUMIFS(Master!$G$2:$G$13,Master!$E$2:$E$13,C949,Master!$F$2:$F$13,D949)))</f>
        <v/>
      </c>
      <c r="G949" s="5" t="n"/>
      <c r="H949" s="5" t="n"/>
      <c r="I949" s="5" t="n"/>
      <c r="J949" s="6">
        <f>IF(OR(F949="",COUNT(G949:I949)&lt;3),"",F949+G949-H949-I949)</f>
        <v/>
      </c>
      <c r="K949" s="6">
        <f>IF(COUNTA(A949:D949,G949:I949)=0,"",IF(COUNTA(A949:D949,G949:I949)&lt;7,"LENGKAPI",IF(H949+I949&gt;N(F949)+G949,"ABNORMAL",IF(COUNTIFS($A$2:$A$2001,A949,$B$2:$B$2001,B949,$C$2:$C$2001,C949,$D$2:$D$2001,D949)&gt;1,"DUPLIKAT","OK"))))</f>
        <v/>
      </c>
    </row>
    <row r="950">
      <c r="A950" s="4" t="n"/>
      <c r="B950" s="5" t="n"/>
      <c r="C950" s="5" t="n"/>
      <c r="D950" s="5" t="n"/>
      <c r="E950" s="6">
        <f>IF(A950="","","B"&amp;TEXT(COUNT($A$2:A950),"00000"))</f>
        <v/>
      </c>
      <c r="F950" s="6">
        <f>IF(OR(C950="",D950=""),"",IFERROR(LOOKUP(2,1/(($C$1:C949=C950)*($D$1:D949=D950)*ISNUMBER($J$1:J949)),$J$1:J949),SUMIFS(Master!$G$2:$G$13,Master!$E$2:$E$13,C950,Master!$F$2:$F$13,D950)))</f>
        <v/>
      </c>
      <c r="G950" s="5" t="n"/>
      <c r="H950" s="5" t="n"/>
      <c r="I950" s="5" t="n"/>
      <c r="J950" s="6">
        <f>IF(OR(F950="",COUNT(G950:I950)&lt;3),"",F950+G950-H950-I950)</f>
        <v/>
      </c>
      <c r="K950" s="6">
        <f>IF(COUNTA(A950:D950,G950:I950)=0,"",IF(COUNTA(A950:D950,G950:I950)&lt;7,"LENGKAPI",IF(H950+I950&gt;N(F950)+G950,"ABNORMAL",IF(COUNTIFS($A$2:$A$2001,A950,$B$2:$B$2001,B950,$C$2:$C$2001,C950,$D$2:$D$2001,D950)&gt;1,"DUPLIKAT","OK"))))</f>
        <v/>
      </c>
    </row>
    <row r="951">
      <c r="A951" s="4" t="n"/>
      <c r="B951" s="5" t="n"/>
      <c r="C951" s="5" t="n"/>
      <c r="D951" s="5" t="n"/>
      <c r="E951" s="6">
        <f>IF(A951="","","B"&amp;TEXT(COUNT($A$2:A951),"00000"))</f>
        <v/>
      </c>
      <c r="F951" s="6">
        <f>IF(OR(C951="",D951=""),"",IFERROR(LOOKUP(2,1/(($C$1:C950=C951)*($D$1:D950=D951)*ISNUMBER($J$1:J950)),$J$1:J950),SUMIFS(Master!$G$2:$G$13,Master!$E$2:$E$13,C951,Master!$F$2:$F$13,D951)))</f>
        <v/>
      </c>
      <c r="G951" s="5" t="n"/>
      <c r="H951" s="5" t="n"/>
      <c r="I951" s="5" t="n"/>
      <c r="J951" s="6">
        <f>IF(OR(F951="",COUNT(G951:I951)&lt;3),"",F951+G951-H951-I951)</f>
        <v/>
      </c>
      <c r="K951" s="6">
        <f>IF(COUNTA(A951:D951,G951:I951)=0,"",IF(COUNTA(A951:D951,G951:I951)&lt;7,"LENGKAPI",IF(H951+I951&gt;N(F951)+G951,"ABNORMAL",IF(COUNTIFS($A$2:$A$2001,A951,$B$2:$B$2001,B951,$C$2:$C$2001,C951,$D$2:$D$2001,D951)&gt;1,"DUPLIKAT","OK"))))</f>
        <v/>
      </c>
    </row>
    <row r="952">
      <c r="A952" s="4" t="n"/>
      <c r="B952" s="5" t="n"/>
      <c r="C952" s="5" t="n"/>
      <c r="D952" s="5" t="n"/>
      <c r="E952" s="6">
        <f>IF(A952="","","B"&amp;TEXT(COUNT($A$2:A952),"00000"))</f>
        <v/>
      </c>
      <c r="F952" s="6">
        <f>IF(OR(C952="",D952=""),"",IFERROR(LOOKUP(2,1/(($C$1:C951=C952)*($D$1:D951=D952)*ISNUMBER($J$1:J951)),$J$1:J951),SUMIFS(Master!$G$2:$G$13,Master!$E$2:$E$13,C952,Master!$F$2:$F$13,D952)))</f>
        <v/>
      </c>
      <c r="G952" s="5" t="n"/>
      <c r="H952" s="5" t="n"/>
      <c r="I952" s="5" t="n"/>
      <c r="J952" s="6">
        <f>IF(OR(F952="",COUNT(G952:I952)&lt;3),"",F952+G952-H952-I952)</f>
        <v/>
      </c>
      <c r="K952" s="6">
        <f>IF(COUNTA(A952:D952,G952:I952)=0,"",IF(COUNTA(A952:D952,G952:I952)&lt;7,"LENGKAPI",IF(H952+I952&gt;N(F952)+G952,"ABNORMAL",IF(COUNTIFS($A$2:$A$2001,A952,$B$2:$B$2001,B952,$C$2:$C$2001,C952,$D$2:$D$2001,D952)&gt;1,"DUPLIKAT","OK"))))</f>
        <v/>
      </c>
    </row>
    <row r="953">
      <c r="A953" s="4" t="n"/>
      <c r="B953" s="5" t="n"/>
      <c r="C953" s="5" t="n"/>
      <c r="D953" s="5" t="n"/>
      <c r="E953" s="6">
        <f>IF(A953="","","B"&amp;TEXT(COUNT($A$2:A953),"00000"))</f>
        <v/>
      </c>
      <c r="F953" s="6">
        <f>IF(OR(C953="",D953=""),"",IFERROR(LOOKUP(2,1/(($C$1:C952=C953)*($D$1:D952=D953)*ISNUMBER($J$1:J952)),$J$1:J952),SUMIFS(Master!$G$2:$G$13,Master!$E$2:$E$13,C953,Master!$F$2:$F$13,D953)))</f>
        <v/>
      </c>
      <c r="G953" s="5" t="n"/>
      <c r="H953" s="5" t="n"/>
      <c r="I953" s="5" t="n"/>
      <c r="J953" s="6">
        <f>IF(OR(F953="",COUNT(G953:I953)&lt;3),"",F953+G953-H953-I953)</f>
        <v/>
      </c>
      <c r="K953" s="6">
        <f>IF(COUNTA(A953:D953,G953:I953)=0,"",IF(COUNTA(A953:D953,G953:I953)&lt;7,"LENGKAPI",IF(H953+I953&gt;N(F953)+G953,"ABNORMAL",IF(COUNTIFS($A$2:$A$2001,A953,$B$2:$B$2001,B953,$C$2:$C$2001,C953,$D$2:$D$2001,D953)&gt;1,"DUPLIKAT","OK"))))</f>
        <v/>
      </c>
    </row>
    <row r="954">
      <c r="A954" s="4" t="n"/>
      <c r="B954" s="5" t="n"/>
      <c r="C954" s="5" t="n"/>
      <c r="D954" s="5" t="n"/>
      <c r="E954" s="6">
        <f>IF(A954="","","B"&amp;TEXT(COUNT($A$2:A954),"00000"))</f>
        <v/>
      </c>
      <c r="F954" s="6">
        <f>IF(OR(C954="",D954=""),"",IFERROR(LOOKUP(2,1/(($C$1:C953=C954)*($D$1:D953=D954)*ISNUMBER($J$1:J953)),$J$1:J953),SUMIFS(Master!$G$2:$G$13,Master!$E$2:$E$13,C954,Master!$F$2:$F$13,D954)))</f>
        <v/>
      </c>
      <c r="G954" s="5" t="n"/>
      <c r="H954" s="5" t="n"/>
      <c r="I954" s="5" t="n"/>
      <c r="J954" s="6">
        <f>IF(OR(F954="",COUNT(G954:I954)&lt;3),"",F954+G954-H954-I954)</f>
        <v/>
      </c>
      <c r="K954" s="6">
        <f>IF(COUNTA(A954:D954,G954:I954)=0,"",IF(COUNTA(A954:D954,G954:I954)&lt;7,"LENGKAPI",IF(H954+I954&gt;N(F954)+G954,"ABNORMAL",IF(COUNTIFS($A$2:$A$2001,A954,$B$2:$B$2001,B954,$C$2:$C$2001,C954,$D$2:$D$2001,D954)&gt;1,"DUPLIKAT","OK"))))</f>
        <v/>
      </c>
    </row>
    <row r="955">
      <c r="A955" s="4" t="n"/>
      <c r="B955" s="5" t="n"/>
      <c r="C955" s="5" t="n"/>
      <c r="D955" s="5" t="n"/>
      <c r="E955" s="6">
        <f>IF(A955="","","B"&amp;TEXT(COUNT($A$2:A955),"00000"))</f>
        <v/>
      </c>
      <c r="F955" s="6">
        <f>IF(OR(C955="",D955=""),"",IFERROR(LOOKUP(2,1/(($C$1:C954=C955)*($D$1:D954=D955)*ISNUMBER($J$1:J954)),$J$1:J954),SUMIFS(Master!$G$2:$G$13,Master!$E$2:$E$13,C955,Master!$F$2:$F$13,D955)))</f>
        <v/>
      </c>
      <c r="G955" s="5" t="n"/>
      <c r="H955" s="5" t="n"/>
      <c r="I955" s="5" t="n"/>
      <c r="J955" s="6">
        <f>IF(OR(F955="",COUNT(G955:I955)&lt;3),"",F955+G955-H955-I955)</f>
        <v/>
      </c>
      <c r="K955" s="6">
        <f>IF(COUNTA(A955:D955,G955:I955)=0,"",IF(COUNTA(A955:D955,G955:I955)&lt;7,"LENGKAPI",IF(H955+I955&gt;N(F955)+G955,"ABNORMAL",IF(COUNTIFS($A$2:$A$2001,A955,$B$2:$B$2001,B955,$C$2:$C$2001,C955,$D$2:$D$2001,D955)&gt;1,"DUPLIKAT","OK"))))</f>
        <v/>
      </c>
    </row>
    <row r="956">
      <c r="A956" s="4" t="n"/>
      <c r="B956" s="5" t="n"/>
      <c r="C956" s="5" t="n"/>
      <c r="D956" s="5" t="n"/>
      <c r="E956" s="6">
        <f>IF(A956="","","B"&amp;TEXT(COUNT($A$2:A956),"00000"))</f>
        <v/>
      </c>
      <c r="F956" s="6">
        <f>IF(OR(C956="",D956=""),"",IFERROR(LOOKUP(2,1/(($C$1:C955=C956)*($D$1:D955=D956)*ISNUMBER($J$1:J955)),$J$1:J955),SUMIFS(Master!$G$2:$G$13,Master!$E$2:$E$13,C956,Master!$F$2:$F$13,D956)))</f>
        <v/>
      </c>
      <c r="G956" s="5" t="n"/>
      <c r="H956" s="5" t="n"/>
      <c r="I956" s="5" t="n"/>
      <c r="J956" s="6">
        <f>IF(OR(F956="",COUNT(G956:I956)&lt;3),"",F956+G956-H956-I956)</f>
        <v/>
      </c>
      <c r="K956" s="6">
        <f>IF(COUNTA(A956:D956,G956:I956)=0,"",IF(COUNTA(A956:D956,G956:I956)&lt;7,"LENGKAPI",IF(H956+I956&gt;N(F956)+G956,"ABNORMAL",IF(COUNTIFS($A$2:$A$2001,A956,$B$2:$B$2001,B956,$C$2:$C$2001,C956,$D$2:$D$2001,D956)&gt;1,"DUPLIKAT","OK"))))</f>
        <v/>
      </c>
    </row>
    <row r="957">
      <c r="A957" s="4" t="n"/>
      <c r="B957" s="5" t="n"/>
      <c r="C957" s="5" t="n"/>
      <c r="D957" s="5" t="n"/>
      <c r="E957" s="6">
        <f>IF(A957="","","B"&amp;TEXT(COUNT($A$2:A957),"00000"))</f>
        <v/>
      </c>
      <c r="F957" s="6">
        <f>IF(OR(C957="",D957=""),"",IFERROR(LOOKUP(2,1/(($C$1:C956=C957)*($D$1:D956=D957)*ISNUMBER($J$1:J956)),$J$1:J956),SUMIFS(Master!$G$2:$G$13,Master!$E$2:$E$13,C957,Master!$F$2:$F$13,D957)))</f>
        <v/>
      </c>
      <c r="G957" s="5" t="n"/>
      <c r="H957" s="5" t="n"/>
      <c r="I957" s="5" t="n"/>
      <c r="J957" s="6">
        <f>IF(OR(F957="",COUNT(G957:I957)&lt;3),"",F957+G957-H957-I957)</f>
        <v/>
      </c>
      <c r="K957" s="6">
        <f>IF(COUNTA(A957:D957,G957:I957)=0,"",IF(COUNTA(A957:D957,G957:I957)&lt;7,"LENGKAPI",IF(H957+I957&gt;N(F957)+G957,"ABNORMAL",IF(COUNTIFS($A$2:$A$2001,A957,$B$2:$B$2001,B957,$C$2:$C$2001,C957,$D$2:$D$2001,D957)&gt;1,"DUPLIKAT","OK"))))</f>
        <v/>
      </c>
    </row>
    <row r="958">
      <c r="A958" s="4" t="n"/>
      <c r="B958" s="5" t="n"/>
      <c r="C958" s="5" t="n"/>
      <c r="D958" s="5" t="n"/>
      <c r="E958" s="6">
        <f>IF(A958="","","B"&amp;TEXT(COUNT($A$2:A958),"00000"))</f>
        <v/>
      </c>
      <c r="F958" s="6">
        <f>IF(OR(C958="",D958=""),"",IFERROR(LOOKUP(2,1/(($C$1:C957=C958)*($D$1:D957=D958)*ISNUMBER($J$1:J957)),$J$1:J957),SUMIFS(Master!$G$2:$G$13,Master!$E$2:$E$13,C958,Master!$F$2:$F$13,D958)))</f>
        <v/>
      </c>
      <c r="G958" s="5" t="n"/>
      <c r="H958" s="5" t="n"/>
      <c r="I958" s="5" t="n"/>
      <c r="J958" s="6">
        <f>IF(OR(F958="",COUNT(G958:I958)&lt;3),"",F958+G958-H958-I958)</f>
        <v/>
      </c>
      <c r="K958" s="6">
        <f>IF(COUNTA(A958:D958,G958:I958)=0,"",IF(COUNTA(A958:D958,G958:I958)&lt;7,"LENGKAPI",IF(H958+I958&gt;N(F958)+G958,"ABNORMAL",IF(COUNTIFS($A$2:$A$2001,A958,$B$2:$B$2001,B958,$C$2:$C$2001,C958,$D$2:$D$2001,D958)&gt;1,"DUPLIKAT","OK"))))</f>
        <v/>
      </c>
    </row>
    <row r="959">
      <c r="A959" s="4" t="n"/>
      <c r="B959" s="5" t="n"/>
      <c r="C959" s="5" t="n"/>
      <c r="D959" s="5" t="n"/>
      <c r="E959" s="6">
        <f>IF(A959="","","B"&amp;TEXT(COUNT($A$2:A959),"00000"))</f>
        <v/>
      </c>
      <c r="F959" s="6">
        <f>IF(OR(C959="",D959=""),"",IFERROR(LOOKUP(2,1/(($C$1:C958=C959)*($D$1:D958=D959)*ISNUMBER($J$1:J958)),$J$1:J958),SUMIFS(Master!$G$2:$G$13,Master!$E$2:$E$13,C959,Master!$F$2:$F$13,D959)))</f>
        <v/>
      </c>
      <c r="G959" s="5" t="n"/>
      <c r="H959" s="5" t="n"/>
      <c r="I959" s="5" t="n"/>
      <c r="J959" s="6">
        <f>IF(OR(F959="",COUNT(G959:I959)&lt;3),"",F959+G959-H959-I959)</f>
        <v/>
      </c>
      <c r="K959" s="6">
        <f>IF(COUNTA(A959:D959,G959:I959)=0,"",IF(COUNTA(A959:D959,G959:I959)&lt;7,"LENGKAPI",IF(H959+I959&gt;N(F959)+G959,"ABNORMAL",IF(COUNTIFS($A$2:$A$2001,A959,$B$2:$B$2001,B959,$C$2:$C$2001,C959,$D$2:$D$2001,D959)&gt;1,"DUPLIKAT","OK"))))</f>
        <v/>
      </c>
    </row>
    <row r="960">
      <c r="A960" s="4" t="n"/>
      <c r="B960" s="5" t="n"/>
      <c r="C960" s="5" t="n"/>
      <c r="D960" s="5" t="n"/>
      <c r="E960" s="6">
        <f>IF(A960="","","B"&amp;TEXT(COUNT($A$2:A960),"00000"))</f>
        <v/>
      </c>
      <c r="F960" s="6">
        <f>IF(OR(C960="",D960=""),"",IFERROR(LOOKUP(2,1/(($C$1:C959=C960)*($D$1:D959=D960)*ISNUMBER($J$1:J959)),$J$1:J959),SUMIFS(Master!$G$2:$G$13,Master!$E$2:$E$13,C960,Master!$F$2:$F$13,D960)))</f>
        <v/>
      </c>
      <c r="G960" s="5" t="n"/>
      <c r="H960" s="5" t="n"/>
      <c r="I960" s="5" t="n"/>
      <c r="J960" s="6">
        <f>IF(OR(F960="",COUNT(G960:I960)&lt;3),"",F960+G960-H960-I960)</f>
        <v/>
      </c>
      <c r="K960" s="6">
        <f>IF(COUNTA(A960:D960,G960:I960)=0,"",IF(COUNTA(A960:D960,G960:I960)&lt;7,"LENGKAPI",IF(H960+I960&gt;N(F960)+G960,"ABNORMAL",IF(COUNTIFS($A$2:$A$2001,A960,$B$2:$B$2001,B960,$C$2:$C$2001,C960,$D$2:$D$2001,D960)&gt;1,"DUPLIKAT","OK"))))</f>
        <v/>
      </c>
    </row>
    <row r="961">
      <c r="A961" s="4" t="n"/>
      <c r="B961" s="5" t="n"/>
      <c r="C961" s="5" t="n"/>
      <c r="D961" s="5" t="n"/>
      <c r="E961" s="6">
        <f>IF(A961="","","B"&amp;TEXT(COUNT($A$2:A961),"00000"))</f>
        <v/>
      </c>
      <c r="F961" s="6">
        <f>IF(OR(C961="",D961=""),"",IFERROR(LOOKUP(2,1/(($C$1:C960=C961)*($D$1:D960=D961)*ISNUMBER($J$1:J960)),$J$1:J960),SUMIFS(Master!$G$2:$G$13,Master!$E$2:$E$13,C961,Master!$F$2:$F$13,D961)))</f>
        <v/>
      </c>
      <c r="G961" s="5" t="n"/>
      <c r="H961" s="5" t="n"/>
      <c r="I961" s="5" t="n"/>
      <c r="J961" s="6">
        <f>IF(OR(F961="",COUNT(G961:I961)&lt;3),"",F961+G961-H961-I961)</f>
        <v/>
      </c>
      <c r="K961" s="6">
        <f>IF(COUNTA(A961:D961,G961:I961)=0,"",IF(COUNTA(A961:D961,G961:I961)&lt;7,"LENGKAPI",IF(H961+I961&gt;N(F961)+G961,"ABNORMAL",IF(COUNTIFS($A$2:$A$2001,A961,$B$2:$B$2001,B961,$C$2:$C$2001,C961,$D$2:$D$2001,D961)&gt;1,"DUPLIKAT","OK"))))</f>
        <v/>
      </c>
    </row>
    <row r="962">
      <c r="A962" s="4" t="n"/>
      <c r="B962" s="5" t="n"/>
      <c r="C962" s="5" t="n"/>
      <c r="D962" s="5" t="n"/>
      <c r="E962" s="6">
        <f>IF(A962="","","B"&amp;TEXT(COUNT($A$2:A962),"00000"))</f>
        <v/>
      </c>
      <c r="F962" s="6">
        <f>IF(OR(C962="",D962=""),"",IFERROR(LOOKUP(2,1/(($C$1:C961=C962)*($D$1:D961=D962)*ISNUMBER($J$1:J961)),$J$1:J961),SUMIFS(Master!$G$2:$G$13,Master!$E$2:$E$13,C962,Master!$F$2:$F$13,D962)))</f>
        <v/>
      </c>
      <c r="G962" s="5" t="n"/>
      <c r="H962" s="5" t="n"/>
      <c r="I962" s="5" t="n"/>
      <c r="J962" s="6">
        <f>IF(OR(F962="",COUNT(G962:I962)&lt;3),"",F962+G962-H962-I962)</f>
        <v/>
      </c>
      <c r="K962" s="6">
        <f>IF(COUNTA(A962:D962,G962:I962)=0,"",IF(COUNTA(A962:D962,G962:I962)&lt;7,"LENGKAPI",IF(H962+I962&gt;N(F962)+G962,"ABNORMAL",IF(COUNTIFS($A$2:$A$2001,A962,$B$2:$B$2001,B962,$C$2:$C$2001,C962,$D$2:$D$2001,D962)&gt;1,"DUPLIKAT","OK"))))</f>
        <v/>
      </c>
    </row>
    <row r="963">
      <c r="A963" s="4" t="n"/>
      <c r="B963" s="5" t="n"/>
      <c r="C963" s="5" t="n"/>
      <c r="D963" s="5" t="n"/>
      <c r="E963" s="6">
        <f>IF(A963="","","B"&amp;TEXT(COUNT($A$2:A963),"00000"))</f>
        <v/>
      </c>
      <c r="F963" s="6">
        <f>IF(OR(C963="",D963=""),"",IFERROR(LOOKUP(2,1/(($C$1:C962=C963)*($D$1:D962=D963)*ISNUMBER($J$1:J962)),$J$1:J962),SUMIFS(Master!$G$2:$G$13,Master!$E$2:$E$13,C963,Master!$F$2:$F$13,D963)))</f>
        <v/>
      </c>
      <c r="G963" s="5" t="n"/>
      <c r="H963" s="5" t="n"/>
      <c r="I963" s="5" t="n"/>
      <c r="J963" s="6">
        <f>IF(OR(F963="",COUNT(G963:I963)&lt;3),"",F963+G963-H963-I963)</f>
        <v/>
      </c>
      <c r="K963" s="6">
        <f>IF(COUNTA(A963:D963,G963:I963)=0,"",IF(COUNTA(A963:D963,G963:I963)&lt;7,"LENGKAPI",IF(H963+I963&gt;N(F963)+G963,"ABNORMAL",IF(COUNTIFS($A$2:$A$2001,A963,$B$2:$B$2001,B963,$C$2:$C$2001,C963,$D$2:$D$2001,D963)&gt;1,"DUPLIKAT","OK"))))</f>
        <v/>
      </c>
    </row>
    <row r="964">
      <c r="A964" s="4" t="n"/>
      <c r="B964" s="5" t="n"/>
      <c r="C964" s="5" t="n"/>
      <c r="D964" s="5" t="n"/>
      <c r="E964" s="6">
        <f>IF(A964="","","B"&amp;TEXT(COUNT($A$2:A964),"00000"))</f>
        <v/>
      </c>
      <c r="F964" s="6">
        <f>IF(OR(C964="",D964=""),"",IFERROR(LOOKUP(2,1/(($C$1:C963=C964)*($D$1:D963=D964)*ISNUMBER($J$1:J963)),$J$1:J963),SUMIFS(Master!$G$2:$G$13,Master!$E$2:$E$13,C964,Master!$F$2:$F$13,D964)))</f>
        <v/>
      </c>
      <c r="G964" s="5" t="n"/>
      <c r="H964" s="5" t="n"/>
      <c r="I964" s="5" t="n"/>
      <c r="J964" s="6">
        <f>IF(OR(F964="",COUNT(G964:I964)&lt;3),"",F964+G964-H964-I964)</f>
        <v/>
      </c>
      <c r="K964" s="6">
        <f>IF(COUNTA(A964:D964,G964:I964)=0,"",IF(COUNTA(A964:D964,G964:I964)&lt;7,"LENGKAPI",IF(H964+I964&gt;N(F964)+G964,"ABNORMAL",IF(COUNTIFS($A$2:$A$2001,A964,$B$2:$B$2001,B964,$C$2:$C$2001,C964,$D$2:$D$2001,D964)&gt;1,"DUPLIKAT","OK"))))</f>
        <v/>
      </c>
    </row>
    <row r="965">
      <c r="A965" s="4" t="n"/>
      <c r="B965" s="5" t="n"/>
      <c r="C965" s="5" t="n"/>
      <c r="D965" s="5" t="n"/>
      <c r="E965" s="6">
        <f>IF(A965="","","B"&amp;TEXT(COUNT($A$2:A965),"00000"))</f>
        <v/>
      </c>
      <c r="F965" s="6">
        <f>IF(OR(C965="",D965=""),"",IFERROR(LOOKUP(2,1/(($C$1:C964=C965)*($D$1:D964=D965)*ISNUMBER($J$1:J964)),$J$1:J964),SUMIFS(Master!$G$2:$G$13,Master!$E$2:$E$13,C965,Master!$F$2:$F$13,D965)))</f>
        <v/>
      </c>
      <c r="G965" s="5" t="n"/>
      <c r="H965" s="5" t="n"/>
      <c r="I965" s="5" t="n"/>
      <c r="J965" s="6">
        <f>IF(OR(F965="",COUNT(G965:I965)&lt;3),"",F965+G965-H965-I965)</f>
        <v/>
      </c>
      <c r="K965" s="6">
        <f>IF(COUNTA(A965:D965,G965:I965)=0,"",IF(COUNTA(A965:D965,G965:I965)&lt;7,"LENGKAPI",IF(H965+I965&gt;N(F965)+G965,"ABNORMAL",IF(COUNTIFS($A$2:$A$2001,A965,$B$2:$B$2001,B965,$C$2:$C$2001,C965,$D$2:$D$2001,D965)&gt;1,"DUPLIKAT","OK"))))</f>
        <v/>
      </c>
    </row>
    <row r="966">
      <c r="A966" s="4" t="n"/>
      <c r="B966" s="5" t="n"/>
      <c r="C966" s="5" t="n"/>
      <c r="D966" s="5" t="n"/>
      <c r="E966" s="6">
        <f>IF(A966="","","B"&amp;TEXT(COUNT($A$2:A966),"00000"))</f>
        <v/>
      </c>
      <c r="F966" s="6">
        <f>IF(OR(C966="",D966=""),"",IFERROR(LOOKUP(2,1/(($C$1:C965=C966)*($D$1:D965=D966)*ISNUMBER($J$1:J965)),$J$1:J965),SUMIFS(Master!$G$2:$G$13,Master!$E$2:$E$13,C966,Master!$F$2:$F$13,D966)))</f>
        <v/>
      </c>
      <c r="G966" s="5" t="n"/>
      <c r="H966" s="5" t="n"/>
      <c r="I966" s="5" t="n"/>
      <c r="J966" s="6">
        <f>IF(OR(F966="",COUNT(G966:I966)&lt;3),"",F966+G966-H966-I966)</f>
        <v/>
      </c>
      <c r="K966" s="6">
        <f>IF(COUNTA(A966:D966,G966:I966)=0,"",IF(COUNTA(A966:D966,G966:I966)&lt;7,"LENGKAPI",IF(H966+I966&gt;N(F966)+G966,"ABNORMAL",IF(COUNTIFS($A$2:$A$2001,A966,$B$2:$B$2001,B966,$C$2:$C$2001,C966,$D$2:$D$2001,D966)&gt;1,"DUPLIKAT","OK"))))</f>
        <v/>
      </c>
    </row>
    <row r="967">
      <c r="A967" s="4" t="n"/>
      <c r="B967" s="5" t="n"/>
      <c r="C967" s="5" t="n"/>
      <c r="D967" s="5" t="n"/>
      <c r="E967" s="6">
        <f>IF(A967="","","B"&amp;TEXT(COUNT($A$2:A967),"00000"))</f>
        <v/>
      </c>
      <c r="F967" s="6">
        <f>IF(OR(C967="",D967=""),"",IFERROR(LOOKUP(2,1/(($C$1:C966=C967)*($D$1:D966=D967)*ISNUMBER($J$1:J966)),$J$1:J966),SUMIFS(Master!$G$2:$G$13,Master!$E$2:$E$13,C967,Master!$F$2:$F$13,D967)))</f>
        <v/>
      </c>
      <c r="G967" s="5" t="n"/>
      <c r="H967" s="5" t="n"/>
      <c r="I967" s="5" t="n"/>
      <c r="J967" s="6">
        <f>IF(OR(F967="",COUNT(G967:I967)&lt;3),"",F967+G967-H967-I967)</f>
        <v/>
      </c>
      <c r="K967" s="6">
        <f>IF(COUNTA(A967:D967,G967:I967)=0,"",IF(COUNTA(A967:D967,G967:I967)&lt;7,"LENGKAPI",IF(H967+I967&gt;N(F967)+G967,"ABNORMAL",IF(COUNTIFS($A$2:$A$2001,A967,$B$2:$B$2001,B967,$C$2:$C$2001,C967,$D$2:$D$2001,D967)&gt;1,"DUPLIKAT","OK"))))</f>
        <v/>
      </c>
    </row>
    <row r="968">
      <c r="A968" s="4" t="n"/>
      <c r="B968" s="5" t="n"/>
      <c r="C968" s="5" t="n"/>
      <c r="D968" s="5" t="n"/>
      <c r="E968" s="6">
        <f>IF(A968="","","B"&amp;TEXT(COUNT($A$2:A968),"00000"))</f>
        <v/>
      </c>
      <c r="F968" s="6">
        <f>IF(OR(C968="",D968=""),"",IFERROR(LOOKUP(2,1/(($C$1:C967=C968)*($D$1:D967=D968)*ISNUMBER($J$1:J967)),$J$1:J967),SUMIFS(Master!$G$2:$G$13,Master!$E$2:$E$13,C968,Master!$F$2:$F$13,D968)))</f>
        <v/>
      </c>
      <c r="G968" s="5" t="n"/>
      <c r="H968" s="5" t="n"/>
      <c r="I968" s="5" t="n"/>
      <c r="J968" s="6">
        <f>IF(OR(F968="",COUNT(G968:I968)&lt;3),"",F968+G968-H968-I968)</f>
        <v/>
      </c>
      <c r="K968" s="6">
        <f>IF(COUNTA(A968:D968,G968:I968)=0,"",IF(COUNTA(A968:D968,G968:I968)&lt;7,"LENGKAPI",IF(H968+I968&gt;N(F968)+G968,"ABNORMAL",IF(COUNTIFS($A$2:$A$2001,A968,$B$2:$B$2001,B968,$C$2:$C$2001,C968,$D$2:$D$2001,D968)&gt;1,"DUPLIKAT","OK"))))</f>
        <v/>
      </c>
    </row>
    <row r="969">
      <c r="A969" s="4" t="n"/>
      <c r="B969" s="5" t="n"/>
      <c r="C969" s="5" t="n"/>
      <c r="D969" s="5" t="n"/>
      <c r="E969" s="6">
        <f>IF(A969="","","B"&amp;TEXT(COUNT($A$2:A969),"00000"))</f>
        <v/>
      </c>
      <c r="F969" s="6">
        <f>IF(OR(C969="",D969=""),"",IFERROR(LOOKUP(2,1/(($C$1:C968=C969)*($D$1:D968=D969)*ISNUMBER($J$1:J968)),$J$1:J968),SUMIFS(Master!$G$2:$G$13,Master!$E$2:$E$13,C969,Master!$F$2:$F$13,D969)))</f>
        <v/>
      </c>
      <c r="G969" s="5" t="n"/>
      <c r="H969" s="5" t="n"/>
      <c r="I969" s="5" t="n"/>
      <c r="J969" s="6">
        <f>IF(OR(F969="",COUNT(G969:I969)&lt;3),"",F969+G969-H969-I969)</f>
        <v/>
      </c>
      <c r="K969" s="6">
        <f>IF(COUNTA(A969:D969,G969:I969)=0,"",IF(COUNTA(A969:D969,G969:I969)&lt;7,"LENGKAPI",IF(H969+I969&gt;N(F969)+G969,"ABNORMAL",IF(COUNTIFS($A$2:$A$2001,A969,$B$2:$B$2001,B969,$C$2:$C$2001,C969,$D$2:$D$2001,D969)&gt;1,"DUPLIKAT","OK"))))</f>
        <v/>
      </c>
    </row>
    <row r="970">
      <c r="A970" s="4" t="n"/>
      <c r="B970" s="5" t="n"/>
      <c r="C970" s="5" t="n"/>
      <c r="D970" s="5" t="n"/>
      <c r="E970" s="6">
        <f>IF(A970="","","B"&amp;TEXT(COUNT($A$2:A970),"00000"))</f>
        <v/>
      </c>
      <c r="F970" s="6">
        <f>IF(OR(C970="",D970=""),"",IFERROR(LOOKUP(2,1/(($C$1:C969=C970)*($D$1:D969=D970)*ISNUMBER($J$1:J969)),$J$1:J969),SUMIFS(Master!$G$2:$G$13,Master!$E$2:$E$13,C970,Master!$F$2:$F$13,D970)))</f>
        <v/>
      </c>
      <c r="G970" s="5" t="n"/>
      <c r="H970" s="5" t="n"/>
      <c r="I970" s="5" t="n"/>
      <c r="J970" s="6">
        <f>IF(OR(F970="",COUNT(G970:I970)&lt;3),"",F970+G970-H970-I970)</f>
        <v/>
      </c>
      <c r="K970" s="6">
        <f>IF(COUNTA(A970:D970,G970:I970)=0,"",IF(COUNTA(A970:D970,G970:I970)&lt;7,"LENGKAPI",IF(H970+I970&gt;N(F970)+G970,"ABNORMAL",IF(COUNTIFS($A$2:$A$2001,A970,$B$2:$B$2001,B970,$C$2:$C$2001,C970,$D$2:$D$2001,D970)&gt;1,"DUPLIKAT","OK"))))</f>
        <v/>
      </c>
    </row>
    <row r="971">
      <c r="A971" s="4" t="n"/>
      <c r="B971" s="5" t="n"/>
      <c r="C971" s="5" t="n"/>
      <c r="D971" s="5" t="n"/>
      <c r="E971" s="6">
        <f>IF(A971="","","B"&amp;TEXT(COUNT($A$2:A971),"00000"))</f>
        <v/>
      </c>
      <c r="F971" s="6">
        <f>IF(OR(C971="",D971=""),"",IFERROR(LOOKUP(2,1/(($C$1:C970=C971)*($D$1:D970=D971)*ISNUMBER($J$1:J970)),$J$1:J970),SUMIFS(Master!$G$2:$G$13,Master!$E$2:$E$13,C971,Master!$F$2:$F$13,D971)))</f>
        <v/>
      </c>
      <c r="G971" s="5" t="n"/>
      <c r="H971" s="5" t="n"/>
      <c r="I971" s="5" t="n"/>
      <c r="J971" s="6">
        <f>IF(OR(F971="",COUNT(G971:I971)&lt;3),"",F971+G971-H971-I971)</f>
        <v/>
      </c>
      <c r="K971" s="6">
        <f>IF(COUNTA(A971:D971,G971:I971)=0,"",IF(COUNTA(A971:D971,G971:I971)&lt;7,"LENGKAPI",IF(H971+I971&gt;N(F971)+G971,"ABNORMAL",IF(COUNTIFS($A$2:$A$2001,A971,$B$2:$B$2001,B971,$C$2:$C$2001,C971,$D$2:$D$2001,D971)&gt;1,"DUPLIKAT","OK"))))</f>
        <v/>
      </c>
    </row>
    <row r="972">
      <c r="A972" s="4" t="n"/>
      <c r="B972" s="5" t="n"/>
      <c r="C972" s="5" t="n"/>
      <c r="D972" s="5" t="n"/>
      <c r="E972" s="6">
        <f>IF(A972="","","B"&amp;TEXT(COUNT($A$2:A972),"00000"))</f>
        <v/>
      </c>
      <c r="F972" s="6">
        <f>IF(OR(C972="",D972=""),"",IFERROR(LOOKUP(2,1/(($C$1:C971=C972)*($D$1:D971=D972)*ISNUMBER($J$1:J971)),$J$1:J971),SUMIFS(Master!$G$2:$G$13,Master!$E$2:$E$13,C972,Master!$F$2:$F$13,D972)))</f>
        <v/>
      </c>
      <c r="G972" s="5" t="n"/>
      <c r="H972" s="5" t="n"/>
      <c r="I972" s="5" t="n"/>
      <c r="J972" s="6">
        <f>IF(OR(F972="",COUNT(G972:I972)&lt;3),"",F972+G972-H972-I972)</f>
        <v/>
      </c>
      <c r="K972" s="6">
        <f>IF(COUNTA(A972:D972,G972:I972)=0,"",IF(COUNTA(A972:D972,G972:I972)&lt;7,"LENGKAPI",IF(H972+I972&gt;N(F972)+G972,"ABNORMAL",IF(COUNTIFS($A$2:$A$2001,A972,$B$2:$B$2001,B972,$C$2:$C$2001,C972,$D$2:$D$2001,D972)&gt;1,"DUPLIKAT","OK"))))</f>
        <v/>
      </c>
    </row>
    <row r="973">
      <c r="A973" s="4" t="n"/>
      <c r="B973" s="5" t="n"/>
      <c r="C973" s="5" t="n"/>
      <c r="D973" s="5" t="n"/>
      <c r="E973" s="6">
        <f>IF(A973="","","B"&amp;TEXT(COUNT($A$2:A973),"00000"))</f>
        <v/>
      </c>
      <c r="F973" s="6">
        <f>IF(OR(C973="",D973=""),"",IFERROR(LOOKUP(2,1/(($C$1:C972=C973)*($D$1:D972=D973)*ISNUMBER($J$1:J972)),$J$1:J972),SUMIFS(Master!$G$2:$G$13,Master!$E$2:$E$13,C973,Master!$F$2:$F$13,D973)))</f>
        <v/>
      </c>
      <c r="G973" s="5" t="n"/>
      <c r="H973" s="5" t="n"/>
      <c r="I973" s="5" t="n"/>
      <c r="J973" s="6">
        <f>IF(OR(F973="",COUNT(G973:I973)&lt;3),"",F973+G973-H973-I973)</f>
        <v/>
      </c>
      <c r="K973" s="6">
        <f>IF(COUNTA(A973:D973,G973:I973)=0,"",IF(COUNTA(A973:D973,G973:I973)&lt;7,"LENGKAPI",IF(H973+I973&gt;N(F973)+G973,"ABNORMAL",IF(COUNTIFS($A$2:$A$2001,A973,$B$2:$B$2001,B973,$C$2:$C$2001,C973,$D$2:$D$2001,D973)&gt;1,"DUPLIKAT","OK"))))</f>
        <v/>
      </c>
    </row>
    <row r="974">
      <c r="A974" s="4" t="n"/>
      <c r="B974" s="5" t="n"/>
      <c r="C974" s="5" t="n"/>
      <c r="D974" s="5" t="n"/>
      <c r="E974" s="6">
        <f>IF(A974="","","B"&amp;TEXT(COUNT($A$2:A974),"00000"))</f>
        <v/>
      </c>
      <c r="F974" s="6">
        <f>IF(OR(C974="",D974=""),"",IFERROR(LOOKUP(2,1/(($C$1:C973=C974)*($D$1:D973=D974)*ISNUMBER($J$1:J973)),$J$1:J973),SUMIFS(Master!$G$2:$G$13,Master!$E$2:$E$13,C974,Master!$F$2:$F$13,D974)))</f>
        <v/>
      </c>
      <c r="G974" s="5" t="n"/>
      <c r="H974" s="5" t="n"/>
      <c r="I974" s="5" t="n"/>
      <c r="J974" s="6">
        <f>IF(OR(F974="",COUNT(G974:I974)&lt;3),"",F974+G974-H974-I974)</f>
        <v/>
      </c>
      <c r="K974" s="6">
        <f>IF(COUNTA(A974:D974,G974:I974)=0,"",IF(COUNTA(A974:D974,G974:I974)&lt;7,"LENGKAPI",IF(H974+I974&gt;N(F974)+G974,"ABNORMAL",IF(COUNTIFS($A$2:$A$2001,A974,$B$2:$B$2001,B974,$C$2:$C$2001,C974,$D$2:$D$2001,D974)&gt;1,"DUPLIKAT","OK"))))</f>
        <v/>
      </c>
    </row>
    <row r="975">
      <c r="A975" s="4" t="n"/>
      <c r="B975" s="5" t="n"/>
      <c r="C975" s="5" t="n"/>
      <c r="D975" s="5" t="n"/>
      <c r="E975" s="6">
        <f>IF(A975="","","B"&amp;TEXT(COUNT($A$2:A975),"00000"))</f>
        <v/>
      </c>
      <c r="F975" s="6">
        <f>IF(OR(C975="",D975=""),"",IFERROR(LOOKUP(2,1/(($C$1:C974=C975)*($D$1:D974=D975)*ISNUMBER($J$1:J974)),$J$1:J974),SUMIFS(Master!$G$2:$G$13,Master!$E$2:$E$13,C975,Master!$F$2:$F$13,D975)))</f>
        <v/>
      </c>
      <c r="G975" s="5" t="n"/>
      <c r="H975" s="5" t="n"/>
      <c r="I975" s="5" t="n"/>
      <c r="J975" s="6">
        <f>IF(OR(F975="",COUNT(G975:I975)&lt;3),"",F975+G975-H975-I975)</f>
        <v/>
      </c>
      <c r="K975" s="6">
        <f>IF(COUNTA(A975:D975,G975:I975)=0,"",IF(COUNTA(A975:D975,G975:I975)&lt;7,"LENGKAPI",IF(H975+I975&gt;N(F975)+G975,"ABNORMAL",IF(COUNTIFS($A$2:$A$2001,A975,$B$2:$B$2001,B975,$C$2:$C$2001,C975,$D$2:$D$2001,D975)&gt;1,"DUPLIKAT","OK"))))</f>
        <v/>
      </c>
    </row>
    <row r="976">
      <c r="A976" s="4" t="n"/>
      <c r="B976" s="5" t="n"/>
      <c r="C976" s="5" t="n"/>
      <c r="D976" s="5" t="n"/>
      <c r="E976" s="6">
        <f>IF(A976="","","B"&amp;TEXT(COUNT($A$2:A976),"00000"))</f>
        <v/>
      </c>
      <c r="F976" s="6">
        <f>IF(OR(C976="",D976=""),"",IFERROR(LOOKUP(2,1/(($C$1:C975=C976)*($D$1:D975=D976)*ISNUMBER($J$1:J975)),$J$1:J975),SUMIFS(Master!$G$2:$G$13,Master!$E$2:$E$13,C976,Master!$F$2:$F$13,D976)))</f>
        <v/>
      </c>
      <c r="G976" s="5" t="n"/>
      <c r="H976" s="5" t="n"/>
      <c r="I976" s="5" t="n"/>
      <c r="J976" s="6">
        <f>IF(OR(F976="",COUNT(G976:I976)&lt;3),"",F976+G976-H976-I976)</f>
        <v/>
      </c>
      <c r="K976" s="6">
        <f>IF(COUNTA(A976:D976,G976:I976)=0,"",IF(COUNTA(A976:D976,G976:I976)&lt;7,"LENGKAPI",IF(H976+I976&gt;N(F976)+G976,"ABNORMAL",IF(COUNTIFS($A$2:$A$2001,A976,$B$2:$B$2001,B976,$C$2:$C$2001,C976,$D$2:$D$2001,D976)&gt;1,"DUPLIKAT","OK"))))</f>
        <v/>
      </c>
    </row>
    <row r="977">
      <c r="A977" s="4" t="n"/>
      <c r="B977" s="5" t="n"/>
      <c r="C977" s="5" t="n"/>
      <c r="D977" s="5" t="n"/>
      <c r="E977" s="6">
        <f>IF(A977="","","B"&amp;TEXT(COUNT($A$2:A977),"00000"))</f>
        <v/>
      </c>
      <c r="F977" s="6">
        <f>IF(OR(C977="",D977=""),"",IFERROR(LOOKUP(2,1/(($C$1:C976=C977)*($D$1:D976=D977)*ISNUMBER($J$1:J976)),$J$1:J976),SUMIFS(Master!$G$2:$G$13,Master!$E$2:$E$13,C977,Master!$F$2:$F$13,D977)))</f>
        <v/>
      </c>
      <c r="G977" s="5" t="n"/>
      <c r="H977" s="5" t="n"/>
      <c r="I977" s="5" t="n"/>
      <c r="J977" s="6">
        <f>IF(OR(F977="",COUNT(G977:I977)&lt;3),"",F977+G977-H977-I977)</f>
        <v/>
      </c>
      <c r="K977" s="6">
        <f>IF(COUNTA(A977:D977,G977:I977)=0,"",IF(COUNTA(A977:D977,G977:I977)&lt;7,"LENGKAPI",IF(H977+I977&gt;N(F977)+G977,"ABNORMAL",IF(COUNTIFS($A$2:$A$2001,A977,$B$2:$B$2001,B977,$C$2:$C$2001,C977,$D$2:$D$2001,D977)&gt;1,"DUPLIKAT","OK"))))</f>
        <v/>
      </c>
    </row>
    <row r="978">
      <c r="A978" s="4" t="n"/>
      <c r="B978" s="5" t="n"/>
      <c r="C978" s="5" t="n"/>
      <c r="D978" s="5" t="n"/>
      <c r="E978" s="6">
        <f>IF(A978="","","B"&amp;TEXT(COUNT($A$2:A978),"00000"))</f>
        <v/>
      </c>
      <c r="F978" s="6">
        <f>IF(OR(C978="",D978=""),"",IFERROR(LOOKUP(2,1/(($C$1:C977=C978)*($D$1:D977=D978)*ISNUMBER($J$1:J977)),$J$1:J977),SUMIFS(Master!$G$2:$G$13,Master!$E$2:$E$13,C978,Master!$F$2:$F$13,D978)))</f>
        <v/>
      </c>
      <c r="G978" s="5" t="n"/>
      <c r="H978" s="5" t="n"/>
      <c r="I978" s="5" t="n"/>
      <c r="J978" s="6">
        <f>IF(OR(F978="",COUNT(G978:I978)&lt;3),"",F978+G978-H978-I978)</f>
        <v/>
      </c>
      <c r="K978" s="6">
        <f>IF(COUNTA(A978:D978,G978:I978)=0,"",IF(COUNTA(A978:D978,G978:I978)&lt;7,"LENGKAPI",IF(H978+I978&gt;N(F978)+G978,"ABNORMAL",IF(COUNTIFS($A$2:$A$2001,A978,$B$2:$B$2001,B978,$C$2:$C$2001,C978,$D$2:$D$2001,D978)&gt;1,"DUPLIKAT","OK"))))</f>
        <v/>
      </c>
    </row>
    <row r="979">
      <c r="A979" s="4" t="n"/>
      <c r="B979" s="5" t="n"/>
      <c r="C979" s="5" t="n"/>
      <c r="D979" s="5" t="n"/>
      <c r="E979" s="6">
        <f>IF(A979="","","B"&amp;TEXT(COUNT($A$2:A979),"00000"))</f>
        <v/>
      </c>
      <c r="F979" s="6">
        <f>IF(OR(C979="",D979=""),"",IFERROR(LOOKUP(2,1/(($C$1:C978=C979)*($D$1:D978=D979)*ISNUMBER($J$1:J978)),$J$1:J978),SUMIFS(Master!$G$2:$G$13,Master!$E$2:$E$13,C979,Master!$F$2:$F$13,D979)))</f>
        <v/>
      </c>
      <c r="G979" s="5" t="n"/>
      <c r="H979" s="5" t="n"/>
      <c r="I979" s="5" t="n"/>
      <c r="J979" s="6">
        <f>IF(OR(F979="",COUNT(G979:I979)&lt;3),"",F979+G979-H979-I979)</f>
        <v/>
      </c>
      <c r="K979" s="6">
        <f>IF(COUNTA(A979:D979,G979:I979)=0,"",IF(COUNTA(A979:D979,G979:I979)&lt;7,"LENGKAPI",IF(H979+I979&gt;N(F979)+G979,"ABNORMAL",IF(COUNTIFS($A$2:$A$2001,A979,$B$2:$B$2001,B979,$C$2:$C$2001,C979,$D$2:$D$2001,D979)&gt;1,"DUPLIKAT","OK"))))</f>
        <v/>
      </c>
    </row>
    <row r="980">
      <c r="A980" s="4" t="n"/>
      <c r="B980" s="5" t="n"/>
      <c r="C980" s="5" t="n"/>
      <c r="D980" s="5" t="n"/>
      <c r="E980" s="6">
        <f>IF(A980="","","B"&amp;TEXT(COUNT($A$2:A980),"00000"))</f>
        <v/>
      </c>
      <c r="F980" s="6">
        <f>IF(OR(C980="",D980=""),"",IFERROR(LOOKUP(2,1/(($C$1:C979=C980)*($D$1:D979=D980)*ISNUMBER($J$1:J979)),$J$1:J979),SUMIFS(Master!$G$2:$G$13,Master!$E$2:$E$13,C980,Master!$F$2:$F$13,D980)))</f>
        <v/>
      </c>
      <c r="G980" s="5" t="n"/>
      <c r="H980" s="5" t="n"/>
      <c r="I980" s="5" t="n"/>
      <c r="J980" s="6">
        <f>IF(OR(F980="",COUNT(G980:I980)&lt;3),"",F980+G980-H980-I980)</f>
        <v/>
      </c>
      <c r="K980" s="6">
        <f>IF(COUNTA(A980:D980,G980:I980)=0,"",IF(COUNTA(A980:D980,G980:I980)&lt;7,"LENGKAPI",IF(H980+I980&gt;N(F980)+G980,"ABNORMAL",IF(COUNTIFS($A$2:$A$2001,A980,$B$2:$B$2001,B980,$C$2:$C$2001,C980,$D$2:$D$2001,D980)&gt;1,"DUPLIKAT","OK"))))</f>
        <v/>
      </c>
    </row>
    <row r="981">
      <c r="A981" s="4" t="n"/>
      <c r="B981" s="5" t="n"/>
      <c r="C981" s="5" t="n"/>
      <c r="D981" s="5" t="n"/>
      <c r="E981" s="6">
        <f>IF(A981="","","B"&amp;TEXT(COUNT($A$2:A981),"00000"))</f>
        <v/>
      </c>
      <c r="F981" s="6">
        <f>IF(OR(C981="",D981=""),"",IFERROR(LOOKUP(2,1/(($C$1:C980=C981)*($D$1:D980=D981)*ISNUMBER($J$1:J980)),$J$1:J980),SUMIFS(Master!$G$2:$G$13,Master!$E$2:$E$13,C981,Master!$F$2:$F$13,D981)))</f>
        <v/>
      </c>
      <c r="G981" s="5" t="n"/>
      <c r="H981" s="5" t="n"/>
      <c r="I981" s="5" t="n"/>
      <c r="J981" s="6">
        <f>IF(OR(F981="",COUNT(G981:I981)&lt;3),"",F981+G981-H981-I981)</f>
        <v/>
      </c>
      <c r="K981" s="6">
        <f>IF(COUNTA(A981:D981,G981:I981)=0,"",IF(COUNTA(A981:D981,G981:I981)&lt;7,"LENGKAPI",IF(H981+I981&gt;N(F981)+G981,"ABNORMAL",IF(COUNTIFS($A$2:$A$2001,A981,$B$2:$B$2001,B981,$C$2:$C$2001,C981,$D$2:$D$2001,D981)&gt;1,"DUPLIKAT","OK"))))</f>
        <v/>
      </c>
    </row>
    <row r="982">
      <c r="A982" s="4" t="n"/>
      <c r="B982" s="5" t="n"/>
      <c r="C982" s="5" t="n"/>
      <c r="D982" s="5" t="n"/>
      <c r="E982" s="6">
        <f>IF(A982="","","B"&amp;TEXT(COUNT($A$2:A982),"00000"))</f>
        <v/>
      </c>
      <c r="F982" s="6">
        <f>IF(OR(C982="",D982=""),"",IFERROR(LOOKUP(2,1/(($C$1:C981=C982)*($D$1:D981=D982)*ISNUMBER($J$1:J981)),$J$1:J981),SUMIFS(Master!$G$2:$G$13,Master!$E$2:$E$13,C982,Master!$F$2:$F$13,D982)))</f>
        <v/>
      </c>
      <c r="G982" s="5" t="n"/>
      <c r="H982" s="5" t="n"/>
      <c r="I982" s="5" t="n"/>
      <c r="J982" s="6">
        <f>IF(OR(F982="",COUNT(G982:I982)&lt;3),"",F982+G982-H982-I982)</f>
        <v/>
      </c>
      <c r="K982" s="6">
        <f>IF(COUNTA(A982:D982,G982:I982)=0,"",IF(COUNTA(A982:D982,G982:I982)&lt;7,"LENGKAPI",IF(H982+I982&gt;N(F982)+G982,"ABNORMAL",IF(COUNTIFS($A$2:$A$2001,A982,$B$2:$B$2001,B982,$C$2:$C$2001,C982,$D$2:$D$2001,D982)&gt;1,"DUPLIKAT","OK"))))</f>
        <v/>
      </c>
    </row>
    <row r="983">
      <c r="A983" s="4" t="n"/>
      <c r="B983" s="5" t="n"/>
      <c r="C983" s="5" t="n"/>
      <c r="D983" s="5" t="n"/>
      <c r="E983" s="6">
        <f>IF(A983="","","B"&amp;TEXT(COUNT($A$2:A983),"00000"))</f>
        <v/>
      </c>
      <c r="F983" s="6">
        <f>IF(OR(C983="",D983=""),"",IFERROR(LOOKUP(2,1/(($C$1:C982=C983)*($D$1:D982=D983)*ISNUMBER($J$1:J982)),$J$1:J982),SUMIFS(Master!$G$2:$G$13,Master!$E$2:$E$13,C983,Master!$F$2:$F$13,D983)))</f>
        <v/>
      </c>
      <c r="G983" s="5" t="n"/>
      <c r="H983" s="5" t="n"/>
      <c r="I983" s="5" t="n"/>
      <c r="J983" s="6">
        <f>IF(OR(F983="",COUNT(G983:I983)&lt;3),"",F983+G983-H983-I983)</f>
        <v/>
      </c>
      <c r="K983" s="6">
        <f>IF(COUNTA(A983:D983,G983:I983)=0,"",IF(COUNTA(A983:D983,G983:I983)&lt;7,"LENGKAPI",IF(H983+I983&gt;N(F983)+G983,"ABNORMAL",IF(COUNTIFS($A$2:$A$2001,A983,$B$2:$B$2001,B983,$C$2:$C$2001,C983,$D$2:$D$2001,D983)&gt;1,"DUPLIKAT","OK"))))</f>
        <v/>
      </c>
    </row>
    <row r="984">
      <c r="A984" s="4" t="n"/>
      <c r="B984" s="5" t="n"/>
      <c r="C984" s="5" t="n"/>
      <c r="D984" s="5" t="n"/>
      <c r="E984" s="6">
        <f>IF(A984="","","B"&amp;TEXT(COUNT($A$2:A984),"00000"))</f>
        <v/>
      </c>
      <c r="F984" s="6">
        <f>IF(OR(C984="",D984=""),"",IFERROR(LOOKUP(2,1/(($C$1:C983=C984)*($D$1:D983=D984)*ISNUMBER($J$1:J983)),$J$1:J983),SUMIFS(Master!$G$2:$G$13,Master!$E$2:$E$13,C984,Master!$F$2:$F$13,D984)))</f>
        <v/>
      </c>
      <c r="G984" s="5" t="n"/>
      <c r="H984" s="5" t="n"/>
      <c r="I984" s="5" t="n"/>
      <c r="J984" s="6">
        <f>IF(OR(F984="",COUNT(G984:I984)&lt;3),"",F984+G984-H984-I984)</f>
        <v/>
      </c>
      <c r="K984" s="6">
        <f>IF(COUNTA(A984:D984,G984:I984)=0,"",IF(COUNTA(A984:D984,G984:I984)&lt;7,"LENGKAPI",IF(H984+I984&gt;N(F984)+G984,"ABNORMAL",IF(COUNTIFS($A$2:$A$2001,A984,$B$2:$B$2001,B984,$C$2:$C$2001,C984,$D$2:$D$2001,D984)&gt;1,"DUPLIKAT","OK"))))</f>
        <v/>
      </c>
    </row>
    <row r="985">
      <c r="A985" s="4" t="n"/>
      <c r="B985" s="5" t="n"/>
      <c r="C985" s="5" t="n"/>
      <c r="D985" s="5" t="n"/>
      <c r="E985" s="6">
        <f>IF(A985="","","B"&amp;TEXT(COUNT($A$2:A985),"00000"))</f>
        <v/>
      </c>
      <c r="F985" s="6">
        <f>IF(OR(C985="",D985=""),"",IFERROR(LOOKUP(2,1/(($C$1:C984=C985)*($D$1:D984=D985)*ISNUMBER($J$1:J984)),$J$1:J984),SUMIFS(Master!$G$2:$G$13,Master!$E$2:$E$13,C985,Master!$F$2:$F$13,D985)))</f>
        <v/>
      </c>
      <c r="G985" s="5" t="n"/>
      <c r="H985" s="5" t="n"/>
      <c r="I985" s="5" t="n"/>
      <c r="J985" s="6">
        <f>IF(OR(F985="",COUNT(G985:I985)&lt;3),"",F985+G985-H985-I985)</f>
        <v/>
      </c>
      <c r="K985" s="6">
        <f>IF(COUNTA(A985:D985,G985:I985)=0,"",IF(COUNTA(A985:D985,G985:I985)&lt;7,"LENGKAPI",IF(H985+I985&gt;N(F985)+G985,"ABNORMAL",IF(COUNTIFS($A$2:$A$2001,A985,$B$2:$B$2001,B985,$C$2:$C$2001,C985,$D$2:$D$2001,D985)&gt;1,"DUPLIKAT","OK"))))</f>
        <v/>
      </c>
    </row>
    <row r="986">
      <c r="A986" s="4" t="n"/>
      <c r="B986" s="5" t="n"/>
      <c r="C986" s="5" t="n"/>
      <c r="D986" s="5" t="n"/>
      <c r="E986" s="6">
        <f>IF(A986="","","B"&amp;TEXT(COUNT($A$2:A986),"00000"))</f>
        <v/>
      </c>
      <c r="F986" s="6">
        <f>IF(OR(C986="",D986=""),"",IFERROR(LOOKUP(2,1/(($C$1:C985=C986)*($D$1:D985=D986)*ISNUMBER($J$1:J985)),$J$1:J985),SUMIFS(Master!$G$2:$G$13,Master!$E$2:$E$13,C986,Master!$F$2:$F$13,D986)))</f>
        <v/>
      </c>
      <c r="G986" s="5" t="n"/>
      <c r="H986" s="5" t="n"/>
      <c r="I986" s="5" t="n"/>
      <c r="J986" s="6">
        <f>IF(OR(F986="",COUNT(G986:I986)&lt;3),"",F986+G986-H986-I986)</f>
        <v/>
      </c>
      <c r="K986" s="6">
        <f>IF(COUNTA(A986:D986,G986:I986)=0,"",IF(COUNTA(A986:D986,G986:I986)&lt;7,"LENGKAPI",IF(H986+I986&gt;N(F986)+G986,"ABNORMAL",IF(COUNTIFS($A$2:$A$2001,A986,$B$2:$B$2001,B986,$C$2:$C$2001,C986,$D$2:$D$2001,D986)&gt;1,"DUPLIKAT","OK"))))</f>
        <v/>
      </c>
    </row>
    <row r="987">
      <c r="A987" s="4" t="n"/>
      <c r="B987" s="5" t="n"/>
      <c r="C987" s="5" t="n"/>
      <c r="D987" s="5" t="n"/>
      <c r="E987" s="6">
        <f>IF(A987="","","B"&amp;TEXT(COUNT($A$2:A987),"00000"))</f>
        <v/>
      </c>
      <c r="F987" s="6">
        <f>IF(OR(C987="",D987=""),"",IFERROR(LOOKUP(2,1/(($C$1:C986=C987)*($D$1:D986=D987)*ISNUMBER($J$1:J986)),$J$1:J986),SUMIFS(Master!$G$2:$G$13,Master!$E$2:$E$13,C987,Master!$F$2:$F$13,D987)))</f>
        <v/>
      </c>
      <c r="G987" s="5" t="n"/>
      <c r="H987" s="5" t="n"/>
      <c r="I987" s="5" t="n"/>
      <c r="J987" s="6">
        <f>IF(OR(F987="",COUNT(G987:I987)&lt;3),"",F987+G987-H987-I987)</f>
        <v/>
      </c>
      <c r="K987" s="6">
        <f>IF(COUNTA(A987:D987,G987:I987)=0,"",IF(COUNTA(A987:D987,G987:I987)&lt;7,"LENGKAPI",IF(H987+I987&gt;N(F987)+G987,"ABNORMAL",IF(COUNTIFS($A$2:$A$2001,A987,$B$2:$B$2001,B987,$C$2:$C$2001,C987,$D$2:$D$2001,D987)&gt;1,"DUPLIKAT","OK"))))</f>
        <v/>
      </c>
    </row>
    <row r="988">
      <c r="A988" s="4" t="n"/>
      <c r="B988" s="5" t="n"/>
      <c r="C988" s="5" t="n"/>
      <c r="D988" s="5" t="n"/>
      <c r="E988" s="6">
        <f>IF(A988="","","B"&amp;TEXT(COUNT($A$2:A988),"00000"))</f>
        <v/>
      </c>
      <c r="F988" s="6">
        <f>IF(OR(C988="",D988=""),"",IFERROR(LOOKUP(2,1/(($C$1:C987=C988)*($D$1:D987=D988)*ISNUMBER($J$1:J987)),$J$1:J987),SUMIFS(Master!$G$2:$G$13,Master!$E$2:$E$13,C988,Master!$F$2:$F$13,D988)))</f>
        <v/>
      </c>
      <c r="G988" s="5" t="n"/>
      <c r="H988" s="5" t="n"/>
      <c r="I988" s="5" t="n"/>
      <c r="J988" s="6">
        <f>IF(OR(F988="",COUNT(G988:I988)&lt;3),"",F988+G988-H988-I988)</f>
        <v/>
      </c>
      <c r="K988" s="6">
        <f>IF(COUNTA(A988:D988,G988:I988)=0,"",IF(COUNTA(A988:D988,G988:I988)&lt;7,"LENGKAPI",IF(H988+I988&gt;N(F988)+G988,"ABNORMAL",IF(COUNTIFS($A$2:$A$2001,A988,$B$2:$B$2001,B988,$C$2:$C$2001,C988,$D$2:$D$2001,D988)&gt;1,"DUPLIKAT","OK"))))</f>
        <v/>
      </c>
    </row>
    <row r="989">
      <c r="A989" s="4" t="n"/>
      <c r="B989" s="5" t="n"/>
      <c r="C989" s="5" t="n"/>
      <c r="D989" s="5" t="n"/>
      <c r="E989" s="6">
        <f>IF(A989="","","B"&amp;TEXT(COUNT($A$2:A989),"00000"))</f>
        <v/>
      </c>
      <c r="F989" s="6">
        <f>IF(OR(C989="",D989=""),"",IFERROR(LOOKUP(2,1/(($C$1:C988=C989)*($D$1:D988=D989)*ISNUMBER($J$1:J988)),$J$1:J988),SUMIFS(Master!$G$2:$G$13,Master!$E$2:$E$13,C989,Master!$F$2:$F$13,D989)))</f>
        <v/>
      </c>
      <c r="G989" s="5" t="n"/>
      <c r="H989" s="5" t="n"/>
      <c r="I989" s="5" t="n"/>
      <c r="J989" s="6">
        <f>IF(OR(F989="",COUNT(G989:I989)&lt;3),"",F989+G989-H989-I989)</f>
        <v/>
      </c>
      <c r="K989" s="6">
        <f>IF(COUNTA(A989:D989,G989:I989)=0,"",IF(COUNTA(A989:D989,G989:I989)&lt;7,"LENGKAPI",IF(H989+I989&gt;N(F989)+G989,"ABNORMAL",IF(COUNTIFS($A$2:$A$2001,A989,$B$2:$B$2001,B989,$C$2:$C$2001,C989,$D$2:$D$2001,D989)&gt;1,"DUPLIKAT","OK"))))</f>
        <v/>
      </c>
    </row>
    <row r="990">
      <c r="A990" s="4" t="n"/>
      <c r="B990" s="5" t="n"/>
      <c r="C990" s="5" t="n"/>
      <c r="D990" s="5" t="n"/>
      <c r="E990" s="6">
        <f>IF(A990="","","B"&amp;TEXT(COUNT($A$2:A990),"00000"))</f>
        <v/>
      </c>
      <c r="F990" s="6">
        <f>IF(OR(C990="",D990=""),"",IFERROR(LOOKUP(2,1/(($C$1:C989=C990)*($D$1:D989=D990)*ISNUMBER($J$1:J989)),$J$1:J989),SUMIFS(Master!$G$2:$G$13,Master!$E$2:$E$13,C990,Master!$F$2:$F$13,D990)))</f>
        <v/>
      </c>
      <c r="G990" s="5" t="n"/>
      <c r="H990" s="5" t="n"/>
      <c r="I990" s="5" t="n"/>
      <c r="J990" s="6">
        <f>IF(OR(F990="",COUNT(G990:I990)&lt;3),"",F990+G990-H990-I990)</f>
        <v/>
      </c>
      <c r="K990" s="6">
        <f>IF(COUNTA(A990:D990,G990:I990)=0,"",IF(COUNTA(A990:D990,G990:I990)&lt;7,"LENGKAPI",IF(H990+I990&gt;N(F990)+G990,"ABNORMAL",IF(COUNTIFS($A$2:$A$2001,A990,$B$2:$B$2001,B990,$C$2:$C$2001,C990,$D$2:$D$2001,D990)&gt;1,"DUPLIKAT","OK"))))</f>
        <v/>
      </c>
    </row>
    <row r="991">
      <c r="A991" s="4" t="n"/>
      <c r="B991" s="5" t="n"/>
      <c r="C991" s="5" t="n"/>
      <c r="D991" s="5" t="n"/>
      <c r="E991" s="6">
        <f>IF(A991="","","B"&amp;TEXT(COUNT($A$2:A991),"00000"))</f>
        <v/>
      </c>
      <c r="F991" s="6">
        <f>IF(OR(C991="",D991=""),"",IFERROR(LOOKUP(2,1/(($C$1:C990=C991)*($D$1:D990=D991)*ISNUMBER($J$1:J990)),$J$1:J990),SUMIFS(Master!$G$2:$G$13,Master!$E$2:$E$13,C991,Master!$F$2:$F$13,D991)))</f>
        <v/>
      </c>
      <c r="G991" s="5" t="n"/>
      <c r="H991" s="5" t="n"/>
      <c r="I991" s="5" t="n"/>
      <c r="J991" s="6">
        <f>IF(OR(F991="",COUNT(G991:I991)&lt;3),"",F991+G991-H991-I991)</f>
        <v/>
      </c>
      <c r="K991" s="6">
        <f>IF(COUNTA(A991:D991,G991:I991)=0,"",IF(COUNTA(A991:D991,G991:I991)&lt;7,"LENGKAPI",IF(H991+I991&gt;N(F991)+G991,"ABNORMAL",IF(COUNTIFS($A$2:$A$2001,A991,$B$2:$B$2001,B991,$C$2:$C$2001,C991,$D$2:$D$2001,D991)&gt;1,"DUPLIKAT","OK"))))</f>
        <v/>
      </c>
    </row>
    <row r="992">
      <c r="A992" s="4" t="n"/>
      <c r="B992" s="5" t="n"/>
      <c r="C992" s="5" t="n"/>
      <c r="D992" s="5" t="n"/>
      <c r="E992" s="6">
        <f>IF(A992="","","B"&amp;TEXT(COUNT($A$2:A992),"00000"))</f>
        <v/>
      </c>
      <c r="F992" s="6">
        <f>IF(OR(C992="",D992=""),"",IFERROR(LOOKUP(2,1/(($C$1:C991=C992)*($D$1:D991=D992)*ISNUMBER($J$1:J991)),$J$1:J991),SUMIFS(Master!$G$2:$G$13,Master!$E$2:$E$13,C992,Master!$F$2:$F$13,D992)))</f>
        <v/>
      </c>
      <c r="G992" s="5" t="n"/>
      <c r="H992" s="5" t="n"/>
      <c r="I992" s="5" t="n"/>
      <c r="J992" s="6">
        <f>IF(OR(F992="",COUNT(G992:I992)&lt;3),"",F992+G992-H992-I992)</f>
        <v/>
      </c>
      <c r="K992" s="6">
        <f>IF(COUNTA(A992:D992,G992:I992)=0,"",IF(COUNTA(A992:D992,G992:I992)&lt;7,"LENGKAPI",IF(H992+I992&gt;N(F992)+G992,"ABNORMAL",IF(COUNTIFS($A$2:$A$2001,A992,$B$2:$B$2001,B992,$C$2:$C$2001,C992,$D$2:$D$2001,D992)&gt;1,"DUPLIKAT","OK"))))</f>
        <v/>
      </c>
    </row>
    <row r="993">
      <c r="A993" s="4" t="n"/>
      <c r="B993" s="5" t="n"/>
      <c r="C993" s="5" t="n"/>
      <c r="D993" s="5" t="n"/>
      <c r="E993" s="6">
        <f>IF(A993="","","B"&amp;TEXT(COUNT($A$2:A993),"00000"))</f>
        <v/>
      </c>
      <c r="F993" s="6">
        <f>IF(OR(C993="",D993=""),"",IFERROR(LOOKUP(2,1/(($C$1:C992=C993)*($D$1:D992=D993)*ISNUMBER($J$1:J992)),$J$1:J992),SUMIFS(Master!$G$2:$G$13,Master!$E$2:$E$13,C993,Master!$F$2:$F$13,D993)))</f>
        <v/>
      </c>
      <c r="G993" s="5" t="n"/>
      <c r="H993" s="5" t="n"/>
      <c r="I993" s="5" t="n"/>
      <c r="J993" s="6">
        <f>IF(OR(F993="",COUNT(G993:I993)&lt;3),"",F993+G993-H993-I993)</f>
        <v/>
      </c>
      <c r="K993" s="6">
        <f>IF(COUNTA(A993:D993,G993:I993)=0,"",IF(COUNTA(A993:D993,G993:I993)&lt;7,"LENGKAPI",IF(H993+I993&gt;N(F993)+G993,"ABNORMAL",IF(COUNTIFS($A$2:$A$2001,A993,$B$2:$B$2001,B993,$C$2:$C$2001,C993,$D$2:$D$2001,D993)&gt;1,"DUPLIKAT","OK"))))</f>
        <v/>
      </c>
    </row>
    <row r="994">
      <c r="A994" s="4" t="n"/>
      <c r="B994" s="5" t="n"/>
      <c r="C994" s="5" t="n"/>
      <c r="D994" s="5" t="n"/>
      <c r="E994" s="6">
        <f>IF(A994="","","B"&amp;TEXT(COUNT($A$2:A994),"00000"))</f>
        <v/>
      </c>
      <c r="F994" s="6">
        <f>IF(OR(C994="",D994=""),"",IFERROR(LOOKUP(2,1/(($C$1:C993=C994)*($D$1:D993=D994)*ISNUMBER($J$1:J993)),$J$1:J993),SUMIFS(Master!$G$2:$G$13,Master!$E$2:$E$13,C994,Master!$F$2:$F$13,D994)))</f>
        <v/>
      </c>
      <c r="G994" s="5" t="n"/>
      <c r="H994" s="5" t="n"/>
      <c r="I994" s="5" t="n"/>
      <c r="J994" s="6">
        <f>IF(OR(F994="",COUNT(G994:I994)&lt;3),"",F994+G994-H994-I994)</f>
        <v/>
      </c>
      <c r="K994" s="6">
        <f>IF(COUNTA(A994:D994,G994:I994)=0,"",IF(COUNTA(A994:D994,G994:I994)&lt;7,"LENGKAPI",IF(H994+I994&gt;N(F994)+G994,"ABNORMAL",IF(COUNTIFS($A$2:$A$2001,A994,$B$2:$B$2001,B994,$C$2:$C$2001,C994,$D$2:$D$2001,D994)&gt;1,"DUPLIKAT","OK"))))</f>
        <v/>
      </c>
    </row>
    <row r="995">
      <c r="A995" s="4" t="n"/>
      <c r="B995" s="5" t="n"/>
      <c r="C995" s="5" t="n"/>
      <c r="D995" s="5" t="n"/>
      <c r="E995" s="6">
        <f>IF(A995="","","B"&amp;TEXT(COUNT($A$2:A995),"00000"))</f>
        <v/>
      </c>
      <c r="F995" s="6">
        <f>IF(OR(C995="",D995=""),"",IFERROR(LOOKUP(2,1/(($C$1:C994=C995)*($D$1:D994=D995)*ISNUMBER($J$1:J994)),$J$1:J994),SUMIFS(Master!$G$2:$G$13,Master!$E$2:$E$13,C995,Master!$F$2:$F$13,D995)))</f>
        <v/>
      </c>
      <c r="G995" s="5" t="n"/>
      <c r="H995" s="5" t="n"/>
      <c r="I995" s="5" t="n"/>
      <c r="J995" s="6">
        <f>IF(OR(F995="",COUNT(G995:I995)&lt;3),"",F995+G995-H995-I995)</f>
        <v/>
      </c>
      <c r="K995" s="6">
        <f>IF(COUNTA(A995:D995,G995:I995)=0,"",IF(COUNTA(A995:D995,G995:I995)&lt;7,"LENGKAPI",IF(H995+I995&gt;N(F995)+G995,"ABNORMAL",IF(COUNTIFS($A$2:$A$2001,A995,$B$2:$B$2001,B995,$C$2:$C$2001,C995,$D$2:$D$2001,D995)&gt;1,"DUPLIKAT","OK"))))</f>
        <v/>
      </c>
    </row>
    <row r="996">
      <c r="A996" s="4" t="n"/>
      <c r="B996" s="5" t="n"/>
      <c r="C996" s="5" t="n"/>
      <c r="D996" s="5" t="n"/>
      <c r="E996" s="6">
        <f>IF(A996="","","B"&amp;TEXT(COUNT($A$2:A996),"00000"))</f>
        <v/>
      </c>
      <c r="F996" s="6">
        <f>IF(OR(C996="",D996=""),"",IFERROR(LOOKUP(2,1/(($C$1:C995=C996)*($D$1:D995=D996)*ISNUMBER($J$1:J995)),$J$1:J995),SUMIFS(Master!$G$2:$G$13,Master!$E$2:$E$13,C996,Master!$F$2:$F$13,D996)))</f>
        <v/>
      </c>
      <c r="G996" s="5" t="n"/>
      <c r="H996" s="5" t="n"/>
      <c r="I996" s="5" t="n"/>
      <c r="J996" s="6">
        <f>IF(OR(F996="",COUNT(G996:I996)&lt;3),"",F996+G996-H996-I996)</f>
        <v/>
      </c>
      <c r="K996" s="6">
        <f>IF(COUNTA(A996:D996,G996:I996)=0,"",IF(COUNTA(A996:D996,G996:I996)&lt;7,"LENGKAPI",IF(H996+I996&gt;N(F996)+G996,"ABNORMAL",IF(COUNTIFS($A$2:$A$2001,A996,$B$2:$B$2001,B996,$C$2:$C$2001,C996,$D$2:$D$2001,D996)&gt;1,"DUPLIKAT","OK"))))</f>
        <v/>
      </c>
    </row>
    <row r="997">
      <c r="A997" s="4" t="n"/>
      <c r="B997" s="5" t="n"/>
      <c r="C997" s="5" t="n"/>
      <c r="D997" s="5" t="n"/>
      <c r="E997" s="6">
        <f>IF(A997="","","B"&amp;TEXT(COUNT($A$2:A997),"00000"))</f>
        <v/>
      </c>
      <c r="F997" s="6">
        <f>IF(OR(C997="",D997=""),"",IFERROR(LOOKUP(2,1/(($C$1:C996=C997)*($D$1:D996=D997)*ISNUMBER($J$1:J996)),$J$1:J996),SUMIFS(Master!$G$2:$G$13,Master!$E$2:$E$13,C997,Master!$F$2:$F$13,D997)))</f>
        <v/>
      </c>
      <c r="G997" s="5" t="n"/>
      <c r="H997" s="5" t="n"/>
      <c r="I997" s="5" t="n"/>
      <c r="J997" s="6">
        <f>IF(OR(F997="",COUNT(G997:I997)&lt;3),"",F997+G997-H997-I997)</f>
        <v/>
      </c>
      <c r="K997" s="6">
        <f>IF(COUNTA(A997:D997,G997:I997)=0,"",IF(COUNTA(A997:D997,G997:I997)&lt;7,"LENGKAPI",IF(H997+I997&gt;N(F997)+G997,"ABNORMAL",IF(COUNTIFS($A$2:$A$2001,A997,$B$2:$B$2001,B997,$C$2:$C$2001,C997,$D$2:$D$2001,D997)&gt;1,"DUPLIKAT","OK"))))</f>
        <v/>
      </c>
    </row>
    <row r="998">
      <c r="A998" s="4" t="n"/>
      <c r="B998" s="5" t="n"/>
      <c r="C998" s="5" t="n"/>
      <c r="D998" s="5" t="n"/>
      <c r="E998" s="6">
        <f>IF(A998="","","B"&amp;TEXT(COUNT($A$2:A998),"00000"))</f>
        <v/>
      </c>
      <c r="F998" s="6">
        <f>IF(OR(C998="",D998=""),"",IFERROR(LOOKUP(2,1/(($C$1:C997=C998)*($D$1:D997=D998)*ISNUMBER($J$1:J997)),$J$1:J997),SUMIFS(Master!$G$2:$G$13,Master!$E$2:$E$13,C998,Master!$F$2:$F$13,D998)))</f>
        <v/>
      </c>
      <c r="G998" s="5" t="n"/>
      <c r="H998" s="5" t="n"/>
      <c r="I998" s="5" t="n"/>
      <c r="J998" s="6">
        <f>IF(OR(F998="",COUNT(G998:I998)&lt;3),"",F998+G998-H998-I998)</f>
        <v/>
      </c>
      <c r="K998" s="6">
        <f>IF(COUNTA(A998:D998,G998:I998)=0,"",IF(COUNTA(A998:D998,G998:I998)&lt;7,"LENGKAPI",IF(H998+I998&gt;N(F998)+G998,"ABNORMAL",IF(COUNTIFS($A$2:$A$2001,A998,$B$2:$B$2001,B998,$C$2:$C$2001,C998,$D$2:$D$2001,D998)&gt;1,"DUPLIKAT","OK"))))</f>
        <v/>
      </c>
    </row>
    <row r="999">
      <c r="A999" s="4" t="n"/>
      <c r="B999" s="5" t="n"/>
      <c r="C999" s="5" t="n"/>
      <c r="D999" s="5" t="n"/>
      <c r="E999" s="6">
        <f>IF(A999="","","B"&amp;TEXT(COUNT($A$2:A999),"00000"))</f>
        <v/>
      </c>
      <c r="F999" s="6">
        <f>IF(OR(C999="",D999=""),"",IFERROR(LOOKUP(2,1/(($C$1:C998=C999)*($D$1:D998=D999)*ISNUMBER($J$1:J998)),$J$1:J998),SUMIFS(Master!$G$2:$G$13,Master!$E$2:$E$13,C999,Master!$F$2:$F$13,D999)))</f>
        <v/>
      </c>
      <c r="G999" s="5" t="n"/>
      <c r="H999" s="5" t="n"/>
      <c r="I999" s="5" t="n"/>
      <c r="J999" s="6">
        <f>IF(OR(F999="",COUNT(G999:I999)&lt;3),"",F999+G999-H999-I999)</f>
        <v/>
      </c>
      <c r="K999" s="6">
        <f>IF(COUNTA(A999:D999,G999:I999)=0,"",IF(COUNTA(A999:D999,G999:I999)&lt;7,"LENGKAPI",IF(H999+I999&gt;N(F999)+G999,"ABNORMAL",IF(COUNTIFS($A$2:$A$2001,A999,$B$2:$B$2001,B999,$C$2:$C$2001,C999,$D$2:$D$2001,D999)&gt;1,"DUPLIKAT","OK"))))</f>
        <v/>
      </c>
    </row>
    <row r="1000">
      <c r="A1000" s="4" t="n"/>
      <c r="B1000" s="5" t="n"/>
      <c r="C1000" s="5" t="n"/>
      <c r="D1000" s="5" t="n"/>
      <c r="E1000" s="6">
        <f>IF(A1000="","","B"&amp;TEXT(COUNT($A$2:A1000),"00000"))</f>
        <v/>
      </c>
      <c r="F1000" s="6">
        <f>IF(OR(C1000="",D1000=""),"",IFERROR(LOOKUP(2,1/(($C$1:C999=C1000)*($D$1:D999=D1000)*ISNUMBER($J$1:J999)),$J$1:J999),SUMIFS(Master!$G$2:$G$13,Master!$E$2:$E$13,C1000,Master!$F$2:$F$13,D1000)))</f>
        <v/>
      </c>
      <c r="G1000" s="5" t="n"/>
      <c r="H1000" s="5" t="n"/>
      <c r="I1000" s="5" t="n"/>
      <c r="J1000" s="6">
        <f>IF(OR(F1000="",COUNT(G1000:I1000)&lt;3),"",F1000+G1000-H1000-I1000)</f>
        <v/>
      </c>
      <c r="K1000" s="6">
        <f>IF(COUNTA(A1000:D1000,G1000:I1000)=0,"",IF(COUNTA(A1000:D1000,G1000:I1000)&lt;7,"LENGKAPI",IF(H1000+I1000&gt;N(F1000)+G1000,"ABNORMAL",IF(COUNTIFS($A$2:$A$2001,A1000,$B$2:$B$2001,B1000,$C$2:$C$2001,C1000,$D$2:$D$2001,D1000)&gt;1,"DUPLIKAT","OK"))))</f>
        <v/>
      </c>
    </row>
    <row r="1001">
      <c r="A1001" s="4" t="n"/>
      <c r="B1001" s="5" t="n"/>
      <c r="C1001" s="5" t="n"/>
      <c r="D1001" s="5" t="n"/>
      <c r="E1001" s="6">
        <f>IF(A1001="","","B"&amp;TEXT(COUNT($A$2:A1001),"00000"))</f>
        <v/>
      </c>
      <c r="F1001" s="6">
        <f>IF(OR(C1001="",D1001=""),"",IFERROR(LOOKUP(2,1/(($C$1:C1000=C1001)*($D$1:D1000=D1001)*ISNUMBER($J$1:J1000)),$J$1:J1000),SUMIFS(Master!$G$2:$G$13,Master!$E$2:$E$13,C1001,Master!$F$2:$F$13,D1001)))</f>
        <v/>
      </c>
      <c r="G1001" s="5" t="n"/>
      <c r="H1001" s="5" t="n"/>
      <c r="I1001" s="5" t="n"/>
      <c r="J1001" s="6">
        <f>IF(OR(F1001="",COUNT(G1001:I1001)&lt;3),"",F1001+G1001-H1001-I1001)</f>
        <v/>
      </c>
      <c r="K1001" s="6">
        <f>IF(COUNTA(A1001:D1001,G1001:I1001)=0,"",IF(COUNTA(A1001:D1001,G1001:I1001)&lt;7,"LENGKAPI",IF(H1001+I1001&gt;N(F1001)+G1001,"ABNORMAL",IF(COUNTIFS($A$2:$A$2001,A1001,$B$2:$B$2001,B1001,$C$2:$C$2001,C1001,$D$2:$D$2001,D1001)&gt;1,"DUPLIKAT","OK"))))</f>
        <v/>
      </c>
    </row>
    <row r="1002">
      <c r="A1002" s="4" t="n"/>
      <c r="B1002" s="5" t="n"/>
      <c r="C1002" s="5" t="n"/>
      <c r="D1002" s="5" t="n"/>
      <c r="E1002" s="6">
        <f>IF(A1002="","","B"&amp;TEXT(COUNT($A$2:A1002),"00000"))</f>
        <v/>
      </c>
      <c r="F1002" s="6">
        <f>IF(OR(C1002="",D1002=""),"",IFERROR(LOOKUP(2,1/(($C$1:C1001=C1002)*($D$1:D1001=D1002)*ISNUMBER($J$1:J1001)),$J$1:J1001),SUMIFS(Master!$G$2:$G$13,Master!$E$2:$E$13,C1002,Master!$F$2:$F$13,D1002)))</f>
        <v/>
      </c>
      <c r="G1002" s="5" t="n"/>
      <c r="H1002" s="5" t="n"/>
      <c r="I1002" s="5" t="n"/>
      <c r="J1002" s="6">
        <f>IF(OR(F1002="",COUNT(G1002:I1002)&lt;3),"",F1002+G1002-H1002-I1002)</f>
        <v/>
      </c>
      <c r="K1002" s="6">
        <f>IF(COUNTA(A1002:D1002,G1002:I1002)=0,"",IF(COUNTA(A1002:D1002,G1002:I1002)&lt;7,"LENGKAPI",IF(H1002+I1002&gt;N(F1002)+G1002,"ABNORMAL",IF(COUNTIFS($A$2:$A$2001,A1002,$B$2:$B$2001,B1002,$C$2:$C$2001,C1002,$D$2:$D$2001,D1002)&gt;1,"DUPLIKAT","OK"))))</f>
        <v/>
      </c>
    </row>
    <row r="1003">
      <c r="A1003" s="4" t="n"/>
      <c r="B1003" s="5" t="n"/>
      <c r="C1003" s="5" t="n"/>
      <c r="D1003" s="5" t="n"/>
      <c r="E1003" s="6">
        <f>IF(A1003="","","B"&amp;TEXT(COUNT($A$2:A1003),"00000"))</f>
        <v/>
      </c>
      <c r="F1003" s="6">
        <f>IF(OR(C1003="",D1003=""),"",IFERROR(LOOKUP(2,1/(($C$1:C1002=C1003)*($D$1:D1002=D1003)*ISNUMBER($J$1:J1002)),$J$1:J1002),SUMIFS(Master!$G$2:$G$13,Master!$E$2:$E$13,C1003,Master!$F$2:$F$13,D1003)))</f>
        <v/>
      </c>
      <c r="G1003" s="5" t="n"/>
      <c r="H1003" s="5" t="n"/>
      <c r="I1003" s="5" t="n"/>
      <c r="J1003" s="6">
        <f>IF(OR(F1003="",COUNT(G1003:I1003)&lt;3),"",F1003+G1003-H1003-I1003)</f>
        <v/>
      </c>
      <c r="K1003" s="6">
        <f>IF(COUNTA(A1003:D1003,G1003:I1003)=0,"",IF(COUNTA(A1003:D1003,G1003:I1003)&lt;7,"LENGKAPI",IF(H1003+I1003&gt;N(F1003)+G1003,"ABNORMAL",IF(COUNTIFS($A$2:$A$2001,A1003,$B$2:$B$2001,B1003,$C$2:$C$2001,C1003,$D$2:$D$2001,D1003)&gt;1,"DUPLIKAT","OK"))))</f>
        <v/>
      </c>
    </row>
    <row r="1004">
      <c r="A1004" s="4" t="n"/>
      <c r="B1004" s="5" t="n"/>
      <c r="C1004" s="5" t="n"/>
      <c r="D1004" s="5" t="n"/>
      <c r="E1004" s="6">
        <f>IF(A1004="","","B"&amp;TEXT(COUNT($A$2:A1004),"00000"))</f>
        <v/>
      </c>
      <c r="F1004" s="6">
        <f>IF(OR(C1004="",D1004=""),"",IFERROR(LOOKUP(2,1/(($C$1:C1003=C1004)*($D$1:D1003=D1004)*ISNUMBER($J$1:J1003)),$J$1:J1003),SUMIFS(Master!$G$2:$G$13,Master!$E$2:$E$13,C1004,Master!$F$2:$F$13,D1004)))</f>
        <v/>
      </c>
      <c r="G1004" s="5" t="n"/>
      <c r="H1004" s="5" t="n"/>
      <c r="I1004" s="5" t="n"/>
      <c r="J1004" s="6">
        <f>IF(OR(F1004="",COUNT(G1004:I1004)&lt;3),"",F1004+G1004-H1004-I1004)</f>
        <v/>
      </c>
      <c r="K1004" s="6">
        <f>IF(COUNTA(A1004:D1004,G1004:I1004)=0,"",IF(COUNTA(A1004:D1004,G1004:I1004)&lt;7,"LENGKAPI",IF(H1004+I1004&gt;N(F1004)+G1004,"ABNORMAL",IF(COUNTIFS($A$2:$A$2001,A1004,$B$2:$B$2001,B1004,$C$2:$C$2001,C1004,$D$2:$D$2001,D1004)&gt;1,"DUPLIKAT","OK"))))</f>
        <v/>
      </c>
    </row>
    <row r="1005">
      <c r="A1005" s="4" t="n"/>
      <c r="B1005" s="5" t="n"/>
      <c r="C1005" s="5" t="n"/>
      <c r="D1005" s="5" t="n"/>
      <c r="E1005" s="6">
        <f>IF(A1005="","","B"&amp;TEXT(COUNT($A$2:A1005),"00000"))</f>
        <v/>
      </c>
      <c r="F1005" s="6">
        <f>IF(OR(C1005="",D1005=""),"",IFERROR(LOOKUP(2,1/(($C$1:C1004=C1005)*($D$1:D1004=D1005)*ISNUMBER($J$1:J1004)),$J$1:J1004),SUMIFS(Master!$G$2:$G$13,Master!$E$2:$E$13,C1005,Master!$F$2:$F$13,D1005)))</f>
        <v/>
      </c>
      <c r="G1005" s="5" t="n"/>
      <c r="H1005" s="5" t="n"/>
      <c r="I1005" s="5" t="n"/>
      <c r="J1005" s="6">
        <f>IF(OR(F1005="",COUNT(G1005:I1005)&lt;3),"",F1005+G1005-H1005-I1005)</f>
        <v/>
      </c>
      <c r="K1005" s="6">
        <f>IF(COUNTA(A1005:D1005,G1005:I1005)=0,"",IF(COUNTA(A1005:D1005,G1005:I1005)&lt;7,"LENGKAPI",IF(H1005+I1005&gt;N(F1005)+G1005,"ABNORMAL",IF(COUNTIFS($A$2:$A$2001,A1005,$B$2:$B$2001,B1005,$C$2:$C$2001,C1005,$D$2:$D$2001,D1005)&gt;1,"DUPLIKAT","OK"))))</f>
        <v/>
      </c>
    </row>
    <row r="1006">
      <c r="A1006" s="4" t="n"/>
      <c r="B1006" s="5" t="n"/>
      <c r="C1006" s="5" t="n"/>
      <c r="D1006" s="5" t="n"/>
      <c r="E1006" s="6">
        <f>IF(A1006="","","B"&amp;TEXT(COUNT($A$2:A1006),"00000"))</f>
        <v/>
      </c>
      <c r="F1006" s="6">
        <f>IF(OR(C1006="",D1006=""),"",IFERROR(LOOKUP(2,1/(($C$1:C1005=C1006)*($D$1:D1005=D1006)*ISNUMBER($J$1:J1005)),$J$1:J1005),SUMIFS(Master!$G$2:$G$13,Master!$E$2:$E$13,C1006,Master!$F$2:$F$13,D1006)))</f>
        <v/>
      </c>
      <c r="G1006" s="5" t="n"/>
      <c r="H1006" s="5" t="n"/>
      <c r="I1006" s="5" t="n"/>
      <c r="J1006" s="6">
        <f>IF(OR(F1006="",COUNT(G1006:I1006)&lt;3),"",F1006+G1006-H1006-I1006)</f>
        <v/>
      </c>
      <c r="K1006" s="6">
        <f>IF(COUNTA(A1006:D1006,G1006:I1006)=0,"",IF(COUNTA(A1006:D1006,G1006:I1006)&lt;7,"LENGKAPI",IF(H1006+I1006&gt;N(F1006)+G1006,"ABNORMAL",IF(COUNTIFS($A$2:$A$2001,A1006,$B$2:$B$2001,B1006,$C$2:$C$2001,C1006,$D$2:$D$2001,D1006)&gt;1,"DUPLIKAT","OK"))))</f>
        <v/>
      </c>
    </row>
    <row r="1007">
      <c r="A1007" s="4" t="n"/>
      <c r="B1007" s="5" t="n"/>
      <c r="C1007" s="5" t="n"/>
      <c r="D1007" s="5" t="n"/>
      <c r="E1007" s="6">
        <f>IF(A1007="","","B"&amp;TEXT(COUNT($A$2:A1007),"00000"))</f>
        <v/>
      </c>
      <c r="F1007" s="6">
        <f>IF(OR(C1007="",D1007=""),"",IFERROR(LOOKUP(2,1/(($C$1:C1006=C1007)*($D$1:D1006=D1007)*ISNUMBER($J$1:J1006)),$J$1:J1006),SUMIFS(Master!$G$2:$G$13,Master!$E$2:$E$13,C1007,Master!$F$2:$F$13,D1007)))</f>
        <v/>
      </c>
      <c r="G1007" s="5" t="n"/>
      <c r="H1007" s="5" t="n"/>
      <c r="I1007" s="5" t="n"/>
      <c r="J1007" s="6">
        <f>IF(OR(F1007="",COUNT(G1007:I1007)&lt;3),"",F1007+G1007-H1007-I1007)</f>
        <v/>
      </c>
      <c r="K1007" s="6">
        <f>IF(COUNTA(A1007:D1007,G1007:I1007)=0,"",IF(COUNTA(A1007:D1007,G1007:I1007)&lt;7,"LENGKAPI",IF(H1007+I1007&gt;N(F1007)+G1007,"ABNORMAL",IF(COUNTIFS($A$2:$A$2001,A1007,$B$2:$B$2001,B1007,$C$2:$C$2001,C1007,$D$2:$D$2001,D1007)&gt;1,"DUPLIKAT","OK"))))</f>
        <v/>
      </c>
    </row>
    <row r="1008">
      <c r="A1008" s="4" t="n"/>
      <c r="B1008" s="5" t="n"/>
      <c r="C1008" s="5" t="n"/>
      <c r="D1008" s="5" t="n"/>
      <c r="E1008" s="6">
        <f>IF(A1008="","","B"&amp;TEXT(COUNT($A$2:A1008),"00000"))</f>
        <v/>
      </c>
      <c r="F1008" s="6">
        <f>IF(OR(C1008="",D1008=""),"",IFERROR(LOOKUP(2,1/(($C$1:C1007=C1008)*($D$1:D1007=D1008)*ISNUMBER($J$1:J1007)),$J$1:J1007),SUMIFS(Master!$G$2:$G$13,Master!$E$2:$E$13,C1008,Master!$F$2:$F$13,D1008)))</f>
        <v/>
      </c>
      <c r="G1008" s="5" t="n"/>
      <c r="H1008" s="5" t="n"/>
      <c r="I1008" s="5" t="n"/>
      <c r="J1008" s="6">
        <f>IF(OR(F1008="",COUNT(G1008:I1008)&lt;3),"",F1008+G1008-H1008-I1008)</f>
        <v/>
      </c>
      <c r="K1008" s="6">
        <f>IF(COUNTA(A1008:D1008,G1008:I1008)=0,"",IF(COUNTA(A1008:D1008,G1008:I1008)&lt;7,"LENGKAPI",IF(H1008+I1008&gt;N(F1008)+G1008,"ABNORMAL",IF(COUNTIFS($A$2:$A$2001,A1008,$B$2:$B$2001,B1008,$C$2:$C$2001,C1008,$D$2:$D$2001,D1008)&gt;1,"DUPLIKAT","OK"))))</f>
        <v/>
      </c>
    </row>
    <row r="1009">
      <c r="A1009" s="4" t="n"/>
      <c r="B1009" s="5" t="n"/>
      <c r="C1009" s="5" t="n"/>
      <c r="D1009" s="5" t="n"/>
      <c r="E1009" s="6">
        <f>IF(A1009="","","B"&amp;TEXT(COUNT($A$2:A1009),"00000"))</f>
        <v/>
      </c>
      <c r="F1009" s="6">
        <f>IF(OR(C1009="",D1009=""),"",IFERROR(LOOKUP(2,1/(($C$1:C1008=C1009)*($D$1:D1008=D1009)*ISNUMBER($J$1:J1008)),$J$1:J1008),SUMIFS(Master!$G$2:$G$13,Master!$E$2:$E$13,C1009,Master!$F$2:$F$13,D1009)))</f>
        <v/>
      </c>
      <c r="G1009" s="5" t="n"/>
      <c r="H1009" s="5" t="n"/>
      <c r="I1009" s="5" t="n"/>
      <c r="J1009" s="6">
        <f>IF(OR(F1009="",COUNT(G1009:I1009)&lt;3),"",F1009+G1009-H1009-I1009)</f>
        <v/>
      </c>
      <c r="K1009" s="6">
        <f>IF(COUNTA(A1009:D1009,G1009:I1009)=0,"",IF(COUNTA(A1009:D1009,G1009:I1009)&lt;7,"LENGKAPI",IF(H1009+I1009&gt;N(F1009)+G1009,"ABNORMAL",IF(COUNTIFS($A$2:$A$2001,A1009,$B$2:$B$2001,B1009,$C$2:$C$2001,C1009,$D$2:$D$2001,D1009)&gt;1,"DUPLIKAT","OK"))))</f>
        <v/>
      </c>
    </row>
    <row r="1010">
      <c r="A1010" s="4" t="n"/>
      <c r="B1010" s="5" t="n"/>
      <c r="C1010" s="5" t="n"/>
      <c r="D1010" s="5" t="n"/>
      <c r="E1010" s="6">
        <f>IF(A1010="","","B"&amp;TEXT(COUNT($A$2:A1010),"00000"))</f>
        <v/>
      </c>
      <c r="F1010" s="6">
        <f>IF(OR(C1010="",D1010=""),"",IFERROR(LOOKUP(2,1/(($C$1:C1009=C1010)*($D$1:D1009=D1010)*ISNUMBER($J$1:J1009)),$J$1:J1009),SUMIFS(Master!$G$2:$G$13,Master!$E$2:$E$13,C1010,Master!$F$2:$F$13,D1010)))</f>
        <v/>
      </c>
      <c r="G1010" s="5" t="n"/>
      <c r="H1010" s="5" t="n"/>
      <c r="I1010" s="5" t="n"/>
      <c r="J1010" s="6">
        <f>IF(OR(F1010="",COUNT(G1010:I1010)&lt;3),"",F1010+G1010-H1010-I1010)</f>
        <v/>
      </c>
      <c r="K1010" s="6">
        <f>IF(COUNTA(A1010:D1010,G1010:I1010)=0,"",IF(COUNTA(A1010:D1010,G1010:I1010)&lt;7,"LENGKAPI",IF(H1010+I1010&gt;N(F1010)+G1010,"ABNORMAL",IF(COUNTIFS($A$2:$A$2001,A1010,$B$2:$B$2001,B1010,$C$2:$C$2001,C1010,$D$2:$D$2001,D1010)&gt;1,"DUPLIKAT","OK"))))</f>
        <v/>
      </c>
    </row>
    <row r="1011">
      <c r="A1011" s="4" t="n"/>
      <c r="B1011" s="5" t="n"/>
      <c r="C1011" s="5" t="n"/>
      <c r="D1011" s="5" t="n"/>
      <c r="E1011" s="6">
        <f>IF(A1011="","","B"&amp;TEXT(COUNT($A$2:A1011),"00000"))</f>
        <v/>
      </c>
      <c r="F1011" s="6">
        <f>IF(OR(C1011="",D1011=""),"",IFERROR(LOOKUP(2,1/(($C$1:C1010=C1011)*($D$1:D1010=D1011)*ISNUMBER($J$1:J1010)),$J$1:J1010),SUMIFS(Master!$G$2:$G$13,Master!$E$2:$E$13,C1011,Master!$F$2:$F$13,D1011)))</f>
        <v/>
      </c>
      <c r="G1011" s="5" t="n"/>
      <c r="H1011" s="5" t="n"/>
      <c r="I1011" s="5" t="n"/>
      <c r="J1011" s="6">
        <f>IF(OR(F1011="",COUNT(G1011:I1011)&lt;3),"",F1011+G1011-H1011-I1011)</f>
        <v/>
      </c>
      <c r="K1011" s="6">
        <f>IF(COUNTA(A1011:D1011,G1011:I1011)=0,"",IF(COUNTA(A1011:D1011,G1011:I1011)&lt;7,"LENGKAPI",IF(H1011+I1011&gt;N(F1011)+G1011,"ABNORMAL",IF(COUNTIFS($A$2:$A$2001,A1011,$B$2:$B$2001,B1011,$C$2:$C$2001,C1011,$D$2:$D$2001,D1011)&gt;1,"DUPLIKAT","OK"))))</f>
        <v/>
      </c>
    </row>
    <row r="1012">
      <c r="A1012" s="4" t="n"/>
      <c r="B1012" s="5" t="n"/>
      <c r="C1012" s="5" t="n"/>
      <c r="D1012" s="5" t="n"/>
      <c r="E1012" s="6">
        <f>IF(A1012="","","B"&amp;TEXT(COUNT($A$2:A1012),"00000"))</f>
        <v/>
      </c>
      <c r="F1012" s="6">
        <f>IF(OR(C1012="",D1012=""),"",IFERROR(LOOKUP(2,1/(($C$1:C1011=C1012)*($D$1:D1011=D1012)*ISNUMBER($J$1:J1011)),$J$1:J1011),SUMIFS(Master!$G$2:$G$13,Master!$E$2:$E$13,C1012,Master!$F$2:$F$13,D1012)))</f>
        <v/>
      </c>
      <c r="G1012" s="5" t="n"/>
      <c r="H1012" s="5" t="n"/>
      <c r="I1012" s="5" t="n"/>
      <c r="J1012" s="6">
        <f>IF(OR(F1012="",COUNT(G1012:I1012)&lt;3),"",F1012+G1012-H1012-I1012)</f>
        <v/>
      </c>
      <c r="K1012" s="6">
        <f>IF(COUNTA(A1012:D1012,G1012:I1012)=0,"",IF(COUNTA(A1012:D1012,G1012:I1012)&lt;7,"LENGKAPI",IF(H1012+I1012&gt;N(F1012)+G1012,"ABNORMAL",IF(COUNTIFS($A$2:$A$2001,A1012,$B$2:$B$2001,B1012,$C$2:$C$2001,C1012,$D$2:$D$2001,D1012)&gt;1,"DUPLIKAT","OK"))))</f>
        <v/>
      </c>
    </row>
    <row r="1013">
      <c r="A1013" s="4" t="n"/>
      <c r="B1013" s="5" t="n"/>
      <c r="C1013" s="5" t="n"/>
      <c r="D1013" s="5" t="n"/>
      <c r="E1013" s="6">
        <f>IF(A1013="","","B"&amp;TEXT(COUNT($A$2:A1013),"00000"))</f>
        <v/>
      </c>
      <c r="F1013" s="6">
        <f>IF(OR(C1013="",D1013=""),"",IFERROR(LOOKUP(2,1/(($C$1:C1012=C1013)*($D$1:D1012=D1013)*ISNUMBER($J$1:J1012)),$J$1:J1012),SUMIFS(Master!$G$2:$G$13,Master!$E$2:$E$13,C1013,Master!$F$2:$F$13,D1013)))</f>
        <v/>
      </c>
      <c r="G1013" s="5" t="n"/>
      <c r="H1013" s="5" t="n"/>
      <c r="I1013" s="5" t="n"/>
      <c r="J1013" s="6">
        <f>IF(OR(F1013="",COUNT(G1013:I1013)&lt;3),"",F1013+G1013-H1013-I1013)</f>
        <v/>
      </c>
      <c r="K1013" s="6">
        <f>IF(COUNTA(A1013:D1013,G1013:I1013)=0,"",IF(COUNTA(A1013:D1013,G1013:I1013)&lt;7,"LENGKAPI",IF(H1013+I1013&gt;N(F1013)+G1013,"ABNORMAL",IF(COUNTIFS($A$2:$A$2001,A1013,$B$2:$B$2001,B1013,$C$2:$C$2001,C1013,$D$2:$D$2001,D1013)&gt;1,"DUPLIKAT","OK"))))</f>
        <v/>
      </c>
    </row>
    <row r="1014">
      <c r="A1014" s="4" t="n"/>
      <c r="B1014" s="5" t="n"/>
      <c r="C1014" s="5" t="n"/>
      <c r="D1014" s="5" t="n"/>
      <c r="E1014" s="6">
        <f>IF(A1014="","","B"&amp;TEXT(COUNT($A$2:A1014),"00000"))</f>
        <v/>
      </c>
      <c r="F1014" s="6">
        <f>IF(OR(C1014="",D1014=""),"",IFERROR(LOOKUP(2,1/(($C$1:C1013=C1014)*($D$1:D1013=D1014)*ISNUMBER($J$1:J1013)),$J$1:J1013),SUMIFS(Master!$G$2:$G$13,Master!$E$2:$E$13,C1014,Master!$F$2:$F$13,D1014)))</f>
        <v/>
      </c>
      <c r="G1014" s="5" t="n"/>
      <c r="H1014" s="5" t="n"/>
      <c r="I1014" s="5" t="n"/>
      <c r="J1014" s="6">
        <f>IF(OR(F1014="",COUNT(G1014:I1014)&lt;3),"",F1014+G1014-H1014-I1014)</f>
        <v/>
      </c>
      <c r="K1014" s="6">
        <f>IF(COUNTA(A1014:D1014,G1014:I1014)=0,"",IF(COUNTA(A1014:D1014,G1014:I1014)&lt;7,"LENGKAPI",IF(H1014+I1014&gt;N(F1014)+G1014,"ABNORMAL",IF(COUNTIFS($A$2:$A$2001,A1014,$B$2:$B$2001,B1014,$C$2:$C$2001,C1014,$D$2:$D$2001,D1014)&gt;1,"DUPLIKAT","OK"))))</f>
        <v/>
      </c>
    </row>
    <row r="1015">
      <c r="A1015" s="4" t="n"/>
      <c r="B1015" s="5" t="n"/>
      <c r="C1015" s="5" t="n"/>
      <c r="D1015" s="5" t="n"/>
      <c r="E1015" s="6">
        <f>IF(A1015="","","B"&amp;TEXT(COUNT($A$2:A1015),"00000"))</f>
        <v/>
      </c>
      <c r="F1015" s="6">
        <f>IF(OR(C1015="",D1015=""),"",IFERROR(LOOKUP(2,1/(($C$1:C1014=C1015)*($D$1:D1014=D1015)*ISNUMBER($J$1:J1014)),$J$1:J1014),SUMIFS(Master!$G$2:$G$13,Master!$E$2:$E$13,C1015,Master!$F$2:$F$13,D1015)))</f>
        <v/>
      </c>
      <c r="G1015" s="5" t="n"/>
      <c r="H1015" s="5" t="n"/>
      <c r="I1015" s="5" t="n"/>
      <c r="J1015" s="6">
        <f>IF(OR(F1015="",COUNT(G1015:I1015)&lt;3),"",F1015+G1015-H1015-I1015)</f>
        <v/>
      </c>
      <c r="K1015" s="6">
        <f>IF(COUNTA(A1015:D1015,G1015:I1015)=0,"",IF(COUNTA(A1015:D1015,G1015:I1015)&lt;7,"LENGKAPI",IF(H1015+I1015&gt;N(F1015)+G1015,"ABNORMAL",IF(COUNTIFS($A$2:$A$2001,A1015,$B$2:$B$2001,B1015,$C$2:$C$2001,C1015,$D$2:$D$2001,D1015)&gt;1,"DUPLIKAT","OK"))))</f>
        <v/>
      </c>
    </row>
    <row r="1016">
      <c r="A1016" s="4" t="n"/>
      <c r="B1016" s="5" t="n"/>
      <c r="C1016" s="5" t="n"/>
      <c r="D1016" s="5" t="n"/>
      <c r="E1016" s="6">
        <f>IF(A1016="","","B"&amp;TEXT(COUNT($A$2:A1016),"00000"))</f>
        <v/>
      </c>
      <c r="F1016" s="6">
        <f>IF(OR(C1016="",D1016=""),"",IFERROR(LOOKUP(2,1/(($C$1:C1015=C1016)*($D$1:D1015=D1016)*ISNUMBER($J$1:J1015)),$J$1:J1015),SUMIFS(Master!$G$2:$G$13,Master!$E$2:$E$13,C1016,Master!$F$2:$F$13,D1016)))</f>
        <v/>
      </c>
      <c r="G1016" s="5" t="n"/>
      <c r="H1016" s="5" t="n"/>
      <c r="I1016" s="5" t="n"/>
      <c r="J1016" s="6">
        <f>IF(OR(F1016="",COUNT(G1016:I1016)&lt;3),"",F1016+G1016-H1016-I1016)</f>
        <v/>
      </c>
      <c r="K1016" s="6">
        <f>IF(COUNTA(A1016:D1016,G1016:I1016)=0,"",IF(COUNTA(A1016:D1016,G1016:I1016)&lt;7,"LENGKAPI",IF(H1016+I1016&gt;N(F1016)+G1016,"ABNORMAL",IF(COUNTIFS($A$2:$A$2001,A1016,$B$2:$B$2001,B1016,$C$2:$C$2001,C1016,$D$2:$D$2001,D1016)&gt;1,"DUPLIKAT","OK"))))</f>
        <v/>
      </c>
    </row>
    <row r="1017">
      <c r="A1017" s="4" t="n"/>
      <c r="B1017" s="5" t="n"/>
      <c r="C1017" s="5" t="n"/>
      <c r="D1017" s="5" t="n"/>
      <c r="E1017" s="6">
        <f>IF(A1017="","","B"&amp;TEXT(COUNT($A$2:A1017),"00000"))</f>
        <v/>
      </c>
      <c r="F1017" s="6">
        <f>IF(OR(C1017="",D1017=""),"",IFERROR(LOOKUP(2,1/(($C$1:C1016=C1017)*($D$1:D1016=D1017)*ISNUMBER($J$1:J1016)),$J$1:J1016),SUMIFS(Master!$G$2:$G$13,Master!$E$2:$E$13,C1017,Master!$F$2:$F$13,D1017)))</f>
        <v/>
      </c>
      <c r="G1017" s="5" t="n"/>
      <c r="H1017" s="5" t="n"/>
      <c r="I1017" s="5" t="n"/>
      <c r="J1017" s="6">
        <f>IF(OR(F1017="",COUNT(G1017:I1017)&lt;3),"",F1017+G1017-H1017-I1017)</f>
        <v/>
      </c>
      <c r="K1017" s="6">
        <f>IF(COUNTA(A1017:D1017,G1017:I1017)=0,"",IF(COUNTA(A1017:D1017,G1017:I1017)&lt;7,"LENGKAPI",IF(H1017+I1017&gt;N(F1017)+G1017,"ABNORMAL",IF(COUNTIFS($A$2:$A$2001,A1017,$B$2:$B$2001,B1017,$C$2:$C$2001,C1017,$D$2:$D$2001,D1017)&gt;1,"DUPLIKAT","OK"))))</f>
        <v/>
      </c>
    </row>
    <row r="1018">
      <c r="A1018" s="4" t="n"/>
      <c r="B1018" s="5" t="n"/>
      <c r="C1018" s="5" t="n"/>
      <c r="D1018" s="5" t="n"/>
      <c r="E1018" s="6">
        <f>IF(A1018="","","B"&amp;TEXT(COUNT($A$2:A1018),"00000"))</f>
        <v/>
      </c>
      <c r="F1018" s="6">
        <f>IF(OR(C1018="",D1018=""),"",IFERROR(LOOKUP(2,1/(($C$1:C1017=C1018)*($D$1:D1017=D1018)*ISNUMBER($J$1:J1017)),$J$1:J1017),SUMIFS(Master!$G$2:$G$13,Master!$E$2:$E$13,C1018,Master!$F$2:$F$13,D1018)))</f>
        <v/>
      </c>
      <c r="G1018" s="5" t="n"/>
      <c r="H1018" s="5" t="n"/>
      <c r="I1018" s="5" t="n"/>
      <c r="J1018" s="6">
        <f>IF(OR(F1018="",COUNT(G1018:I1018)&lt;3),"",F1018+G1018-H1018-I1018)</f>
        <v/>
      </c>
      <c r="K1018" s="6">
        <f>IF(COUNTA(A1018:D1018,G1018:I1018)=0,"",IF(COUNTA(A1018:D1018,G1018:I1018)&lt;7,"LENGKAPI",IF(H1018+I1018&gt;N(F1018)+G1018,"ABNORMAL",IF(COUNTIFS($A$2:$A$2001,A1018,$B$2:$B$2001,B1018,$C$2:$C$2001,C1018,$D$2:$D$2001,D1018)&gt;1,"DUPLIKAT","OK"))))</f>
        <v/>
      </c>
    </row>
    <row r="1019">
      <c r="A1019" s="4" t="n"/>
      <c r="B1019" s="5" t="n"/>
      <c r="C1019" s="5" t="n"/>
      <c r="D1019" s="5" t="n"/>
      <c r="E1019" s="6">
        <f>IF(A1019="","","B"&amp;TEXT(COUNT($A$2:A1019),"00000"))</f>
        <v/>
      </c>
      <c r="F1019" s="6">
        <f>IF(OR(C1019="",D1019=""),"",IFERROR(LOOKUP(2,1/(($C$1:C1018=C1019)*($D$1:D1018=D1019)*ISNUMBER($J$1:J1018)),$J$1:J1018),SUMIFS(Master!$G$2:$G$13,Master!$E$2:$E$13,C1019,Master!$F$2:$F$13,D1019)))</f>
        <v/>
      </c>
      <c r="G1019" s="5" t="n"/>
      <c r="H1019" s="5" t="n"/>
      <c r="I1019" s="5" t="n"/>
      <c r="J1019" s="6">
        <f>IF(OR(F1019="",COUNT(G1019:I1019)&lt;3),"",F1019+G1019-H1019-I1019)</f>
        <v/>
      </c>
      <c r="K1019" s="6">
        <f>IF(COUNTA(A1019:D1019,G1019:I1019)=0,"",IF(COUNTA(A1019:D1019,G1019:I1019)&lt;7,"LENGKAPI",IF(H1019+I1019&gt;N(F1019)+G1019,"ABNORMAL",IF(COUNTIFS($A$2:$A$2001,A1019,$B$2:$B$2001,B1019,$C$2:$C$2001,C1019,$D$2:$D$2001,D1019)&gt;1,"DUPLIKAT","OK"))))</f>
        <v/>
      </c>
    </row>
    <row r="1020">
      <c r="A1020" s="4" t="n"/>
      <c r="B1020" s="5" t="n"/>
      <c r="C1020" s="5" t="n"/>
      <c r="D1020" s="5" t="n"/>
      <c r="E1020" s="6">
        <f>IF(A1020="","","B"&amp;TEXT(COUNT($A$2:A1020),"00000"))</f>
        <v/>
      </c>
      <c r="F1020" s="6">
        <f>IF(OR(C1020="",D1020=""),"",IFERROR(LOOKUP(2,1/(($C$1:C1019=C1020)*($D$1:D1019=D1020)*ISNUMBER($J$1:J1019)),$J$1:J1019),SUMIFS(Master!$G$2:$G$13,Master!$E$2:$E$13,C1020,Master!$F$2:$F$13,D1020)))</f>
        <v/>
      </c>
      <c r="G1020" s="5" t="n"/>
      <c r="H1020" s="5" t="n"/>
      <c r="I1020" s="5" t="n"/>
      <c r="J1020" s="6">
        <f>IF(OR(F1020="",COUNT(G1020:I1020)&lt;3),"",F1020+G1020-H1020-I1020)</f>
        <v/>
      </c>
      <c r="K1020" s="6">
        <f>IF(COUNTA(A1020:D1020,G1020:I1020)=0,"",IF(COUNTA(A1020:D1020,G1020:I1020)&lt;7,"LENGKAPI",IF(H1020+I1020&gt;N(F1020)+G1020,"ABNORMAL",IF(COUNTIFS($A$2:$A$2001,A1020,$B$2:$B$2001,B1020,$C$2:$C$2001,C1020,$D$2:$D$2001,D1020)&gt;1,"DUPLIKAT","OK"))))</f>
        <v/>
      </c>
    </row>
    <row r="1021">
      <c r="A1021" s="4" t="n"/>
      <c r="B1021" s="5" t="n"/>
      <c r="C1021" s="5" t="n"/>
      <c r="D1021" s="5" t="n"/>
      <c r="E1021" s="6">
        <f>IF(A1021="","","B"&amp;TEXT(COUNT($A$2:A1021),"00000"))</f>
        <v/>
      </c>
      <c r="F1021" s="6">
        <f>IF(OR(C1021="",D1021=""),"",IFERROR(LOOKUP(2,1/(($C$1:C1020=C1021)*($D$1:D1020=D1021)*ISNUMBER($J$1:J1020)),$J$1:J1020),SUMIFS(Master!$G$2:$G$13,Master!$E$2:$E$13,C1021,Master!$F$2:$F$13,D1021)))</f>
        <v/>
      </c>
      <c r="G1021" s="5" t="n"/>
      <c r="H1021" s="5" t="n"/>
      <c r="I1021" s="5" t="n"/>
      <c r="J1021" s="6">
        <f>IF(OR(F1021="",COUNT(G1021:I1021)&lt;3),"",F1021+G1021-H1021-I1021)</f>
        <v/>
      </c>
      <c r="K1021" s="6">
        <f>IF(COUNTA(A1021:D1021,G1021:I1021)=0,"",IF(COUNTA(A1021:D1021,G1021:I1021)&lt;7,"LENGKAPI",IF(H1021+I1021&gt;N(F1021)+G1021,"ABNORMAL",IF(COUNTIFS($A$2:$A$2001,A1021,$B$2:$B$2001,B1021,$C$2:$C$2001,C1021,$D$2:$D$2001,D1021)&gt;1,"DUPLIKAT","OK"))))</f>
        <v/>
      </c>
    </row>
    <row r="1022">
      <c r="A1022" s="4" t="n"/>
      <c r="B1022" s="5" t="n"/>
      <c r="C1022" s="5" t="n"/>
      <c r="D1022" s="5" t="n"/>
      <c r="E1022" s="6">
        <f>IF(A1022="","","B"&amp;TEXT(COUNT($A$2:A1022),"00000"))</f>
        <v/>
      </c>
      <c r="F1022" s="6">
        <f>IF(OR(C1022="",D1022=""),"",IFERROR(LOOKUP(2,1/(($C$1:C1021=C1022)*($D$1:D1021=D1022)*ISNUMBER($J$1:J1021)),$J$1:J1021),SUMIFS(Master!$G$2:$G$13,Master!$E$2:$E$13,C1022,Master!$F$2:$F$13,D1022)))</f>
        <v/>
      </c>
      <c r="G1022" s="5" t="n"/>
      <c r="H1022" s="5" t="n"/>
      <c r="I1022" s="5" t="n"/>
      <c r="J1022" s="6">
        <f>IF(OR(F1022="",COUNT(G1022:I1022)&lt;3),"",F1022+G1022-H1022-I1022)</f>
        <v/>
      </c>
      <c r="K1022" s="6">
        <f>IF(COUNTA(A1022:D1022,G1022:I1022)=0,"",IF(COUNTA(A1022:D1022,G1022:I1022)&lt;7,"LENGKAPI",IF(H1022+I1022&gt;N(F1022)+G1022,"ABNORMAL",IF(COUNTIFS($A$2:$A$2001,A1022,$B$2:$B$2001,B1022,$C$2:$C$2001,C1022,$D$2:$D$2001,D1022)&gt;1,"DUPLIKAT","OK"))))</f>
        <v/>
      </c>
    </row>
    <row r="1023">
      <c r="A1023" s="4" t="n"/>
      <c r="B1023" s="5" t="n"/>
      <c r="C1023" s="5" t="n"/>
      <c r="D1023" s="5" t="n"/>
      <c r="E1023" s="6">
        <f>IF(A1023="","","B"&amp;TEXT(COUNT($A$2:A1023),"00000"))</f>
        <v/>
      </c>
      <c r="F1023" s="6">
        <f>IF(OR(C1023="",D1023=""),"",IFERROR(LOOKUP(2,1/(($C$1:C1022=C1023)*($D$1:D1022=D1023)*ISNUMBER($J$1:J1022)),$J$1:J1022),SUMIFS(Master!$G$2:$G$13,Master!$E$2:$E$13,C1023,Master!$F$2:$F$13,D1023)))</f>
        <v/>
      </c>
      <c r="G1023" s="5" t="n"/>
      <c r="H1023" s="5" t="n"/>
      <c r="I1023" s="5" t="n"/>
      <c r="J1023" s="6">
        <f>IF(OR(F1023="",COUNT(G1023:I1023)&lt;3),"",F1023+G1023-H1023-I1023)</f>
        <v/>
      </c>
      <c r="K1023" s="6">
        <f>IF(COUNTA(A1023:D1023,G1023:I1023)=0,"",IF(COUNTA(A1023:D1023,G1023:I1023)&lt;7,"LENGKAPI",IF(H1023+I1023&gt;N(F1023)+G1023,"ABNORMAL",IF(COUNTIFS($A$2:$A$2001,A1023,$B$2:$B$2001,B1023,$C$2:$C$2001,C1023,$D$2:$D$2001,D1023)&gt;1,"DUPLIKAT","OK"))))</f>
        <v/>
      </c>
    </row>
    <row r="1024">
      <c r="A1024" s="4" t="n"/>
      <c r="B1024" s="5" t="n"/>
      <c r="C1024" s="5" t="n"/>
      <c r="D1024" s="5" t="n"/>
      <c r="E1024" s="6">
        <f>IF(A1024="","","B"&amp;TEXT(COUNT($A$2:A1024),"00000"))</f>
        <v/>
      </c>
      <c r="F1024" s="6">
        <f>IF(OR(C1024="",D1024=""),"",IFERROR(LOOKUP(2,1/(($C$1:C1023=C1024)*($D$1:D1023=D1024)*ISNUMBER($J$1:J1023)),$J$1:J1023),SUMIFS(Master!$G$2:$G$13,Master!$E$2:$E$13,C1024,Master!$F$2:$F$13,D1024)))</f>
        <v/>
      </c>
      <c r="G1024" s="5" t="n"/>
      <c r="H1024" s="5" t="n"/>
      <c r="I1024" s="5" t="n"/>
      <c r="J1024" s="6">
        <f>IF(OR(F1024="",COUNT(G1024:I1024)&lt;3),"",F1024+G1024-H1024-I1024)</f>
        <v/>
      </c>
      <c r="K1024" s="6">
        <f>IF(COUNTA(A1024:D1024,G1024:I1024)=0,"",IF(COUNTA(A1024:D1024,G1024:I1024)&lt;7,"LENGKAPI",IF(H1024+I1024&gt;N(F1024)+G1024,"ABNORMAL",IF(COUNTIFS($A$2:$A$2001,A1024,$B$2:$B$2001,B1024,$C$2:$C$2001,C1024,$D$2:$D$2001,D1024)&gt;1,"DUPLIKAT","OK"))))</f>
        <v/>
      </c>
    </row>
    <row r="1025">
      <c r="A1025" s="4" t="n"/>
      <c r="B1025" s="5" t="n"/>
      <c r="C1025" s="5" t="n"/>
      <c r="D1025" s="5" t="n"/>
      <c r="E1025" s="6">
        <f>IF(A1025="","","B"&amp;TEXT(COUNT($A$2:A1025),"00000"))</f>
        <v/>
      </c>
      <c r="F1025" s="6">
        <f>IF(OR(C1025="",D1025=""),"",IFERROR(LOOKUP(2,1/(($C$1:C1024=C1025)*($D$1:D1024=D1025)*ISNUMBER($J$1:J1024)),$J$1:J1024),SUMIFS(Master!$G$2:$G$13,Master!$E$2:$E$13,C1025,Master!$F$2:$F$13,D1025)))</f>
        <v/>
      </c>
      <c r="G1025" s="5" t="n"/>
      <c r="H1025" s="5" t="n"/>
      <c r="I1025" s="5" t="n"/>
      <c r="J1025" s="6">
        <f>IF(OR(F1025="",COUNT(G1025:I1025)&lt;3),"",F1025+G1025-H1025-I1025)</f>
        <v/>
      </c>
      <c r="K1025" s="6">
        <f>IF(COUNTA(A1025:D1025,G1025:I1025)=0,"",IF(COUNTA(A1025:D1025,G1025:I1025)&lt;7,"LENGKAPI",IF(H1025+I1025&gt;N(F1025)+G1025,"ABNORMAL",IF(COUNTIFS($A$2:$A$2001,A1025,$B$2:$B$2001,B1025,$C$2:$C$2001,C1025,$D$2:$D$2001,D1025)&gt;1,"DUPLIKAT","OK"))))</f>
        <v/>
      </c>
    </row>
    <row r="1026">
      <c r="A1026" s="4" t="n"/>
      <c r="B1026" s="5" t="n"/>
      <c r="C1026" s="5" t="n"/>
      <c r="D1026" s="5" t="n"/>
      <c r="E1026" s="6">
        <f>IF(A1026="","","B"&amp;TEXT(COUNT($A$2:A1026),"00000"))</f>
        <v/>
      </c>
      <c r="F1026" s="6">
        <f>IF(OR(C1026="",D1026=""),"",IFERROR(LOOKUP(2,1/(($C$1:C1025=C1026)*($D$1:D1025=D1026)*ISNUMBER($J$1:J1025)),$J$1:J1025),SUMIFS(Master!$G$2:$G$13,Master!$E$2:$E$13,C1026,Master!$F$2:$F$13,D1026)))</f>
        <v/>
      </c>
      <c r="G1026" s="5" t="n"/>
      <c r="H1026" s="5" t="n"/>
      <c r="I1026" s="5" t="n"/>
      <c r="J1026" s="6">
        <f>IF(OR(F1026="",COUNT(G1026:I1026)&lt;3),"",F1026+G1026-H1026-I1026)</f>
        <v/>
      </c>
      <c r="K1026" s="6">
        <f>IF(COUNTA(A1026:D1026,G1026:I1026)=0,"",IF(COUNTA(A1026:D1026,G1026:I1026)&lt;7,"LENGKAPI",IF(H1026+I1026&gt;N(F1026)+G1026,"ABNORMAL",IF(COUNTIFS($A$2:$A$2001,A1026,$B$2:$B$2001,B1026,$C$2:$C$2001,C1026,$D$2:$D$2001,D1026)&gt;1,"DUPLIKAT","OK"))))</f>
        <v/>
      </c>
    </row>
    <row r="1027">
      <c r="A1027" s="4" t="n"/>
      <c r="B1027" s="5" t="n"/>
      <c r="C1027" s="5" t="n"/>
      <c r="D1027" s="5" t="n"/>
      <c r="E1027" s="6">
        <f>IF(A1027="","","B"&amp;TEXT(COUNT($A$2:A1027),"00000"))</f>
        <v/>
      </c>
      <c r="F1027" s="6">
        <f>IF(OR(C1027="",D1027=""),"",IFERROR(LOOKUP(2,1/(($C$1:C1026=C1027)*($D$1:D1026=D1027)*ISNUMBER($J$1:J1026)),$J$1:J1026),SUMIFS(Master!$G$2:$G$13,Master!$E$2:$E$13,C1027,Master!$F$2:$F$13,D1027)))</f>
        <v/>
      </c>
      <c r="G1027" s="5" t="n"/>
      <c r="H1027" s="5" t="n"/>
      <c r="I1027" s="5" t="n"/>
      <c r="J1027" s="6">
        <f>IF(OR(F1027="",COUNT(G1027:I1027)&lt;3),"",F1027+G1027-H1027-I1027)</f>
        <v/>
      </c>
      <c r="K1027" s="6">
        <f>IF(COUNTA(A1027:D1027,G1027:I1027)=0,"",IF(COUNTA(A1027:D1027,G1027:I1027)&lt;7,"LENGKAPI",IF(H1027+I1027&gt;N(F1027)+G1027,"ABNORMAL",IF(COUNTIFS($A$2:$A$2001,A1027,$B$2:$B$2001,B1027,$C$2:$C$2001,C1027,$D$2:$D$2001,D1027)&gt;1,"DUPLIKAT","OK"))))</f>
        <v/>
      </c>
    </row>
    <row r="1028">
      <c r="A1028" s="4" t="n"/>
      <c r="B1028" s="5" t="n"/>
      <c r="C1028" s="5" t="n"/>
      <c r="D1028" s="5" t="n"/>
      <c r="E1028" s="6">
        <f>IF(A1028="","","B"&amp;TEXT(COUNT($A$2:A1028),"00000"))</f>
        <v/>
      </c>
      <c r="F1028" s="6">
        <f>IF(OR(C1028="",D1028=""),"",IFERROR(LOOKUP(2,1/(($C$1:C1027=C1028)*($D$1:D1027=D1028)*ISNUMBER($J$1:J1027)),$J$1:J1027),SUMIFS(Master!$G$2:$G$13,Master!$E$2:$E$13,C1028,Master!$F$2:$F$13,D1028)))</f>
        <v/>
      </c>
      <c r="G1028" s="5" t="n"/>
      <c r="H1028" s="5" t="n"/>
      <c r="I1028" s="5" t="n"/>
      <c r="J1028" s="6">
        <f>IF(OR(F1028="",COUNT(G1028:I1028)&lt;3),"",F1028+G1028-H1028-I1028)</f>
        <v/>
      </c>
      <c r="K1028" s="6">
        <f>IF(COUNTA(A1028:D1028,G1028:I1028)=0,"",IF(COUNTA(A1028:D1028,G1028:I1028)&lt;7,"LENGKAPI",IF(H1028+I1028&gt;N(F1028)+G1028,"ABNORMAL",IF(COUNTIFS($A$2:$A$2001,A1028,$B$2:$B$2001,B1028,$C$2:$C$2001,C1028,$D$2:$D$2001,D1028)&gt;1,"DUPLIKAT","OK"))))</f>
        <v/>
      </c>
    </row>
    <row r="1029">
      <c r="A1029" s="4" t="n"/>
      <c r="B1029" s="5" t="n"/>
      <c r="C1029" s="5" t="n"/>
      <c r="D1029" s="5" t="n"/>
      <c r="E1029" s="6">
        <f>IF(A1029="","","B"&amp;TEXT(COUNT($A$2:A1029),"00000"))</f>
        <v/>
      </c>
      <c r="F1029" s="6">
        <f>IF(OR(C1029="",D1029=""),"",IFERROR(LOOKUP(2,1/(($C$1:C1028=C1029)*($D$1:D1028=D1029)*ISNUMBER($J$1:J1028)),$J$1:J1028),SUMIFS(Master!$G$2:$G$13,Master!$E$2:$E$13,C1029,Master!$F$2:$F$13,D1029)))</f>
        <v/>
      </c>
      <c r="G1029" s="5" t="n"/>
      <c r="H1029" s="5" t="n"/>
      <c r="I1029" s="5" t="n"/>
      <c r="J1029" s="6">
        <f>IF(OR(F1029="",COUNT(G1029:I1029)&lt;3),"",F1029+G1029-H1029-I1029)</f>
        <v/>
      </c>
      <c r="K1029" s="6">
        <f>IF(COUNTA(A1029:D1029,G1029:I1029)=0,"",IF(COUNTA(A1029:D1029,G1029:I1029)&lt;7,"LENGKAPI",IF(H1029+I1029&gt;N(F1029)+G1029,"ABNORMAL",IF(COUNTIFS($A$2:$A$2001,A1029,$B$2:$B$2001,B1029,$C$2:$C$2001,C1029,$D$2:$D$2001,D1029)&gt;1,"DUPLIKAT","OK"))))</f>
        <v/>
      </c>
    </row>
    <row r="1030">
      <c r="A1030" s="4" t="n"/>
      <c r="B1030" s="5" t="n"/>
      <c r="C1030" s="5" t="n"/>
      <c r="D1030" s="5" t="n"/>
      <c r="E1030" s="6">
        <f>IF(A1030="","","B"&amp;TEXT(COUNT($A$2:A1030),"00000"))</f>
        <v/>
      </c>
      <c r="F1030" s="6">
        <f>IF(OR(C1030="",D1030=""),"",IFERROR(LOOKUP(2,1/(($C$1:C1029=C1030)*($D$1:D1029=D1030)*ISNUMBER($J$1:J1029)),$J$1:J1029),SUMIFS(Master!$G$2:$G$13,Master!$E$2:$E$13,C1030,Master!$F$2:$F$13,D1030)))</f>
        <v/>
      </c>
      <c r="G1030" s="5" t="n"/>
      <c r="H1030" s="5" t="n"/>
      <c r="I1030" s="5" t="n"/>
      <c r="J1030" s="6">
        <f>IF(OR(F1030="",COUNT(G1030:I1030)&lt;3),"",F1030+G1030-H1030-I1030)</f>
        <v/>
      </c>
      <c r="K1030" s="6">
        <f>IF(COUNTA(A1030:D1030,G1030:I1030)=0,"",IF(COUNTA(A1030:D1030,G1030:I1030)&lt;7,"LENGKAPI",IF(H1030+I1030&gt;N(F1030)+G1030,"ABNORMAL",IF(COUNTIFS($A$2:$A$2001,A1030,$B$2:$B$2001,B1030,$C$2:$C$2001,C1030,$D$2:$D$2001,D1030)&gt;1,"DUPLIKAT","OK"))))</f>
        <v/>
      </c>
    </row>
    <row r="1031">
      <c r="A1031" s="4" t="n"/>
      <c r="B1031" s="5" t="n"/>
      <c r="C1031" s="5" t="n"/>
      <c r="D1031" s="5" t="n"/>
      <c r="E1031" s="6">
        <f>IF(A1031="","","B"&amp;TEXT(COUNT($A$2:A1031),"00000"))</f>
        <v/>
      </c>
      <c r="F1031" s="6">
        <f>IF(OR(C1031="",D1031=""),"",IFERROR(LOOKUP(2,1/(($C$1:C1030=C1031)*($D$1:D1030=D1031)*ISNUMBER($J$1:J1030)),$J$1:J1030),SUMIFS(Master!$G$2:$G$13,Master!$E$2:$E$13,C1031,Master!$F$2:$F$13,D1031)))</f>
        <v/>
      </c>
      <c r="G1031" s="5" t="n"/>
      <c r="H1031" s="5" t="n"/>
      <c r="I1031" s="5" t="n"/>
      <c r="J1031" s="6">
        <f>IF(OR(F1031="",COUNT(G1031:I1031)&lt;3),"",F1031+G1031-H1031-I1031)</f>
        <v/>
      </c>
      <c r="K1031" s="6">
        <f>IF(COUNTA(A1031:D1031,G1031:I1031)=0,"",IF(COUNTA(A1031:D1031,G1031:I1031)&lt;7,"LENGKAPI",IF(H1031+I1031&gt;N(F1031)+G1031,"ABNORMAL",IF(COUNTIFS($A$2:$A$2001,A1031,$B$2:$B$2001,B1031,$C$2:$C$2001,C1031,$D$2:$D$2001,D1031)&gt;1,"DUPLIKAT","OK"))))</f>
        <v/>
      </c>
    </row>
    <row r="1032">
      <c r="A1032" s="4" t="n"/>
      <c r="B1032" s="5" t="n"/>
      <c r="C1032" s="5" t="n"/>
      <c r="D1032" s="5" t="n"/>
      <c r="E1032" s="6">
        <f>IF(A1032="","","B"&amp;TEXT(COUNT($A$2:A1032),"00000"))</f>
        <v/>
      </c>
      <c r="F1032" s="6">
        <f>IF(OR(C1032="",D1032=""),"",IFERROR(LOOKUP(2,1/(($C$1:C1031=C1032)*($D$1:D1031=D1032)*ISNUMBER($J$1:J1031)),$J$1:J1031),SUMIFS(Master!$G$2:$G$13,Master!$E$2:$E$13,C1032,Master!$F$2:$F$13,D1032)))</f>
        <v/>
      </c>
      <c r="G1032" s="5" t="n"/>
      <c r="H1032" s="5" t="n"/>
      <c r="I1032" s="5" t="n"/>
      <c r="J1032" s="6">
        <f>IF(OR(F1032="",COUNT(G1032:I1032)&lt;3),"",F1032+G1032-H1032-I1032)</f>
        <v/>
      </c>
      <c r="K1032" s="6">
        <f>IF(COUNTA(A1032:D1032,G1032:I1032)=0,"",IF(COUNTA(A1032:D1032,G1032:I1032)&lt;7,"LENGKAPI",IF(H1032+I1032&gt;N(F1032)+G1032,"ABNORMAL",IF(COUNTIFS($A$2:$A$2001,A1032,$B$2:$B$2001,B1032,$C$2:$C$2001,C1032,$D$2:$D$2001,D1032)&gt;1,"DUPLIKAT","OK"))))</f>
        <v/>
      </c>
    </row>
    <row r="1033">
      <c r="A1033" s="4" t="n"/>
      <c r="B1033" s="5" t="n"/>
      <c r="C1033" s="5" t="n"/>
      <c r="D1033" s="5" t="n"/>
      <c r="E1033" s="6">
        <f>IF(A1033="","","B"&amp;TEXT(COUNT($A$2:A1033),"00000"))</f>
        <v/>
      </c>
      <c r="F1033" s="6">
        <f>IF(OR(C1033="",D1033=""),"",IFERROR(LOOKUP(2,1/(($C$1:C1032=C1033)*($D$1:D1032=D1033)*ISNUMBER($J$1:J1032)),$J$1:J1032),SUMIFS(Master!$G$2:$G$13,Master!$E$2:$E$13,C1033,Master!$F$2:$F$13,D1033)))</f>
        <v/>
      </c>
      <c r="G1033" s="5" t="n"/>
      <c r="H1033" s="5" t="n"/>
      <c r="I1033" s="5" t="n"/>
      <c r="J1033" s="6">
        <f>IF(OR(F1033="",COUNT(G1033:I1033)&lt;3),"",F1033+G1033-H1033-I1033)</f>
        <v/>
      </c>
      <c r="K1033" s="6">
        <f>IF(COUNTA(A1033:D1033,G1033:I1033)=0,"",IF(COUNTA(A1033:D1033,G1033:I1033)&lt;7,"LENGKAPI",IF(H1033+I1033&gt;N(F1033)+G1033,"ABNORMAL",IF(COUNTIFS($A$2:$A$2001,A1033,$B$2:$B$2001,B1033,$C$2:$C$2001,C1033,$D$2:$D$2001,D1033)&gt;1,"DUPLIKAT","OK"))))</f>
        <v/>
      </c>
    </row>
    <row r="1034">
      <c r="A1034" s="4" t="n"/>
      <c r="B1034" s="5" t="n"/>
      <c r="C1034" s="5" t="n"/>
      <c r="D1034" s="5" t="n"/>
      <c r="E1034" s="6">
        <f>IF(A1034="","","B"&amp;TEXT(COUNT($A$2:A1034),"00000"))</f>
        <v/>
      </c>
      <c r="F1034" s="6">
        <f>IF(OR(C1034="",D1034=""),"",IFERROR(LOOKUP(2,1/(($C$1:C1033=C1034)*($D$1:D1033=D1034)*ISNUMBER($J$1:J1033)),$J$1:J1033),SUMIFS(Master!$G$2:$G$13,Master!$E$2:$E$13,C1034,Master!$F$2:$F$13,D1034)))</f>
        <v/>
      </c>
      <c r="G1034" s="5" t="n"/>
      <c r="H1034" s="5" t="n"/>
      <c r="I1034" s="5" t="n"/>
      <c r="J1034" s="6">
        <f>IF(OR(F1034="",COUNT(G1034:I1034)&lt;3),"",F1034+G1034-H1034-I1034)</f>
        <v/>
      </c>
      <c r="K1034" s="6">
        <f>IF(COUNTA(A1034:D1034,G1034:I1034)=0,"",IF(COUNTA(A1034:D1034,G1034:I1034)&lt;7,"LENGKAPI",IF(H1034+I1034&gt;N(F1034)+G1034,"ABNORMAL",IF(COUNTIFS($A$2:$A$2001,A1034,$B$2:$B$2001,B1034,$C$2:$C$2001,C1034,$D$2:$D$2001,D1034)&gt;1,"DUPLIKAT","OK"))))</f>
        <v/>
      </c>
    </row>
    <row r="1035">
      <c r="A1035" s="4" t="n"/>
      <c r="B1035" s="5" t="n"/>
      <c r="C1035" s="5" t="n"/>
      <c r="D1035" s="5" t="n"/>
      <c r="E1035" s="6">
        <f>IF(A1035="","","B"&amp;TEXT(COUNT($A$2:A1035),"00000"))</f>
        <v/>
      </c>
      <c r="F1035" s="6">
        <f>IF(OR(C1035="",D1035=""),"",IFERROR(LOOKUP(2,1/(($C$1:C1034=C1035)*($D$1:D1034=D1035)*ISNUMBER($J$1:J1034)),$J$1:J1034),SUMIFS(Master!$G$2:$G$13,Master!$E$2:$E$13,C1035,Master!$F$2:$F$13,D1035)))</f>
        <v/>
      </c>
      <c r="G1035" s="5" t="n"/>
      <c r="H1035" s="5" t="n"/>
      <c r="I1035" s="5" t="n"/>
      <c r="J1035" s="6">
        <f>IF(OR(F1035="",COUNT(G1035:I1035)&lt;3),"",F1035+G1035-H1035-I1035)</f>
        <v/>
      </c>
      <c r="K1035" s="6">
        <f>IF(COUNTA(A1035:D1035,G1035:I1035)=0,"",IF(COUNTA(A1035:D1035,G1035:I1035)&lt;7,"LENGKAPI",IF(H1035+I1035&gt;N(F1035)+G1035,"ABNORMAL",IF(COUNTIFS($A$2:$A$2001,A1035,$B$2:$B$2001,B1035,$C$2:$C$2001,C1035,$D$2:$D$2001,D1035)&gt;1,"DUPLIKAT","OK"))))</f>
        <v/>
      </c>
    </row>
    <row r="1036">
      <c r="A1036" s="4" t="n"/>
      <c r="B1036" s="5" t="n"/>
      <c r="C1036" s="5" t="n"/>
      <c r="D1036" s="5" t="n"/>
      <c r="E1036" s="6">
        <f>IF(A1036="","","B"&amp;TEXT(COUNT($A$2:A1036),"00000"))</f>
        <v/>
      </c>
      <c r="F1036" s="6">
        <f>IF(OR(C1036="",D1036=""),"",IFERROR(LOOKUP(2,1/(($C$1:C1035=C1036)*($D$1:D1035=D1036)*ISNUMBER($J$1:J1035)),$J$1:J1035),SUMIFS(Master!$G$2:$G$13,Master!$E$2:$E$13,C1036,Master!$F$2:$F$13,D1036)))</f>
        <v/>
      </c>
      <c r="G1036" s="5" t="n"/>
      <c r="H1036" s="5" t="n"/>
      <c r="I1036" s="5" t="n"/>
      <c r="J1036" s="6">
        <f>IF(OR(F1036="",COUNT(G1036:I1036)&lt;3),"",F1036+G1036-H1036-I1036)</f>
        <v/>
      </c>
      <c r="K1036" s="6">
        <f>IF(COUNTA(A1036:D1036,G1036:I1036)=0,"",IF(COUNTA(A1036:D1036,G1036:I1036)&lt;7,"LENGKAPI",IF(H1036+I1036&gt;N(F1036)+G1036,"ABNORMAL",IF(COUNTIFS($A$2:$A$2001,A1036,$B$2:$B$2001,B1036,$C$2:$C$2001,C1036,$D$2:$D$2001,D1036)&gt;1,"DUPLIKAT","OK"))))</f>
        <v/>
      </c>
    </row>
    <row r="1037">
      <c r="A1037" s="4" t="n"/>
      <c r="B1037" s="5" t="n"/>
      <c r="C1037" s="5" t="n"/>
      <c r="D1037" s="5" t="n"/>
      <c r="E1037" s="6">
        <f>IF(A1037="","","B"&amp;TEXT(COUNT($A$2:A1037),"00000"))</f>
        <v/>
      </c>
      <c r="F1037" s="6">
        <f>IF(OR(C1037="",D1037=""),"",IFERROR(LOOKUP(2,1/(($C$1:C1036=C1037)*($D$1:D1036=D1037)*ISNUMBER($J$1:J1036)),$J$1:J1036),SUMIFS(Master!$G$2:$G$13,Master!$E$2:$E$13,C1037,Master!$F$2:$F$13,D1037)))</f>
        <v/>
      </c>
      <c r="G1037" s="5" t="n"/>
      <c r="H1037" s="5" t="n"/>
      <c r="I1037" s="5" t="n"/>
      <c r="J1037" s="6">
        <f>IF(OR(F1037="",COUNT(G1037:I1037)&lt;3),"",F1037+G1037-H1037-I1037)</f>
        <v/>
      </c>
      <c r="K1037" s="6">
        <f>IF(COUNTA(A1037:D1037,G1037:I1037)=0,"",IF(COUNTA(A1037:D1037,G1037:I1037)&lt;7,"LENGKAPI",IF(H1037+I1037&gt;N(F1037)+G1037,"ABNORMAL",IF(COUNTIFS($A$2:$A$2001,A1037,$B$2:$B$2001,B1037,$C$2:$C$2001,C1037,$D$2:$D$2001,D1037)&gt;1,"DUPLIKAT","OK"))))</f>
        <v/>
      </c>
    </row>
    <row r="1038">
      <c r="A1038" s="4" t="n"/>
      <c r="B1038" s="5" t="n"/>
      <c r="C1038" s="5" t="n"/>
      <c r="D1038" s="5" t="n"/>
      <c r="E1038" s="6">
        <f>IF(A1038="","","B"&amp;TEXT(COUNT($A$2:A1038),"00000"))</f>
        <v/>
      </c>
      <c r="F1038" s="6">
        <f>IF(OR(C1038="",D1038=""),"",IFERROR(LOOKUP(2,1/(($C$1:C1037=C1038)*($D$1:D1037=D1038)*ISNUMBER($J$1:J1037)),$J$1:J1037),SUMIFS(Master!$G$2:$G$13,Master!$E$2:$E$13,C1038,Master!$F$2:$F$13,D1038)))</f>
        <v/>
      </c>
      <c r="G1038" s="5" t="n"/>
      <c r="H1038" s="5" t="n"/>
      <c r="I1038" s="5" t="n"/>
      <c r="J1038" s="6">
        <f>IF(OR(F1038="",COUNT(G1038:I1038)&lt;3),"",F1038+G1038-H1038-I1038)</f>
        <v/>
      </c>
      <c r="K1038" s="6">
        <f>IF(COUNTA(A1038:D1038,G1038:I1038)=0,"",IF(COUNTA(A1038:D1038,G1038:I1038)&lt;7,"LENGKAPI",IF(H1038+I1038&gt;N(F1038)+G1038,"ABNORMAL",IF(COUNTIFS($A$2:$A$2001,A1038,$B$2:$B$2001,B1038,$C$2:$C$2001,C1038,$D$2:$D$2001,D1038)&gt;1,"DUPLIKAT","OK"))))</f>
        <v/>
      </c>
    </row>
    <row r="1039">
      <c r="A1039" s="4" t="n"/>
      <c r="B1039" s="5" t="n"/>
      <c r="C1039" s="5" t="n"/>
      <c r="D1039" s="5" t="n"/>
      <c r="E1039" s="6">
        <f>IF(A1039="","","B"&amp;TEXT(COUNT($A$2:A1039),"00000"))</f>
        <v/>
      </c>
      <c r="F1039" s="6">
        <f>IF(OR(C1039="",D1039=""),"",IFERROR(LOOKUP(2,1/(($C$1:C1038=C1039)*($D$1:D1038=D1039)*ISNUMBER($J$1:J1038)),$J$1:J1038),SUMIFS(Master!$G$2:$G$13,Master!$E$2:$E$13,C1039,Master!$F$2:$F$13,D1039)))</f>
        <v/>
      </c>
      <c r="G1039" s="5" t="n"/>
      <c r="H1039" s="5" t="n"/>
      <c r="I1039" s="5" t="n"/>
      <c r="J1039" s="6">
        <f>IF(OR(F1039="",COUNT(G1039:I1039)&lt;3),"",F1039+G1039-H1039-I1039)</f>
        <v/>
      </c>
      <c r="K1039" s="6">
        <f>IF(COUNTA(A1039:D1039,G1039:I1039)=0,"",IF(COUNTA(A1039:D1039,G1039:I1039)&lt;7,"LENGKAPI",IF(H1039+I1039&gt;N(F1039)+G1039,"ABNORMAL",IF(COUNTIFS($A$2:$A$2001,A1039,$B$2:$B$2001,B1039,$C$2:$C$2001,C1039,$D$2:$D$2001,D1039)&gt;1,"DUPLIKAT","OK"))))</f>
        <v/>
      </c>
    </row>
    <row r="1040">
      <c r="A1040" s="4" t="n"/>
      <c r="B1040" s="5" t="n"/>
      <c r="C1040" s="5" t="n"/>
      <c r="D1040" s="5" t="n"/>
      <c r="E1040" s="6">
        <f>IF(A1040="","","B"&amp;TEXT(COUNT($A$2:A1040),"00000"))</f>
        <v/>
      </c>
      <c r="F1040" s="6">
        <f>IF(OR(C1040="",D1040=""),"",IFERROR(LOOKUP(2,1/(($C$1:C1039=C1040)*($D$1:D1039=D1040)*ISNUMBER($J$1:J1039)),$J$1:J1039),SUMIFS(Master!$G$2:$G$13,Master!$E$2:$E$13,C1040,Master!$F$2:$F$13,D1040)))</f>
        <v/>
      </c>
      <c r="G1040" s="5" t="n"/>
      <c r="H1040" s="5" t="n"/>
      <c r="I1040" s="5" t="n"/>
      <c r="J1040" s="6">
        <f>IF(OR(F1040="",COUNT(G1040:I1040)&lt;3),"",F1040+G1040-H1040-I1040)</f>
        <v/>
      </c>
      <c r="K1040" s="6">
        <f>IF(COUNTA(A1040:D1040,G1040:I1040)=0,"",IF(COUNTA(A1040:D1040,G1040:I1040)&lt;7,"LENGKAPI",IF(H1040+I1040&gt;N(F1040)+G1040,"ABNORMAL",IF(COUNTIFS($A$2:$A$2001,A1040,$B$2:$B$2001,B1040,$C$2:$C$2001,C1040,$D$2:$D$2001,D1040)&gt;1,"DUPLIKAT","OK"))))</f>
        <v/>
      </c>
    </row>
    <row r="1041">
      <c r="A1041" s="4" t="n"/>
      <c r="B1041" s="5" t="n"/>
      <c r="C1041" s="5" t="n"/>
      <c r="D1041" s="5" t="n"/>
      <c r="E1041" s="6">
        <f>IF(A1041="","","B"&amp;TEXT(COUNT($A$2:A1041),"00000"))</f>
        <v/>
      </c>
      <c r="F1041" s="6">
        <f>IF(OR(C1041="",D1041=""),"",IFERROR(LOOKUP(2,1/(($C$1:C1040=C1041)*($D$1:D1040=D1041)*ISNUMBER($J$1:J1040)),$J$1:J1040),SUMIFS(Master!$G$2:$G$13,Master!$E$2:$E$13,C1041,Master!$F$2:$F$13,D1041)))</f>
        <v/>
      </c>
      <c r="G1041" s="5" t="n"/>
      <c r="H1041" s="5" t="n"/>
      <c r="I1041" s="5" t="n"/>
      <c r="J1041" s="6">
        <f>IF(OR(F1041="",COUNT(G1041:I1041)&lt;3),"",F1041+G1041-H1041-I1041)</f>
        <v/>
      </c>
      <c r="K1041" s="6">
        <f>IF(COUNTA(A1041:D1041,G1041:I1041)=0,"",IF(COUNTA(A1041:D1041,G1041:I1041)&lt;7,"LENGKAPI",IF(H1041+I1041&gt;N(F1041)+G1041,"ABNORMAL",IF(COUNTIFS($A$2:$A$2001,A1041,$B$2:$B$2001,B1041,$C$2:$C$2001,C1041,$D$2:$D$2001,D1041)&gt;1,"DUPLIKAT","OK"))))</f>
        <v/>
      </c>
    </row>
    <row r="1042">
      <c r="A1042" s="4" t="n"/>
      <c r="B1042" s="5" t="n"/>
      <c r="C1042" s="5" t="n"/>
      <c r="D1042" s="5" t="n"/>
      <c r="E1042" s="6">
        <f>IF(A1042="","","B"&amp;TEXT(COUNT($A$2:A1042),"00000"))</f>
        <v/>
      </c>
      <c r="F1042" s="6">
        <f>IF(OR(C1042="",D1042=""),"",IFERROR(LOOKUP(2,1/(($C$1:C1041=C1042)*($D$1:D1041=D1042)*ISNUMBER($J$1:J1041)),$J$1:J1041),SUMIFS(Master!$G$2:$G$13,Master!$E$2:$E$13,C1042,Master!$F$2:$F$13,D1042)))</f>
        <v/>
      </c>
      <c r="G1042" s="5" t="n"/>
      <c r="H1042" s="5" t="n"/>
      <c r="I1042" s="5" t="n"/>
      <c r="J1042" s="6">
        <f>IF(OR(F1042="",COUNT(G1042:I1042)&lt;3),"",F1042+G1042-H1042-I1042)</f>
        <v/>
      </c>
      <c r="K1042" s="6">
        <f>IF(COUNTA(A1042:D1042,G1042:I1042)=0,"",IF(COUNTA(A1042:D1042,G1042:I1042)&lt;7,"LENGKAPI",IF(H1042+I1042&gt;N(F1042)+G1042,"ABNORMAL",IF(COUNTIFS($A$2:$A$2001,A1042,$B$2:$B$2001,B1042,$C$2:$C$2001,C1042,$D$2:$D$2001,D1042)&gt;1,"DUPLIKAT","OK"))))</f>
        <v/>
      </c>
    </row>
    <row r="1043">
      <c r="A1043" s="4" t="n"/>
      <c r="B1043" s="5" t="n"/>
      <c r="C1043" s="5" t="n"/>
      <c r="D1043" s="5" t="n"/>
      <c r="E1043" s="6">
        <f>IF(A1043="","","B"&amp;TEXT(COUNT($A$2:A1043),"00000"))</f>
        <v/>
      </c>
      <c r="F1043" s="6">
        <f>IF(OR(C1043="",D1043=""),"",IFERROR(LOOKUP(2,1/(($C$1:C1042=C1043)*($D$1:D1042=D1043)*ISNUMBER($J$1:J1042)),$J$1:J1042),SUMIFS(Master!$G$2:$G$13,Master!$E$2:$E$13,C1043,Master!$F$2:$F$13,D1043)))</f>
        <v/>
      </c>
      <c r="G1043" s="5" t="n"/>
      <c r="H1043" s="5" t="n"/>
      <c r="I1043" s="5" t="n"/>
      <c r="J1043" s="6">
        <f>IF(OR(F1043="",COUNT(G1043:I1043)&lt;3),"",F1043+G1043-H1043-I1043)</f>
        <v/>
      </c>
      <c r="K1043" s="6">
        <f>IF(COUNTA(A1043:D1043,G1043:I1043)=0,"",IF(COUNTA(A1043:D1043,G1043:I1043)&lt;7,"LENGKAPI",IF(H1043+I1043&gt;N(F1043)+G1043,"ABNORMAL",IF(COUNTIFS($A$2:$A$2001,A1043,$B$2:$B$2001,B1043,$C$2:$C$2001,C1043,$D$2:$D$2001,D1043)&gt;1,"DUPLIKAT","OK"))))</f>
        <v/>
      </c>
    </row>
    <row r="1044">
      <c r="A1044" s="4" t="n"/>
      <c r="B1044" s="5" t="n"/>
      <c r="C1044" s="5" t="n"/>
      <c r="D1044" s="5" t="n"/>
      <c r="E1044" s="6">
        <f>IF(A1044="","","B"&amp;TEXT(COUNT($A$2:A1044),"00000"))</f>
        <v/>
      </c>
      <c r="F1044" s="6">
        <f>IF(OR(C1044="",D1044=""),"",IFERROR(LOOKUP(2,1/(($C$1:C1043=C1044)*($D$1:D1043=D1044)*ISNUMBER($J$1:J1043)),$J$1:J1043),SUMIFS(Master!$G$2:$G$13,Master!$E$2:$E$13,C1044,Master!$F$2:$F$13,D1044)))</f>
        <v/>
      </c>
      <c r="G1044" s="5" t="n"/>
      <c r="H1044" s="5" t="n"/>
      <c r="I1044" s="5" t="n"/>
      <c r="J1044" s="6">
        <f>IF(OR(F1044="",COUNT(G1044:I1044)&lt;3),"",F1044+G1044-H1044-I1044)</f>
        <v/>
      </c>
      <c r="K1044" s="6">
        <f>IF(COUNTA(A1044:D1044,G1044:I1044)=0,"",IF(COUNTA(A1044:D1044,G1044:I1044)&lt;7,"LENGKAPI",IF(H1044+I1044&gt;N(F1044)+G1044,"ABNORMAL",IF(COUNTIFS($A$2:$A$2001,A1044,$B$2:$B$2001,B1044,$C$2:$C$2001,C1044,$D$2:$D$2001,D1044)&gt;1,"DUPLIKAT","OK"))))</f>
        <v/>
      </c>
    </row>
    <row r="1045">
      <c r="A1045" s="4" t="n"/>
      <c r="B1045" s="5" t="n"/>
      <c r="C1045" s="5" t="n"/>
      <c r="D1045" s="5" t="n"/>
      <c r="E1045" s="6">
        <f>IF(A1045="","","B"&amp;TEXT(COUNT($A$2:A1045),"00000"))</f>
        <v/>
      </c>
      <c r="F1045" s="6">
        <f>IF(OR(C1045="",D1045=""),"",IFERROR(LOOKUP(2,1/(($C$1:C1044=C1045)*($D$1:D1044=D1045)*ISNUMBER($J$1:J1044)),$J$1:J1044),SUMIFS(Master!$G$2:$G$13,Master!$E$2:$E$13,C1045,Master!$F$2:$F$13,D1045)))</f>
        <v/>
      </c>
      <c r="G1045" s="5" t="n"/>
      <c r="H1045" s="5" t="n"/>
      <c r="I1045" s="5" t="n"/>
      <c r="J1045" s="6">
        <f>IF(OR(F1045="",COUNT(G1045:I1045)&lt;3),"",F1045+G1045-H1045-I1045)</f>
        <v/>
      </c>
      <c r="K1045" s="6">
        <f>IF(COUNTA(A1045:D1045,G1045:I1045)=0,"",IF(COUNTA(A1045:D1045,G1045:I1045)&lt;7,"LENGKAPI",IF(H1045+I1045&gt;N(F1045)+G1045,"ABNORMAL",IF(COUNTIFS($A$2:$A$2001,A1045,$B$2:$B$2001,B1045,$C$2:$C$2001,C1045,$D$2:$D$2001,D1045)&gt;1,"DUPLIKAT","OK"))))</f>
        <v/>
      </c>
    </row>
    <row r="1046">
      <c r="A1046" s="4" t="n"/>
      <c r="B1046" s="5" t="n"/>
      <c r="C1046" s="5" t="n"/>
      <c r="D1046" s="5" t="n"/>
      <c r="E1046" s="6">
        <f>IF(A1046="","","B"&amp;TEXT(COUNT($A$2:A1046),"00000"))</f>
        <v/>
      </c>
      <c r="F1046" s="6">
        <f>IF(OR(C1046="",D1046=""),"",IFERROR(LOOKUP(2,1/(($C$1:C1045=C1046)*($D$1:D1045=D1046)*ISNUMBER($J$1:J1045)),$J$1:J1045),SUMIFS(Master!$G$2:$G$13,Master!$E$2:$E$13,C1046,Master!$F$2:$F$13,D1046)))</f>
        <v/>
      </c>
      <c r="G1046" s="5" t="n"/>
      <c r="H1046" s="5" t="n"/>
      <c r="I1046" s="5" t="n"/>
      <c r="J1046" s="6">
        <f>IF(OR(F1046="",COUNT(G1046:I1046)&lt;3),"",F1046+G1046-H1046-I1046)</f>
        <v/>
      </c>
      <c r="K1046" s="6">
        <f>IF(COUNTA(A1046:D1046,G1046:I1046)=0,"",IF(COUNTA(A1046:D1046,G1046:I1046)&lt;7,"LENGKAPI",IF(H1046+I1046&gt;N(F1046)+G1046,"ABNORMAL",IF(COUNTIFS($A$2:$A$2001,A1046,$B$2:$B$2001,B1046,$C$2:$C$2001,C1046,$D$2:$D$2001,D1046)&gt;1,"DUPLIKAT","OK"))))</f>
        <v/>
      </c>
    </row>
    <row r="1047">
      <c r="A1047" s="4" t="n"/>
      <c r="B1047" s="5" t="n"/>
      <c r="C1047" s="5" t="n"/>
      <c r="D1047" s="5" t="n"/>
      <c r="E1047" s="6">
        <f>IF(A1047="","","B"&amp;TEXT(COUNT($A$2:A1047),"00000"))</f>
        <v/>
      </c>
      <c r="F1047" s="6">
        <f>IF(OR(C1047="",D1047=""),"",IFERROR(LOOKUP(2,1/(($C$1:C1046=C1047)*($D$1:D1046=D1047)*ISNUMBER($J$1:J1046)),$J$1:J1046),SUMIFS(Master!$G$2:$G$13,Master!$E$2:$E$13,C1047,Master!$F$2:$F$13,D1047)))</f>
        <v/>
      </c>
      <c r="G1047" s="5" t="n"/>
      <c r="H1047" s="5" t="n"/>
      <c r="I1047" s="5" t="n"/>
      <c r="J1047" s="6">
        <f>IF(OR(F1047="",COUNT(G1047:I1047)&lt;3),"",F1047+G1047-H1047-I1047)</f>
        <v/>
      </c>
      <c r="K1047" s="6">
        <f>IF(COUNTA(A1047:D1047,G1047:I1047)=0,"",IF(COUNTA(A1047:D1047,G1047:I1047)&lt;7,"LENGKAPI",IF(H1047+I1047&gt;N(F1047)+G1047,"ABNORMAL",IF(COUNTIFS($A$2:$A$2001,A1047,$B$2:$B$2001,B1047,$C$2:$C$2001,C1047,$D$2:$D$2001,D1047)&gt;1,"DUPLIKAT","OK"))))</f>
        <v/>
      </c>
    </row>
    <row r="1048">
      <c r="A1048" s="4" t="n"/>
      <c r="B1048" s="5" t="n"/>
      <c r="C1048" s="5" t="n"/>
      <c r="D1048" s="5" t="n"/>
      <c r="E1048" s="6">
        <f>IF(A1048="","","B"&amp;TEXT(COUNT($A$2:A1048),"00000"))</f>
        <v/>
      </c>
      <c r="F1048" s="6">
        <f>IF(OR(C1048="",D1048=""),"",IFERROR(LOOKUP(2,1/(($C$1:C1047=C1048)*($D$1:D1047=D1048)*ISNUMBER($J$1:J1047)),$J$1:J1047),SUMIFS(Master!$G$2:$G$13,Master!$E$2:$E$13,C1048,Master!$F$2:$F$13,D1048)))</f>
        <v/>
      </c>
      <c r="G1048" s="5" t="n"/>
      <c r="H1048" s="5" t="n"/>
      <c r="I1048" s="5" t="n"/>
      <c r="J1048" s="6">
        <f>IF(OR(F1048="",COUNT(G1048:I1048)&lt;3),"",F1048+G1048-H1048-I1048)</f>
        <v/>
      </c>
      <c r="K1048" s="6">
        <f>IF(COUNTA(A1048:D1048,G1048:I1048)=0,"",IF(COUNTA(A1048:D1048,G1048:I1048)&lt;7,"LENGKAPI",IF(H1048+I1048&gt;N(F1048)+G1048,"ABNORMAL",IF(COUNTIFS($A$2:$A$2001,A1048,$B$2:$B$2001,B1048,$C$2:$C$2001,C1048,$D$2:$D$2001,D1048)&gt;1,"DUPLIKAT","OK"))))</f>
        <v/>
      </c>
    </row>
    <row r="1049">
      <c r="A1049" s="4" t="n"/>
      <c r="B1049" s="5" t="n"/>
      <c r="C1049" s="5" t="n"/>
      <c r="D1049" s="5" t="n"/>
      <c r="E1049" s="6">
        <f>IF(A1049="","","B"&amp;TEXT(COUNT($A$2:A1049),"00000"))</f>
        <v/>
      </c>
      <c r="F1049" s="6">
        <f>IF(OR(C1049="",D1049=""),"",IFERROR(LOOKUP(2,1/(($C$1:C1048=C1049)*($D$1:D1048=D1049)*ISNUMBER($J$1:J1048)),$J$1:J1048),SUMIFS(Master!$G$2:$G$13,Master!$E$2:$E$13,C1049,Master!$F$2:$F$13,D1049)))</f>
        <v/>
      </c>
      <c r="G1049" s="5" t="n"/>
      <c r="H1049" s="5" t="n"/>
      <c r="I1049" s="5" t="n"/>
      <c r="J1049" s="6">
        <f>IF(OR(F1049="",COUNT(G1049:I1049)&lt;3),"",F1049+G1049-H1049-I1049)</f>
        <v/>
      </c>
      <c r="K1049" s="6">
        <f>IF(COUNTA(A1049:D1049,G1049:I1049)=0,"",IF(COUNTA(A1049:D1049,G1049:I1049)&lt;7,"LENGKAPI",IF(H1049+I1049&gt;N(F1049)+G1049,"ABNORMAL",IF(COUNTIFS($A$2:$A$2001,A1049,$B$2:$B$2001,B1049,$C$2:$C$2001,C1049,$D$2:$D$2001,D1049)&gt;1,"DUPLIKAT","OK"))))</f>
        <v/>
      </c>
    </row>
    <row r="1050">
      <c r="A1050" s="4" t="n"/>
      <c r="B1050" s="5" t="n"/>
      <c r="C1050" s="5" t="n"/>
      <c r="D1050" s="5" t="n"/>
      <c r="E1050" s="6">
        <f>IF(A1050="","","B"&amp;TEXT(COUNT($A$2:A1050),"00000"))</f>
        <v/>
      </c>
      <c r="F1050" s="6">
        <f>IF(OR(C1050="",D1050=""),"",IFERROR(LOOKUP(2,1/(($C$1:C1049=C1050)*($D$1:D1049=D1050)*ISNUMBER($J$1:J1049)),$J$1:J1049),SUMIFS(Master!$G$2:$G$13,Master!$E$2:$E$13,C1050,Master!$F$2:$F$13,D1050)))</f>
        <v/>
      </c>
      <c r="G1050" s="5" t="n"/>
      <c r="H1050" s="5" t="n"/>
      <c r="I1050" s="5" t="n"/>
      <c r="J1050" s="6">
        <f>IF(OR(F1050="",COUNT(G1050:I1050)&lt;3),"",F1050+G1050-H1050-I1050)</f>
        <v/>
      </c>
      <c r="K1050" s="6">
        <f>IF(COUNTA(A1050:D1050,G1050:I1050)=0,"",IF(COUNTA(A1050:D1050,G1050:I1050)&lt;7,"LENGKAPI",IF(H1050+I1050&gt;N(F1050)+G1050,"ABNORMAL",IF(COUNTIFS($A$2:$A$2001,A1050,$B$2:$B$2001,B1050,$C$2:$C$2001,C1050,$D$2:$D$2001,D1050)&gt;1,"DUPLIKAT","OK"))))</f>
        <v/>
      </c>
    </row>
    <row r="1051">
      <c r="A1051" s="4" t="n"/>
      <c r="B1051" s="5" t="n"/>
      <c r="C1051" s="5" t="n"/>
      <c r="D1051" s="5" t="n"/>
      <c r="E1051" s="6">
        <f>IF(A1051="","","B"&amp;TEXT(COUNT($A$2:A1051),"00000"))</f>
        <v/>
      </c>
      <c r="F1051" s="6">
        <f>IF(OR(C1051="",D1051=""),"",IFERROR(LOOKUP(2,1/(($C$1:C1050=C1051)*($D$1:D1050=D1051)*ISNUMBER($J$1:J1050)),$J$1:J1050),SUMIFS(Master!$G$2:$G$13,Master!$E$2:$E$13,C1051,Master!$F$2:$F$13,D1051)))</f>
        <v/>
      </c>
      <c r="G1051" s="5" t="n"/>
      <c r="H1051" s="5" t="n"/>
      <c r="I1051" s="5" t="n"/>
      <c r="J1051" s="6">
        <f>IF(OR(F1051="",COUNT(G1051:I1051)&lt;3),"",F1051+G1051-H1051-I1051)</f>
        <v/>
      </c>
      <c r="K1051" s="6">
        <f>IF(COUNTA(A1051:D1051,G1051:I1051)=0,"",IF(COUNTA(A1051:D1051,G1051:I1051)&lt;7,"LENGKAPI",IF(H1051+I1051&gt;N(F1051)+G1051,"ABNORMAL",IF(COUNTIFS($A$2:$A$2001,A1051,$B$2:$B$2001,B1051,$C$2:$C$2001,C1051,$D$2:$D$2001,D1051)&gt;1,"DUPLIKAT","OK"))))</f>
        <v/>
      </c>
    </row>
    <row r="1052">
      <c r="A1052" s="4" t="n"/>
      <c r="B1052" s="5" t="n"/>
      <c r="C1052" s="5" t="n"/>
      <c r="D1052" s="5" t="n"/>
      <c r="E1052" s="6">
        <f>IF(A1052="","","B"&amp;TEXT(COUNT($A$2:A1052),"00000"))</f>
        <v/>
      </c>
      <c r="F1052" s="6">
        <f>IF(OR(C1052="",D1052=""),"",IFERROR(LOOKUP(2,1/(($C$1:C1051=C1052)*($D$1:D1051=D1052)*ISNUMBER($J$1:J1051)),$J$1:J1051),SUMIFS(Master!$G$2:$G$13,Master!$E$2:$E$13,C1052,Master!$F$2:$F$13,D1052)))</f>
        <v/>
      </c>
      <c r="G1052" s="5" t="n"/>
      <c r="H1052" s="5" t="n"/>
      <c r="I1052" s="5" t="n"/>
      <c r="J1052" s="6">
        <f>IF(OR(F1052="",COUNT(G1052:I1052)&lt;3),"",F1052+G1052-H1052-I1052)</f>
        <v/>
      </c>
      <c r="K1052" s="6">
        <f>IF(COUNTA(A1052:D1052,G1052:I1052)=0,"",IF(COUNTA(A1052:D1052,G1052:I1052)&lt;7,"LENGKAPI",IF(H1052+I1052&gt;N(F1052)+G1052,"ABNORMAL",IF(COUNTIFS($A$2:$A$2001,A1052,$B$2:$B$2001,B1052,$C$2:$C$2001,C1052,$D$2:$D$2001,D1052)&gt;1,"DUPLIKAT","OK"))))</f>
        <v/>
      </c>
    </row>
    <row r="1053">
      <c r="A1053" s="4" t="n"/>
      <c r="B1053" s="5" t="n"/>
      <c r="C1053" s="5" t="n"/>
      <c r="D1053" s="5" t="n"/>
      <c r="E1053" s="6">
        <f>IF(A1053="","","B"&amp;TEXT(COUNT($A$2:A1053),"00000"))</f>
        <v/>
      </c>
      <c r="F1053" s="6">
        <f>IF(OR(C1053="",D1053=""),"",IFERROR(LOOKUP(2,1/(($C$1:C1052=C1053)*($D$1:D1052=D1053)*ISNUMBER($J$1:J1052)),$J$1:J1052),SUMIFS(Master!$G$2:$G$13,Master!$E$2:$E$13,C1053,Master!$F$2:$F$13,D1053)))</f>
        <v/>
      </c>
      <c r="G1053" s="5" t="n"/>
      <c r="H1053" s="5" t="n"/>
      <c r="I1053" s="5" t="n"/>
      <c r="J1053" s="6">
        <f>IF(OR(F1053="",COUNT(G1053:I1053)&lt;3),"",F1053+G1053-H1053-I1053)</f>
        <v/>
      </c>
      <c r="K1053" s="6">
        <f>IF(COUNTA(A1053:D1053,G1053:I1053)=0,"",IF(COUNTA(A1053:D1053,G1053:I1053)&lt;7,"LENGKAPI",IF(H1053+I1053&gt;N(F1053)+G1053,"ABNORMAL",IF(COUNTIFS($A$2:$A$2001,A1053,$B$2:$B$2001,B1053,$C$2:$C$2001,C1053,$D$2:$D$2001,D1053)&gt;1,"DUPLIKAT","OK"))))</f>
        <v/>
      </c>
    </row>
    <row r="1054">
      <c r="A1054" s="4" t="n"/>
      <c r="B1054" s="5" t="n"/>
      <c r="C1054" s="5" t="n"/>
      <c r="D1054" s="5" t="n"/>
      <c r="E1054" s="6">
        <f>IF(A1054="","","B"&amp;TEXT(COUNT($A$2:A1054),"00000"))</f>
        <v/>
      </c>
      <c r="F1054" s="6">
        <f>IF(OR(C1054="",D1054=""),"",IFERROR(LOOKUP(2,1/(($C$1:C1053=C1054)*($D$1:D1053=D1054)*ISNUMBER($J$1:J1053)),$J$1:J1053),SUMIFS(Master!$G$2:$G$13,Master!$E$2:$E$13,C1054,Master!$F$2:$F$13,D1054)))</f>
        <v/>
      </c>
      <c r="G1054" s="5" t="n"/>
      <c r="H1054" s="5" t="n"/>
      <c r="I1054" s="5" t="n"/>
      <c r="J1054" s="6">
        <f>IF(OR(F1054="",COUNT(G1054:I1054)&lt;3),"",F1054+G1054-H1054-I1054)</f>
        <v/>
      </c>
      <c r="K1054" s="6">
        <f>IF(COUNTA(A1054:D1054,G1054:I1054)=0,"",IF(COUNTA(A1054:D1054,G1054:I1054)&lt;7,"LENGKAPI",IF(H1054+I1054&gt;N(F1054)+G1054,"ABNORMAL",IF(COUNTIFS($A$2:$A$2001,A1054,$B$2:$B$2001,B1054,$C$2:$C$2001,C1054,$D$2:$D$2001,D1054)&gt;1,"DUPLIKAT","OK"))))</f>
        <v/>
      </c>
    </row>
    <row r="1055">
      <c r="A1055" s="4" t="n"/>
      <c r="B1055" s="5" t="n"/>
      <c r="C1055" s="5" t="n"/>
      <c r="D1055" s="5" t="n"/>
      <c r="E1055" s="6">
        <f>IF(A1055="","","B"&amp;TEXT(COUNT($A$2:A1055),"00000"))</f>
        <v/>
      </c>
      <c r="F1055" s="6">
        <f>IF(OR(C1055="",D1055=""),"",IFERROR(LOOKUP(2,1/(($C$1:C1054=C1055)*($D$1:D1054=D1055)*ISNUMBER($J$1:J1054)),$J$1:J1054),SUMIFS(Master!$G$2:$G$13,Master!$E$2:$E$13,C1055,Master!$F$2:$F$13,D1055)))</f>
        <v/>
      </c>
      <c r="G1055" s="5" t="n"/>
      <c r="H1055" s="5" t="n"/>
      <c r="I1055" s="5" t="n"/>
      <c r="J1055" s="6">
        <f>IF(OR(F1055="",COUNT(G1055:I1055)&lt;3),"",F1055+G1055-H1055-I1055)</f>
        <v/>
      </c>
      <c r="K1055" s="6">
        <f>IF(COUNTA(A1055:D1055,G1055:I1055)=0,"",IF(COUNTA(A1055:D1055,G1055:I1055)&lt;7,"LENGKAPI",IF(H1055+I1055&gt;N(F1055)+G1055,"ABNORMAL",IF(COUNTIFS($A$2:$A$2001,A1055,$B$2:$B$2001,B1055,$C$2:$C$2001,C1055,$D$2:$D$2001,D1055)&gt;1,"DUPLIKAT","OK"))))</f>
        <v/>
      </c>
    </row>
    <row r="1056">
      <c r="A1056" s="4" t="n"/>
      <c r="B1056" s="5" t="n"/>
      <c r="C1056" s="5" t="n"/>
      <c r="D1056" s="5" t="n"/>
      <c r="E1056" s="6">
        <f>IF(A1056="","","B"&amp;TEXT(COUNT($A$2:A1056),"00000"))</f>
        <v/>
      </c>
      <c r="F1056" s="6">
        <f>IF(OR(C1056="",D1056=""),"",IFERROR(LOOKUP(2,1/(($C$1:C1055=C1056)*($D$1:D1055=D1056)*ISNUMBER($J$1:J1055)),$J$1:J1055),SUMIFS(Master!$G$2:$G$13,Master!$E$2:$E$13,C1056,Master!$F$2:$F$13,D1056)))</f>
        <v/>
      </c>
      <c r="G1056" s="5" t="n"/>
      <c r="H1056" s="5" t="n"/>
      <c r="I1056" s="5" t="n"/>
      <c r="J1056" s="6">
        <f>IF(OR(F1056="",COUNT(G1056:I1056)&lt;3),"",F1056+G1056-H1056-I1056)</f>
        <v/>
      </c>
      <c r="K1056" s="6">
        <f>IF(COUNTA(A1056:D1056,G1056:I1056)=0,"",IF(COUNTA(A1056:D1056,G1056:I1056)&lt;7,"LENGKAPI",IF(H1056+I1056&gt;N(F1056)+G1056,"ABNORMAL",IF(COUNTIFS($A$2:$A$2001,A1056,$B$2:$B$2001,B1056,$C$2:$C$2001,C1056,$D$2:$D$2001,D1056)&gt;1,"DUPLIKAT","OK"))))</f>
        <v/>
      </c>
    </row>
    <row r="1057">
      <c r="A1057" s="4" t="n"/>
      <c r="B1057" s="5" t="n"/>
      <c r="C1057" s="5" t="n"/>
      <c r="D1057" s="5" t="n"/>
      <c r="E1057" s="6">
        <f>IF(A1057="","","B"&amp;TEXT(COUNT($A$2:A1057),"00000"))</f>
        <v/>
      </c>
      <c r="F1057" s="6">
        <f>IF(OR(C1057="",D1057=""),"",IFERROR(LOOKUP(2,1/(($C$1:C1056=C1057)*($D$1:D1056=D1057)*ISNUMBER($J$1:J1056)),$J$1:J1056),SUMIFS(Master!$G$2:$G$13,Master!$E$2:$E$13,C1057,Master!$F$2:$F$13,D1057)))</f>
        <v/>
      </c>
      <c r="G1057" s="5" t="n"/>
      <c r="H1057" s="5" t="n"/>
      <c r="I1057" s="5" t="n"/>
      <c r="J1057" s="6">
        <f>IF(OR(F1057="",COUNT(G1057:I1057)&lt;3),"",F1057+G1057-H1057-I1057)</f>
        <v/>
      </c>
      <c r="K1057" s="6">
        <f>IF(COUNTA(A1057:D1057,G1057:I1057)=0,"",IF(COUNTA(A1057:D1057,G1057:I1057)&lt;7,"LENGKAPI",IF(H1057+I1057&gt;N(F1057)+G1057,"ABNORMAL",IF(COUNTIFS($A$2:$A$2001,A1057,$B$2:$B$2001,B1057,$C$2:$C$2001,C1057,$D$2:$D$2001,D1057)&gt;1,"DUPLIKAT","OK"))))</f>
        <v/>
      </c>
    </row>
    <row r="1058">
      <c r="A1058" s="4" t="n"/>
      <c r="B1058" s="5" t="n"/>
      <c r="C1058" s="5" t="n"/>
      <c r="D1058" s="5" t="n"/>
      <c r="E1058" s="6">
        <f>IF(A1058="","","B"&amp;TEXT(COUNT($A$2:A1058),"00000"))</f>
        <v/>
      </c>
      <c r="F1058" s="6">
        <f>IF(OR(C1058="",D1058=""),"",IFERROR(LOOKUP(2,1/(($C$1:C1057=C1058)*($D$1:D1057=D1058)*ISNUMBER($J$1:J1057)),$J$1:J1057),SUMIFS(Master!$G$2:$G$13,Master!$E$2:$E$13,C1058,Master!$F$2:$F$13,D1058)))</f>
        <v/>
      </c>
      <c r="G1058" s="5" t="n"/>
      <c r="H1058" s="5" t="n"/>
      <c r="I1058" s="5" t="n"/>
      <c r="J1058" s="6">
        <f>IF(OR(F1058="",COUNT(G1058:I1058)&lt;3),"",F1058+G1058-H1058-I1058)</f>
        <v/>
      </c>
      <c r="K1058" s="6">
        <f>IF(COUNTA(A1058:D1058,G1058:I1058)=0,"",IF(COUNTA(A1058:D1058,G1058:I1058)&lt;7,"LENGKAPI",IF(H1058+I1058&gt;N(F1058)+G1058,"ABNORMAL",IF(COUNTIFS($A$2:$A$2001,A1058,$B$2:$B$2001,B1058,$C$2:$C$2001,C1058,$D$2:$D$2001,D1058)&gt;1,"DUPLIKAT","OK"))))</f>
        <v/>
      </c>
    </row>
    <row r="1059">
      <c r="A1059" s="4" t="n"/>
      <c r="B1059" s="5" t="n"/>
      <c r="C1059" s="5" t="n"/>
      <c r="D1059" s="5" t="n"/>
      <c r="E1059" s="6">
        <f>IF(A1059="","","B"&amp;TEXT(COUNT($A$2:A1059),"00000"))</f>
        <v/>
      </c>
      <c r="F1059" s="6">
        <f>IF(OR(C1059="",D1059=""),"",IFERROR(LOOKUP(2,1/(($C$1:C1058=C1059)*($D$1:D1058=D1059)*ISNUMBER($J$1:J1058)),$J$1:J1058),SUMIFS(Master!$G$2:$G$13,Master!$E$2:$E$13,C1059,Master!$F$2:$F$13,D1059)))</f>
        <v/>
      </c>
      <c r="G1059" s="5" t="n"/>
      <c r="H1059" s="5" t="n"/>
      <c r="I1059" s="5" t="n"/>
      <c r="J1059" s="6">
        <f>IF(OR(F1059="",COUNT(G1059:I1059)&lt;3),"",F1059+G1059-H1059-I1059)</f>
        <v/>
      </c>
      <c r="K1059" s="6">
        <f>IF(COUNTA(A1059:D1059,G1059:I1059)=0,"",IF(COUNTA(A1059:D1059,G1059:I1059)&lt;7,"LENGKAPI",IF(H1059+I1059&gt;N(F1059)+G1059,"ABNORMAL",IF(COUNTIFS($A$2:$A$2001,A1059,$B$2:$B$2001,B1059,$C$2:$C$2001,C1059,$D$2:$D$2001,D1059)&gt;1,"DUPLIKAT","OK"))))</f>
        <v/>
      </c>
    </row>
    <row r="1060">
      <c r="A1060" s="4" t="n"/>
      <c r="B1060" s="5" t="n"/>
      <c r="C1060" s="5" t="n"/>
      <c r="D1060" s="5" t="n"/>
      <c r="E1060" s="6">
        <f>IF(A1060="","","B"&amp;TEXT(COUNT($A$2:A1060),"00000"))</f>
        <v/>
      </c>
      <c r="F1060" s="6">
        <f>IF(OR(C1060="",D1060=""),"",IFERROR(LOOKUP(2,1/(($C$1:C1059=C1060)*($D$1:D1059=D1060)*ISNUMBER($J$1:J1059)),$J$1:J1059),SUMIFS(Master!$G$2:$G$13,Master!$E$2:$E$13,C1060,Master!$F$2:$F$13,D1060)))</f>
        <v/>
      </c>
      <c r="G1060" s="5" t="n"/>
      <c r="H1060" s="5" t="n"/>
      <c r="I1060" s="5" t="n"/>
      <c r="J1060" s="6">
        <f>IF(OR(F1060="",COUNT(G1060:I1060)&lt;3),"",F1060+G1060-H1060-I1060)</f>
        <v/>
      </c>
      <c r="K1060" s="6">
        <f>IF(COUNTA(A1060:D1060,G1060:I1060)=0,"",IF(COUNTA(A1060:D1060,G1060:I1060)&lt;7,"LENGKAPI",IF(H1060+I1060&gt;N(F1060)+G1060,"ABNORMAL",IF(COUNTIFS($A$2:$A$2001,A1060,$B$2:$B$2001,B1060,$C$2:$C$2001,C1060,$D$2:$D$2001,D1060)&gt;1,"DUPLIKAT","OK"))))</f>
        <v/>
      </c>
    </row>
    <row r="1061">
      <c r="A1061" s="4" t="n"/>
      <c r="B1061" s="5" t="n"/>
      <c r="C1061" s="5" t="n"/>
      <c r="D1061" s="5" t="n"/>
      <c r="E1061" s="6">
        <f>IF(A1061="","","B"&amp;TEXT(COUNT($A$2:A1061),"00000"))</f>
        <v/>
      </c>
      <c r="F1061" s="6">
        <f>IF(OR(C1061="",D1061=""),"",IFERROR(LOOKUP(2,1/(($C$1:C1060=C1061)*($D$1:D1060=D1061)*ISNUMBER($J$1:J1060)),$J$1:J1060),SUMIFS(Master!$G$2:$G$13,Master!$E$2:$E$13,C1061,Master!$F$2:$F$13,D1061)))</f>
        <v/>
      </c>
      <c r="G1061" s="5" t="n"/>
      <c r="H1061" s="5" t="n"/>
      <c r="I1061" s="5" t="n"/>
      <c r="J1061" s="6">
        <f>IF(OR(F1061="",COUNT(G1061:I1061)&lt;3),"",F1061+G1061-H1061-I1061)</f>
        <v/>
      </c>
      <c r="K1061" s="6">
        <f>IF(COUNTA(A1061:D1061,G1061:I1061)=0,"",IF(COUNTA(A1061:D1061,G1061:I1061)&lt;7,"LENGKAPI",IF(H1061+I1061&gt;N(F1061)+G1061,"ABNORMAL",IF(COUNTIFS($A$2:$A$2001,A1061,$B$2:$B$2001,B1061,$C$2:$C$2001,C1061,$D$2:$D$2001,D1061)&gt;1,"DUPLIKAT","OK"))))</f>
        <v/>
      </c>
    </row>
    <row r="1062">
      <c r="A1062" s="4" t="n"/>
      <c r="B1062" s="5" t="n"/>
      <c r="C1062" s="5" t="n"/>
      <c r="D1062" s="5" t="n"/>
      <c r="E1062" s="6">
        <f>IF(A1062="","","B"&amp;TEXT(COUNT($A$2:A1062),"00000"))</f>
        <v/>
      </c>
      <c r="F1062" s="6">
        <f>IF(OR(C1062="",D1062=""),"",IFERROR(LOOKUP(2,1/(($C$1:C1061=C1062)*($D$1:D1061=D1062)*ISNUMBER($J$1:J1061)),$J$1:J1061),SUMIFS(Master!$G$2:$G$13,Master!$E$2:$E$13,C1062,Master!$F$2:$F$13,D1062)))</f>
        <v/>
      </c>
      <c r="G1062" s="5" t="n"/>
      <c r="H1062" s="5" t="n"/>
      <c r="I1062" s="5" t="n"/>
      <c r="J1062" s="6">
        <f>IF(OR(F1062="",COUNT(G1062:I1062)&lt;3),"",F1062+G1062-H1062-I1062)</f>
        <v/>
      </c>
      <c r="K1062" s="6">
        <f>IF(COUNTA(A1062:D1062,G1062:I1062)=0,"",IF(COUNTA(A1062:D1062,G1062:I1062)&lt;7,"LENGKAPI",IF(H1062+I1062&gt;N(F1062)+G1062,"ABNORMAL",IF(COUNTIFS($A$2:$A$2001,A1062,$B$2:$B$2001,B1062,$C$2:$C$2001,C1062,$D$2:$D$2001,D1062)&gt;1,"DUPLIKAT","OK"))))</f>
        <v/>
      </c>
    </row>
    <row r="1063">
      <c r="A1063" s="4" t="n"/>
      <c r="B1063" s="5" t="n"/>
      <c r="C1063" s="5" t="n"/>
      <c r="D1063" s="5" t="n"/>
      <c r="E1063" s="6">
        <f>IF(A1063="","","B"&amp;TEXT(COUNT($A$2:A1063),"00000"))</f>
        <v/>
      </c>
      <c r="F1063" s="6">
        <f>IF(OR(C1063="",D1063=""),"",IFERROR(LOOKUP(2,1/(($C$1:C1062=C1063)*($D$1:D1062=D1063)*ISNUMBER($J$1:J1062)),$J$1:J1062),SUMIFS(Master!$G$2:$G$13,Master!$E$2:$E$13,C1063,Master!$F$2:$F$13,D1063)))</f>
        <v/>
      </c>
      <c r="G1063" s="5" t="n"/>
      <c r="H1063" s="5" t="n"/>
      <c r="I1063" s="5" t="n"/>
      <c r="J1063" s="6">
        <f>IF(OR(F1063="",COUNT(G1063:I1063)&lt;3),"",F1063+G1063-H1063-I1063)</f>
        <v/>
      </c>
      <c r="K1063" s="6">
        <f>IF(COUNTA(A1063:D1063,G1063:I1063)=0,"",IF(COUNTA(A1063:D1063,G1063:I1063)&lt;7,"LENGKAPI",IF(H1063+I1063&gt;N(F1063)+G1063,"ABNORMAL",IF(COUNTIFS($A$2:$A$2001,A1063,$B$2:$B$2001,B1063,$C$2:$C$2001,C1063,$D$2:$D$2001,D1063)&gt;1,"DUPLIKAT","OK"))))</f>
        <v/>
      </c>
    </row>
    <row r="1064">
      <c r="A1064" s="4" t="n"/>
      <c r="B1064" s="5" t="n"/>
      <c r="C1064" s="5" t="n"/>
      <c r="D1064" s="5" t="n"/>
      <c r="E1064" s="6">
        <f>IF(A1064="","","B"&amp;TEXT(COUNT($A$2:A1064),"00000"))</f>
        <v/>
      </c>
      <c r="F1064" s="6">
        <f>IF(OR(C1064="",D1064=""),"",IFERROR(LOOKUP(2,1/(($C$1:C1063=C1064)*($D$1:D1063=D1064)*ISNUMBER($J$1:J1063)),$J$1:J1063),SUMIFS(Master!$G$2:$G$13,Master!$E$2:$E$13,C1064,Master!$F$2:$F$13,D1064)))</f>
        <v/>
      </c>
      <c r="G1064" s="5" t="n"/>
      <c r="H1064" s="5" t="n"/>
      <c r="I1064" s="5" t="n"/>
      <c r="J1064" s="6">
        <f>IF(OR(F1064="",COUNT(G1064:I1064)&lt;3),"",F1064+G1064-H1064-I1064)</f>
        <v/>
      </c>
      <c r="K1064" s="6">
        <f>IF(COUNTA(A1064:D1064,G1064:I1064)=0,"",IF(COUNTA(A1064:D1064,G1064:I1064)&lt;7,"LENGKAPI",IF(H1064+I1064&gt;N(F1064)+G1064,"ABNORMAL",IF(COUNTIFS($A$2:$A$2001,A1064,$B$2:$B$2001,B1064,$C$2:$C$2001,C1064,$D$2:$D$2001,D1064)&gt;1,"DUPLIKAT","OK"))))</f>
        <v/>
      </c>
    </row>
    <row r="1065">
      <c r="A1065" s="4" t="n"/>
      <c r="B1065" s="5" t="n"/>
      <c r="C1065" s="5" t="n"/>
      <c r="D1065" s="5" t="n"/>
      <c r="E1065" s="6">
        <f>IF(A1065="","","B"&amp;TEXT(COUNT($A$2:A1065),"00000"))</f>
        <v/>
      </c>
      <c r="F1065" s="6">
        <f>IF(OR(C1065="",D1065=""),"",IFERROR(LOOKUP(2,1/(($C$1:C1064=C1065)*($D$1:D1064=D1065)*ISNUMBER($J$1:J1064)),$J$1:J1064),SUMIFS(Master!$G$2:$G$13,Master!$E$2:$E$13,C1065,Master!$F$2:$F$13,D1065)))</f>
        <v/>
      </c>
      <c r="G1065" s="5" t="n"/>
      <c r="H1065" s="5" t="n"/>
      <c r="I1065" s="5" t="n"/>
      <c r="J1065" s="6">
        <f>IF(OR(F1065="",COUNT(G1065:I1065)&lt;3),"",F1065+G1065-H1065-I1065)</f>
        <v/>
      </c>
      <c r="K1065" s="6">
        <f>IF(COUNTA(A1065:D1065,G1065:I1065)=0,"",IF(COUNTA(A1065:D1065,G1065:I1065)&lt;7,"LENGKAPI",IF(H1065+I1065&gt;N(F1065)+G1065,"ABNORMAL",IF(COUNTIFS($A$2:$A$2001,A1065,$B$2:$B$2001,B1065,$C$2:$C$2001,C1065,$D$2:$D$2001,D1065)&gt;1,"DUPLIKAT","OK"))))</f>
        <v/>
      </c>
    </row>
    <row r="1066">
      <c r="A1066" s="4" t="n"/>
      <c r="B1066" s="5" t="n"/>
      <c r="C1066" s="5" t="n"/>
      <c r="D1066" s="5" t="n"/>
      <c r="E1066" s="6">
        <f>IF(A1066="","","B"&amp;TEXT(COUNT($A$2:A1066),"00000"))</f>
        <v/>
      </c>
      <c r="F1066" s="6">
        <f>IF(OR(C1066="",D1066=""),"",IFERROR(LOOKUP(2,1/(($C$1:C1065=C1066)*($D$1:D1065=D1066)*ISNUMBER($J$1:J1065)),$J$1:J1065),SUMIFS(Master!$G$2:$G$13,Master!$E$2:$E$13,C1066,Master!$F$2:$F$13,D1066)))</f>
        <v/>
      </c>
      <c r="G1066" s="5" t="n"/>
      <c r="H1066" s="5" t="n"/>
      <c r="I1066" s="5" t="n"/>
      <c r="J1066" s="6">
        <f>IF(OR(F1066="",COUNT(G1066:I1066)&lt;3),"",F1066+G1066-H1066-I1066)</f>
        <v/>
      </c>
      <c r="K1066" s="6">
        <f>IF(COUNTA(A1066:D1066,G1066:I1066)=0,"",IF(COUNTA(A1066:D1066,G1066:I1066)&lt;7,"LENGKAPI",IF(H1066+I1066&gt;N(F1066)+G1066,"ABNORMAL",IF(COUNTIFS($A$2:$A$2001,A1066,$B$2:$B$2001,B1066,$C$2:$C$2001,C1066,$D$2:$D$2001,D1066)&gt;1,"DUPLIKAT","OK"))))</f>
        <v/>
      </c>
    </row>
    <row r="1067">
      <c r="A1067" s="4" t="n"/>
      <c r="B1067" s="5" t="n"/>
      <c r="C1067" s="5" t="n"/>
      <c r="D1067" s="5" t="n"/>
      <c r="E1067" s="6">
        <f>IF(A1067="","","B"&amp;TEXT(COUNT($A$2:A1067),"00000"))</f>
        <v/>
      </c>
      <c r="F1067" s="6">
        <f>IF(OR(C1067="",D1067=""),"",IFERROR(LOOKUP(2,1/(($C$1:C1066=C1067)*($D$1:D1066=D1067)*ISNUMBER($J$1:J1066)),$J$1:J1066),SUMIFS(Master!$G$2:$G$13,Master!$E$2:$E$13,C1067,Master!$F$2:$F$13,D1067)))</f>
        <v/>
      </c>
      <c r="G1067" s="5" t="n"/>
      <c r="H1067" s="5" t="n"/>
      <c r="I1067" s="5" t="n"/>
      <c r="J1067" s="6">
        <f>IF(OR(F1067="",COUNT(G1067:I1067)&lt;3),"",F1067+G1067-H1067-I1067)</f>
        <v/>
      </c>
      <c r="K1067" s="6">
        <f>IF(COUNTA(A1067:D1067,G1067:I1067)=0,"",IF(COUNTA(A1067:D1067,G1067:I1067)&lt;7,"LENGKAPI",IF(H1067+I1067&gt;N(F1067)+G1067,"ABNORMAL",IF(COUNTIFS($A$2:$A$2001,A1067,$B$2:$B$2001,B1067,$C$2:$C$2001,C1067,$D$2:$D$2001,D1067)&gt;1,"DUPLIKAT","OK"))))</f>
        <v/>
      </c>
    </row>
    <row r="1068">
      <c r="A1068" s="4" t="n"/>
      <c r="B1068" s="5" t="n"/>
      <c r="C1068" s="5" t="n"/>
      <c r="D1068" s="5" t="n"/>
      <c r="E1068" s="6">
        <f>IF(A1068="","","B"&amp;TEXT(COUNT($A$2:A1068),"00000"))</f>
        <v/>
      </c>
      <c r="F1068" s="6">
        <f>IF(OR(C1068="",D1068=""),"",IFERROR(LOOKUP(2,1/(($C$1:C1067=C1068)*($D$1:D1067=D1068)*ISNUMBER($J$1:J1067)),$J$1:J1067),SUMIFS(Master!$G$2:$G$13,Master!$E$2:$E$13,C1068,Master!$F$2:$F$13,D1068)))</f>
        <v/>
      </c>
      <c r="G1068" s="5" t="n"/>
      <c r="H1068" s="5" t="n"/>
      <c r="I1068" s="5" t="n"/>
      <c r="J1068" s="6">
        <f>IF(OR(F1068="",COUNT(G1068:I1068)&lt;3),"",F1068+G1068-H1068-I1068)</f>
        <v/>
      </c>
      <c r="K1068" s="6">
        <f>IF(COUNTA(A1068:D1068,G1068:I1068)=0,"",IF(COUNTA(A1068:D1068,G1068:I1068)&lt;7,"LENGKAPI",IF(H1068+I1068&gt;N(F1068)+G1068,"ABNORMAL",IF(COUNTIFS($A$2:$A$2001,A1068,$B$2:$B$2001,B1068,$C$2:$C$2001,C1068,$D$2:$D$2001,D1068)&gt;1,"DUPLIKAT","OK"))))</f>
        <v/>
      </c>
    </row>
    <row r="1069">
      <c r="A1069" s="4" t="n"/>
      <c r="B1069" s="5" t="n"/>
      <c r="C1069" s="5" t="n"/>
      <c r="D1069" s="5" t="n"/>
      <c r="E1069" s="6">
        <f>IF(A1069="","","B"&amp;TEXT(COUNT($A$2:A1069),"00000"))</f>
        <v/>
      </c>
      <c r="F1069" s="6">
        <f>IF(OR(C1069="",D1069=""),"",IFERROR(LOOKUP(2,1/(($C$1:C1068=C1069)*($D$1:D1068=D1069)*ISNUMBER($J$1:J1068)),$J$1:J1068),SUMIFS(Master!$G$2:$G$13,Master!$E$2:$E$13,C1069,Master!$F$2:$F$13,D1069)))</f>
        <v/>
      </c>
      <c r="G1069" s="5" t="n"/>
      <c r="H1069" s="5" t="n"/>
      <c r="I1069" s="5" t="n"/>
      <c r="J1069" s="6">
        <f>IF(OR(F1069="",COUNT(G1069:I1069)&lt;3),"",F1069+G1069-H1069-I1069)</f>
        <v/>
      </c>
      <c r="K1069" s="6">
        <f>IF(COUNTA(A1069:D1069,G1069:I1069)=0,"",IF(COUNTA(A1069:D1069,G1069:I1069)&lt;7,"LENGKAPI",IF(H1069+I1069&gt;N(F1069)+G1069,"ABNORMAL",IF(COUNTIFS($A$2:$A$2001,A1069,$B$2:$B$2001,B1069,$C$2:$C$2001,C1069,$D$2:$D$2001,D1069)&gt;1,"DUPLIKAT","OK"))))</f>
        <v/>
      </c>
    </row>
    <row r="1070">
      <c r="A1070" s="4" t="n"/>
      <c r="B1070" s="5" t="n"/>
      <c r="C1070" s="5" t="n"/>
      <c r="D1070" s="5" t="n"/>
      <c r="E1070" s="6">
        <f>IF(A1070="","","B"&amp;TEXT(COUNT($A$2:A1070),"00000"))</f>
        <v/>
      </c>
      <c r="F1070" s="6">
        <f>IF(OR(C1070="",D1070=""),"",IFERROR(LOOKUP(2,1/(($C$1:C1069=C1070)*($D$1:D1069=D1070)*ISNUMBER($J$1:J1069)),$J$1:J1069),SUMIFS(Master!$G$2:$G$13,Master!$E$2:$E$13,C1070,Master!$F$2:$F$13,D1070)))</f>
        <v/>
      </c>
      <c r="G1070" s="5" t="n"/>
      <c r="H1070" s="5" t="n"/>
      <c r="I1070" s="5" t="n"/>
      <c r="J1070" s="6">
        <f>IF(OR(F1070="",COUNT(G1070:I1070)&lt;3),"",F1070+G1070-H1070-I1070)</f>
        <v/>
      </c>
      <c r="K1070" s="6">
        <f>IF(COUNTA(A1070:D1070,G1070:I1070)=0,"",IF(COUNTA(A1070:D1070,G1070:I1070)&lt;7,"LENGKAPI",IF(H1070+I1070&gt;N(F1070)+G1070,"ABNORMAL",IF(COUNTIFS($A$2:$A$2001,A1070,$B$2:$B$2001,B1070,$C$2:$C$2001,C1070,$D$2:$D$2001,D1070)&gt;1,"DUPLIKAT","OK"))))</f>
        <v/>
      </c>
    </row>
    <row r="1071">
      <c r="A1071" s="4" t="n"/>
      <c r="B1071" s="5" t="n"/>
      <c r="C1071" s="5" t="n"/>
      <c r="D1071" s="5" t="n"/>
      <c r="E1071" s="6">
        <f>IF(A1071="","","B"&amp;TEXT(COUNT($A$2:A1071),"00000"))</f>
        <v/>
      </c>
      <c r="F1071" s="6">
        <f>IF(OR(C1071="",D1071=""),"",IFERROR(LOOKUP(2,1/(($C$1:C1070=C1071)*($D$1:D1070=D1071)*ISNUMBER($J$1:J1070)),$J$1:J1070),SUMIFS(Master!$G$2:$G$13,Master!$E$2:$E$13,C1071,Master!$F$2:$F$13,D1071)))</f>
        <v/>
      </c>
      <c r="G1071" s="5" t="n"/>
      <c r="H1071" s="5" t="n"/>
      <c r="I1071" s="5" t="n"/>
      <c r="J1071" s="6">
        <f>IF(OR(F1071="",COUNT(G1071:I1071)&lt;3),"",F1071+G1071-H1071-I1071)</f>
        <v/>
      </c>
      <c r="K1071" s="6">
        <f>IF(COUNTA(A1071:D1071,G1071:I1071)=0,"",IF(COUNTA(A1071:D1071,G1071:I1071)&lt;7,"LENGKAPI",IF(H1071+I1071&gt;N(F1071)+G1071,"ABNORMAL",IF(COUNTIFS($A$2:$A$2001,A1071,$B$2:$B$2001,B1071,$C$2:$C$2001,C1071,$D$2:$D$2001,D1071)&gt;1,"DUPLIKAT","OK"))))</f>
        <v/>
      </c>
    </row>
    <row r="1072">
      <c r="A1072" s="4" t="n"/>
      <c r="B1072" s="5" t="n"/>
      <c r="C1072" s="5" t="n"/>
      <c r="D1072" s="5" t="n"/>
      <c r="E1072" s="6">
        <f>IF(A1072="","","B"&amp;TEXT(COUNT($A$2:A1072),"00000"))</f>
        <v/>
      </c>
      <c r="F1072" s="6">
        <f>IF(OR(C1072="",D1072=""),"",IFERROR(LOOKUP(2,1/(($C$1:C1071=C1072)*($D$1:D1071=D1072)*ISNUMBER($J$1:J1071)),$J$1:J1071),SUMIFS(Master!$G$2:$G$13,Master!$E$2:$E$13,C1072,Master!$F$2:$F$13,D1072)))</f>
        <v/>
      </c>
      <c r="G1072" s="5" t="n"/>
      <c r="H1072" s="5" t="n"/>
      <c r="I1072" s="5" t="n"/>
      <c r="J1072" s="6">
        <f>IF(OR(F1072="",COUNT(G1072:I1072)&lt;3),"",F1072+G1072-H1072-I1072)</f>
        <v/>
      </c>
      <c r="K1072" s="6">
        <f>IF(COUNTA(A1072:D1072,G1072:I1072)=0,"",IF(COUNTA(A1072:D1072,G1072:I1072)&lt;7,"LENGKAPI",IF(H1072+I1072&gt;N(F1072)+G1072,"ABNORMAL",IF(COUNTIFS($A$2:$A$2001,A1072,$B$2:$B$2001,B1072,$C$2:$C$2001,C1072,$D$2:$D$2001,D1072)&gt;1,"DUPLIKAT","OK"))))</f>
        <v/>
      </c>
    </row>
    <row r="1073">
      <c r="A1073" s="4" t="n"/>
      <c r="B1073" s="5" t="n"/>
      <c r="C1073" s="5" t="n"/>
      <c r="D1073" s="5" t="n"/>
      <c r="E1073" s="6">
        <f>IF(A1073="","","B"&amp;TEXT(COUNT($A$2:A1073),"00000"))</f>
        <v/>
      </c>
      <c r="F1073" s="6">
        <f>IF(OR(C1073="",D1073=""),"",IFERROR(LOOKUP(2,1/(($C$1:C1072=C1073)*($D$1:D1072=D1073)*ISNUMBER($J$1:J1072)),$J$1:J1072),SUMIFS(Master!$G$2:$G$13,Master!$E$2:$E$13,C1073,Master!$F$2:$F$13,D1073)))</f>
        <v/>
      </c>
      <c r="G1073" s="5" t="n"/>
      <c r="H1073" s="5" t="n"/>
      <c r="I1073" s="5" t="n"/>
      <c r="J1073" s="6">
        <f>IF(OR(F1073="",COUNT(G1073:I1073)&lt;3),"",F1073+G1073-H1073-I1073)</f>
        <v/>
      </c>
      <c r="K1073" s="6">
        <f>IF(COUNTA(A1073:D1073,G1073:I1073)=0,"",IF(COUNTA(A1073:D1073,G1073:I1073)&lt;7,"LENGKAPI",IF(H1073+I1073&gt;N(F1073)+G1073,"ABNORMAL",IF(COUNTIFS($A$2:$A$2001,A1073,$B$2:$B$2001,B1073,$C$2:$C$2001,C1073,$D$2:$D$2001,D1073)&gt;1,"DUPLIKAT","OK"))))</f>
        <v/>
      </c>
    </row>
    <row r="1074">
      <c r="A1074" s="4" t="n"/>
      <c r="B1074" s="5" t="n"/>
      <c r="C1074" s="5" t="n"/>
      <c r="D1074" s="5" t="n"/>
      <c r="E1074" s="6">
        <f>IF(A1074="","","B"&amp;TEXT(COUNT($A$2:A1074),"00000"))</f>
        <v/>
      </c>
      <c r="F1074" s="6">
        <f>IF(OR(C1074="",D1074=""),"",IFERROR(LOOKUP(2,1/(($C$1:C1073=C1074)*($D$1:D1073=D1074)*ISNUMBER($J$1:J1073)),$J$1:J1073),SUMIFS(Master!$G$2:$G$13,Master!$E$2:$E$13,C1074,Master!$F$2:$F$13,D1074)))</f>
        <v/>
      </c>
      <c r="G1074" s="5" t="n"/>
      <c r="H1074" s="5" t="n"/>
      <c r="I1074" s="5" t="n"/>
      <c r="J1074" s="6">
        <f>IF(OR(F1074="",COUNT(G1074:I1074)&lt;3),"",F1074+G1074-H1074-I1074)</f>
        <v/>
      </c>
      <c r="K1074" s="6">
        <f>IF(COUNTA(A1074:D1074,G1074:I1074)=0,"",IF(COUNTA(A1074:D1074,G1074:I1074)&lt;7,"LENGKAPI",IF(H1074+I1074&gt;N(F1074)+G1074,"ABNORMAL",IF(COUNTIFS($A$2:$A$2001,A1074,$B$2:$B$2001,B1074,$C$2:$C$2001,C1074,$D$2:$D$2001,D1074)&gt;1,"DUPLIKAT","OK"))))</f>
        <v/>
      </c>
    </row>
    <row r="1075">
      <c r="A1075" s="4" t="n"/>
      <c r="B1075" s="5" t="n"/>
      <c r="C1075" s="5" t="n"/>
      <c r="D1075" s="5" t="n"/>
      <c r="E1075" s="6">
        <f>IF(A1075="","","B"&amp;TEXT(COUNT($A$2:A1075),"00000"))</f>
        <v/>
      </c>
      <c r="F1075" s="6">
        <f>IF(OR(C1075="",D1075=""),"",IFERROR(LOOKUP(2,1/(($C$1:C1074=C1075)*($D$1:D1074=D1075)*ISNUMBER($J$1:J1074)),$J$1:J1074),SUMIFS(Master!$G$2:$G$13,Master!$E$2:$E$13,C1075,Master!$F$2:$F$13,D1075)))</f>
        <v/>
      </c>
      <c r="G1075" s="5" t="n"/>
      <c r="H1075" s="5" t="n"/>
      <c r="I1075" s="5" t="n"/>
      <c r="J1075" s="6">
        <f>IF(OR(F1075="",COUNT(G1075:I1075)&lt;3),"",F1075+G1075-H1075-I1075)</f>
        <v/>
      </c>
      <c r="K1075" s="6">
        <f>IF(COUNTA(A1075:D1075,G1075:I1075)=0,"",IF(COUNTA(A1075:D1075,G1075:I1075)&lt;7,"LENGKAPI",IF(H1075+I1075&gt;N(F1075)+G1075,"ABNORMAL",IF(COUNTIFS($A$2:$A$2001,A1075,$B$2:$B$2001,B1075,$C$2:$C$2001,C1075,$D$2:$D$2001,D1075)&gt;1,"DUPLIKAT","OK"))))</f>
        <v/>
      </c>
    </row>
    <row r="1076">
      <c r="A1076" s="4" t="n"/>
      <c r="B1076" s="5" t="n"/>
      <c r="C1076" s="5" t="n"/>
      <c r="D1076" s="5" t="n"/>
      <c r="E1076" s="6">
        <f>IF(A1076="","","B"&amp;TEXT(COUNT($A$2:A1076),"00000"))</f>
        <v/>
      </c>
      <c r="F1076" s="6">
        <f>IF(OR(C1076="",D1076=""),"",IFERROR(LOOKUP(2,1/(($C$1:C1075=C1076)*($D$1:D1075=D1076)*ISNUMBER($J$1:J1075)),$J$1:J1075),SUMIFS(Master!$G$2:$G$13,Master!$E$2:$E$13,C1076,Master!$F$2:$F$13,D1076)))</f>
        <v/>
      </c>
      <c r="G1076" s="5" t="n"/>
      <c r="H1076" s="5" t="n"/>
      <c r="I1076" s="5" t="n"/>
      <c r="J1076" s="6">
        <f>IF(OR(F1076="",COUNT(G1076:I1076)&lt;3),"",F1076+G1076-H1076-I1076)</f>
        <v/>
      </c>
      <c r="K1076" s="6">
        <f>IF(COUNTA(A1076:D1076,G1076:I1076)=0,"",IF(COUNTA(A1076:D1076,G1076:I1076)&lt;7,"LENGKAPI",IF(H1076+I1076&gt;N(F1076)+G1076,"ABNORMAL",IF(COUNTIFS($A$2:$A$2001,A1076,$B$2:$B$2001,B1076,$C$2:$C$2001,C1076,$D$2:$D$2001,D1076)&gt;1,"DUPLIKAT","OK"))))</f>
        <v/>
      </c>
    </row>
    <row r="1077">
      <c r="A1077" s="4" t="n"/>
      <c r="B1077" s="5" t="n"/>
      <c r="C1077" s="5" t="n"/>
      <c r="D1077" s="5" t="n"/>
      <c r="E1077" s="6">
        <f>IF(A1077="","","B"&amp;TEXT(COUNT($A$2:A1077),"00000"))</f>
        <v/>
      </c>
      <c r="F1077" s="6">
        <f>IF(OR(C1077="",D1077=""),"",IFERROR(LOOKUP(2,1/(($C$1:C1076=C1077)*($D$1:D1076=D1077)*ISNUMBER($J$1:J1076)),$J$1:J1076),SUMIFS(Master!$G$2:$G$13,Master!$E$2:$E$13,C1077,Master!$F$2:$F$13,D1077)))</f>
        <v/>
      </c>
      <c r="G1077" s="5" t="n"/>
      <c r="H1077" s="5" t="n"/>
      <c r="I1077" s="5" t="n"/>
      <c r="J1077" s="6">
        <f>IF(OR(F1077="",COUNT(G1077:I1077)&lt;3),"",F1077+G1077-H1077-I1077)</f>
        <v/>
      </c>
      <c r="K1077" s="6">
        <f>IF(COUNTA(A1077:D1077,G1077:I1077)=0,"",IF(COUNTA(A1077:D1077,G1077:I1077)&lt;7,"LENGKAPI",IF(H1077+I1077&gt;N(F1077)+G1077,"ABNORMAL",IF(COUNTIFS($A$2:$A$2001,A1077,$B$2:$B$2001,B1077,$C$2:$C$2001,C1077,$D$2:$D$2001,D1077)&gt;1,"DUPLIKAT","OK"))))</f>
        <v/>
      </c>
    </row>
    <row r="1078">
      <c r="A1078" s="4" t="n"/>
      <c r="B1078" s="5" t="n"/>
      <c r="C1078" s="5" t="n"/>
      <c r="D1078" s="5" t="n"/>
      <c r="E1078" s="6">
        <f>IF(A1078="","","B"&amp;TEXT(COUNT($A$2:A1078),"00000"))</f>
        <v/>
      </c>
      <c r="F1078" s="6">
        <f>IF(OR(C1078="",D1078=""),"",IFERROR(LOOKUP(2,1/(($C$1:C1077=C1078)*($D$1:D1077=D1078)*ISNUMBER($J$1:J1077)),$J$1:J1077),SUMIFS(Master!$G$2:$G$13,Master!$E$2:$E$13,C1078,Master!$F$2:$F$13,D1078)))</f>
        <v/>
      </c>
      <c r="G1078" s="5" t="n"/>
      <c r="H1078" s="5" t="n"/>
      <c r="I1078" s="5" t="n"/>
      <c r="J1078" s="6">
        <f>IF(OR(F1078="",COUNT(G1078:I1078)&lt;3),"",F1078+G1078-H1078-I1078)</f>
        <v/>
      </c>
      <c r="K1078" s="6">
        <f>IF(COUNTA(A1078:D1078,G1078:I1078)=0,"",IF(COUNTA(A1078:D1078,G1078:I1078)&lt;7,"LENGKAPI",IF(H1078+I1078&gt;N(F1078)+G1078,"ABNORMAL",IF(COUNTIFS($A$2:$A$2001,A1078,$B$2:$B$2001,B1078,$C$2:$C$2001,C1078,$D$2:$D$2001,D1078)&gt;1,"DUPLIKAT","OK"))))</f>
        <v/>
      </c>
    </row>
    <row r="1079">
      <c r="A1079" s="4" t="n"/>
      <c r="B1079" s="5" t="n"/>
      <c r="C1079" s="5" t="n"/>
      <c r="D1079" s="5" t="n"/>
      <c r="E1079" s="6">
        <f>IF(A1079="","","B"&amp;TEXT(COUNT($A$2:A1079),"00000"))</f>
        <v/>
      </c>
      <c r="F1079" s="6">
        <f>IF(OR(C1079="",D1079=""),"",IFERROR(LOOKUP(2,1/(($C$1:C1078=C1079)*($D$1:D1078=D1079)*ISNUMBER($J$1:J1078)),$J$1:J1078),SUMIFS(Master!$G$2:$G$13,Master!$E$2:$E$13,C1079,Master!$F$2:$F$13,D1079)))</f>
        <v/>
      </c>
      <c r="G1079" s="5" t="n"/>
      <c r="H1079" s="5" t="n"/>
      <c r="I1079" s="5" t="n"/>
      <c r="J1079" s="6">
        <f>IF(OR(F1079="",COUNT(G1079:I1079)&lt;3),"",F1079+G1079-H1079-I1079)</f>
        <v/>
      </c>
      <c r="K1079" s="6">
        <f>IF(COUNTA(A1079:D1079,G1079:I1079)=0,"",IF(COUNTA(A1079:D1079,G1079:I1079)&lt;7,"LENGKAPI",IF(H1079+I1079&gt;N(F1079)+G1079,"ABNORMAL",IF(COUNTIFS($A$2:$A$2001,A1079,$B$2:$B$2001,B1079,$C$2:$C$2001,C1079,$D$2:$D$2001,D1079)&gt;1,"DUPLIKAT","OK"))))</f>
        <v/>
      </c>
    </row>
    <row r="1080">
      <c r="A1080" s="4" t="n"/>
      <c r="B1080" s="5" t="n"/>
      <c r="C1080" s="5" t="n"/>
      <c r="D1080" s="5" t="n"/>
      <c r="E1080" s="6">
        <f>IF(A1080="","","B"&amp;TEXT(COUNT($A$2:A1080),"00000"))</f>
        <v/>
      </c>
      <c r="F1080" s="6">
        <f>IF(OR(C1080="",D1080=""),"",IFERROR(LOOKUP(2,1/(($C$1:C1079=C1080)*($D$1:D1079=D1080)*ISNUMBER($J$1:J1079)),$J$1:J1079),SUMIFS(Master!$G$2:$G$13,Master!$E$2:$E$13,C1080,Master!$F$2:$F$13,D1080)))</f>
        <v/>
      </c>
      <c r="G1080" s="5" t="n"/>
      <c r="H1080" s="5" t="n"/>
      <c r="I1080" s="5" t="n"/>
      <c r="J1080" s="6">
        <f>IF(OR(F1080="",COUNT(G1080:I1080)&lt;3),"",F1080+G1080-H1080-I1080)</f>
        <v/>
      </c>
      <c r="K1080" s="6">
        <f>IF(COUNTA(A1080:D1080,G1080:I1080)=0,"",IF(COUNTA(A1080:D1080,G1080:I1080)&lt;7,"LENGKAPI",IF(H1080+I1080&gt;N(F1080)+G1080,"ABNORMAL",IF(COUNTIFS($A$2:$A$2001,A1080,$B$2:$B$2001,B1080,$C$2:$C$2001,C1080,$D$2:$D$2001,D1080)&gt;1,"DUPLIKAT","OK"))))</f>
        <v/>
      </c>
    </row>
    <row r="1081">
      <c r="A1081" s="4" t="n"/>
      <c r="B1081" s="5" t="n"/>
      <c r="C1081" s="5" t="n"/>
      <c r="D1081" s="5" t="n"/>
      <c r="E1081" s="6">
        <f>IF(A1081="","","B"&amp;TEXT(COUNT($A$2:A1081),"00000"))</f>
        <v/>
      </c>
      <c r="F1081" s="6">
        <f>IF(OR(C1081="",D1081=""),"",IFERROR(LOOKUP(2,1/(($C$1:C1080=C1081)*($D$1:D1080=D1081)*ISNUMBER($J$1:J1080)),$J$1:J1080),SUMIFS(Master!$G$2:$G$13,Master!$E$2:$E$13,C1081,Master!$F$2:$F$13,D1081)))</f>
        <v/>
      </c>
      <c r="G1081" s="5" t="n"/>
      <c r="H1081" s="5" t="n"/>
      <c r="I1081" s="5" t="n"/>
      <c r="J1081" s="6">
        <f>IF(OR(F1081="",COUNT(G1081:I1081)&lt;3),"",F1081+G1081-H1081-I1081)</f>
        <v/>
      </c>
      <c r="K1081" s="6">
        <f>IF(COUNTA(A1081:D1081,G1081:I1081)=0,"",IF(COUNTA(A1081:D1081,G1081:I1081)&lt;7,"LENGKAPI",IF(H1081+I1081&gt;N(F1081)+G1081,"ABNORMAL",IF(COUNTIFS($A$2:$A$2001,A1081,$B$2:$B$2001,B1081,$C$2:$C$2001,C1081,$D$2:$D$2001,D1081)&gt;1,"DUPLIKAT","OK"))))</f>
        <v/>
      </c>
    </row>
    <row r="1082">
      <c r="A1082" s="4" t="n"/>
      <c r="B1082" s="5" t="n"/>
      <c r="C1082" s="5" t="n"/>
      <c r="D1082" s="5" t="n"/>
      <c r="E1082" s="6">
        <f>IF(A1082="","","B"&amp;TEXT(COUNT($A$2:A1082),"00000"))</f>
        <v/>
      </c>
      <c r="F1082" s="6">
        <f>IF(OR(C1082="",D1082=""),"",IFERROR(LOOKUP(2,1/(($C$1:C1081=C1082)*($D$1:D1081=D1082)*ISNUMBER($J$1:J1081)),$J$1:J1081),SUMIFS(Master!$G$2:$G$13,Master!$E$2:$E$13,C1082,Master!$F$2:$F$13,D1082)))</f>
        <v/>
      </c>
      <c r="G1082" s="5" t="n"/>
      <c r="H1082" s="5" t="n"/>
      <c r="I1082" s="5" t="n"/>
      <c r="J1082" s="6">
        <f>IF(OR(F1082="",COUNT(G1082:I1082)&lt;3),"",F1082+G1082-H1082-I1082)</f>
        <v/>
      </c>
      <c r="K1082" s="6">
        <f>IF(COUNTA(A1082:D1082,G1082:I1082)=0,"",IF(COUNTA(A1082:D1082,G1082:I1082)&lt;7,"LENGKAPI",IF(H1082+I1082&gt;N(F1082)+G1082,"ABNORMAL",IF(COUNTIFS($A$2:$A$2001,A1082,$B$2:$B$2001,B1082,$C$2:$C$2001,C1082,$D$2:$D$2001,D1082)&gt;1,"DUPLIKAT","OK"))))</f>
        <v/>
      </c>
    </row>
    <row r="1083">
      <c r="A1083" s="4" t="n"/>
      <c r="B1083" s="5" t="n"/>
      <c r="C1083" s="5" t="n"/>
      <c r="D1083" s="5" t="n"/>
      <c r="E1083" s="6">
        <f>IF(A1083="","","B"&amp;TEXT(COUNT($A$2:A1083),"00000"))</f>
        <v/>
      </c>
      <c r="F1083" s="6">
        <f>IF(OR(C1083="",D1083=""),"",IFERROR(LOOKUP(2,1/(($C$1:C1082=C1083)*($D$1:D1082=D1083)*ISNUMBER($J$1:J1082)),$J$1:J1082),SUMIFS(Master!$G$2:$G$13,Master!$E$2:$E$13,C1083,Master!$F$2:$F$13,D1083)))</f>
        <v/>
      </c>
      <c r="G1083" s="5" t="n"/>
      <c r="H1083" s="5" t="n"/>
      <c r="I1083" s="5" t="n"/>
      <c r="J1083" s="6">
        <f>IF(OR(F1083="",COUNT(G1083:I1083)&lt;3),"",F1083+G1083-H1083-I1083)</f>
        <v/>
      </c>
      <c r="K1083" s="6">
        <f>IF(COUNTA(A1083:D1083,G1083:I1083)=0,"",IF(COUNTA(A1083:D1083,G1083:I1083)&lt;7,"LENGKAPI",IF(H1083+I1083&gt;N(F1083)+G1083,"ABNORMAL",IF(COUNTIFS($A$2:$A$2001,A1083,$B$2:$B$2001,B1083,$C$2:$C$2001,C1083,$D$2:$D$2001,D1083)&gt;1,"DUPLIKAT","OK"))))</f>
        <v/>
      </c>
    </row>
    <row r="1084">
      <c r="A1084" s="4" t="n"/>
      <c r="B1084" s="5" t="n"/>
      <c r="C1084" s="5" t="n"/>
      <c r="D1084" s="5" t="n"/>
      <c r="E1084" s="6">
        <f>IF(A1084="","","B"&amp;TEXT(COUNT($A$2:A1084),"00000"))</f>
        <v/>
      </c>
      <c r="F1084" s="6">
        <f>IF(OR(C1084="",D1084=""),"",IFERROR(LOOKUP(2,1/(($C$1:C1083=C1084)*($D$1:D1083=D1084)*ISNUMBER($J$1:J1083)),$J$1:J1083),SUMIFS(Master!$G$2:$G$13,Master!$E$2:$E$13,C1084,Master!$F$2:$F$13,D1084)))</f>
        <v/>
      </c>
      <c r="G1084" s="5" t="n"/>
      <c r="H1084" s="5" t="n"/>
      <c r="I1084" s="5" t="n"/>
      <c r="J1084" s="6">
        <f>IF(OR(F1084="",COUNT(G1084:I1084)&lt;3),"",F1084+G1084-H1084-I1084)</f>
        <v/>
      </c>
      <c r="K1084" s="6">
        <f>IF(COUNTA(A1084:D1084,G1084:I1084)=0,"",IF(COUNTA(A1084:D1084,G1084:I1084)&lt;7,"LENGKAPI",IF(H1084+I1084&gt;N(F1084)+G1084,"ABNORMAL",IF(COUNTIFS($A$2:$A$2001,A1084,$B$2:$B$2001,B1084,$C$2:$C$2001,C1084,$D$2:$D$2001,D1084)&gt;1,"DUPLIKAT","OK"))))</f>
        <v/>
      </c>
    </row>
    <row r="1085">
      <c r="A1085" s="4" t="n"/>
      <c r="B1085" s="5" t="n"/>
      <c r="C1085" s="5" t="n"/>
      <c r="D1085" s="5" t="n"/>
      <c r="E1085" s="6">
        <f>IF(A1085="","","B"&amp;TEXT(COUNT($A$2:A1085),"00000"))</f>
        <v/>
      </c>
      <c r="F1085" s="6">
        <f>IF(OR(C1085="",D1085=""),"",IFERROR(LOOKUP(2,1/(($C$1:C1084=C1085)*($D$1:D1084=D1085)*ISNUMBER($J$1:J1084)),$J$1:J1084),SUMIFS(Master!$G$2:$G$13,Master!$E$2:$E$13,C1085,Master!$F$2:$F$13,D1085)))</f>
        <v/>
      </c>
      <c r="G1085" s="5" t="n"/>
      <c r="H1085" s="5" t="n"/>
      <c r="I1085" s="5" t="n"/>
      <c r="J1085" s="6">
        <f>IF(OR(F1085="",COUNT(G1085:I1085)&lt;3),"",F1085+G1085-H1085-I1085)</f>
        <v/>
      </c>
      <c r="K1085" s="6">
        <f>IF(COUNTA(A1085:D1085,G1085:I1085)=0,"",IF(COUNTA(A1085:D1085,G1085:I1085)&lt;7,"LENGKAPI",IF(H1085+I1085&gt;N(F1085)+G1085,"ABNORMAL",IF(COUNTIFS($A$2:$A$2001,A1085,$B$2:$B$2001,B1085,$C$2:$C$2001,C1085,$D$2:$D$2001,D1085)&gt;1,"DUPLIKAT","OK"))))</f>
        <v/>
      </c>
    </row>
    <row r="1086">
      <c r="A1086" s="4" t="n"/>
      <c r="B1086" s="5" t="n"/>
      <c r="C1086" s="5" t="n"/>
      <c r="D1086" s="5" t="n"/>
      <c r="E1086" s="6">
        <f>IF(A1086="","","B"&amp;TEXT(COUNT($A$2:A1086),"00000"))</f>
        <v/>
      </c>
      <c r="F1086" s="6">
        <f>IF(OR(C1086="",D1086=""),"",IFERROR(LOOKUP(2,1/(($C$1:C1085=C1086)*($D$1:D1085=D1086)*ISNUMBER($J$1:J1085)),$J$1:J1085),SUMIFS(Master!$G$2:$G$13,Master!$E$2:$E$13,C1086,Master!$F$2:$F$13,D1086)))</f>
        <v/>
      </c>
      <c r="G1086" s="5" t="n"/>
      <c r="H1086" s="5" t="n"/>
      <c r="I1086" s="5" t="n"/>
      <c r="J1086" s="6">
        <f>IF(OR(F1086="",COUNT(G1086:I1086)&lt;3),"",F1086+G1086-H1086-I1086)</f>
        <v/>
      </c>
      <c r="K1086" s="6">
        <f>IF(COUNTA(A1086:D1086,G1086:I1086)=0,"",IF(COUNTA(A1086:D1086,G1086:I1086)&lt;7,"LENGKAPI",IF(H1086+I1086&gt;N(F1086)+G1086,"ABNORMAL",IF(COUNTIFS($A$2:$A$2001,A1086,$B$2:$B$2001,B1086,$C$2:$C$2001,C1086,$D$2:$D$2001,D1086)&gt;1,"DUPLIKAT","OK"))))</f>
        <v/>
      </c>
    </row>
    <row r="1087">
      <c r="A1087" s="4" t="n"/>
      <c r="B1087" s="5" t="n"/>
      <c r="C1087" s="5" t="n"/>
      <c r="D1087" s="5" t="n"/>
      <c r="E1087" s="6">
        <f>IF(A1087="","","B"&amp;TEXT(COUNT($A$2:A1087),"00000"))</f>
        <v/>
      </c>
      <c r="F1087" s="6">
        <f>IF(OR(C1087="",D1087=""),"",IFERROR(LOOKUP(2,1/(($C$1:C1086=C1087)*($D$1:D1086=D1087)*ISNUMBER($J$1:J1086)),$J$1:J1086),SUMIFS(Master!$G$2:$G$13,Master!$E$2:$E$13,C1087,Master!$F$2:$F$13,D1087)))</f>
        <v/>
      </c>
      <c r="G1087" s="5" t="n"/>
      <c r="H1087" s="5" t="n"/>
      <c r="I1087" s="5" t="n"/>
      <c r="J1087" s="6">
        <f>IF(OR(F1087="",COUNT(G1087:I1087)&lt;3),"",F1087+G1087-H1087-I1087)</f>
        <v/>
      </c>
      <c r="K1087" s="6">
        <f>IF(COUNTA(A1087:D1087,G1087:I1087)=0,"",IF(COUNTA(A1087:D1087,G1087:I1087)&lt;7,"LENGKAPI",IF(H1087+I1087&gt;N(F1087)+G1087,"ABNORMAL",IF(COUNTIFS($A$2:$A$2001,A1087,$B$2:$B$2001,B1087,$C$2:$C$2001,C1087,$D$2:$D$2001,D1087)&gt;1,"DUPLIKAT","OK"))))</f>
        <v/>
      </c>
    </row>
    <row r="1088">
      <c r="A1088" s="4" t="n"/>
      <c r="B1088" s="5" t="n"/>
      <c r="C1088" s="5" t="n"/>
      <c r="D1088" s="5" t="n"/>
      <c r="E1088" s="6">
        <f>IF(A1088="","","B"&amp;TEXT(COUNT($A$2:A1088),"00000"))</f>
        <v/>
      </c>
      <c r="F1088" s="6">
        <f>IF(OR(C1088="",D1088=""),"",IFERROR(LOOKUP(2,1/(($C$1:C1087=C1088)*($D$1:D1087=D1088)*ISNUMBER($J$1:J1087)),$J$1:J1087),SUMIFS(Master!$G$2:$G$13,Master!$E$2:$E$13,C1088,Master!$F$2:$F$13,D1088)))</f>
        <v/>
      </c>
      <c r="G1088" s="5" t="n"/>
      <c r="H1088" s="5" t="n"/>
      <c r="I1088" s="5" t="n"/>
      <c r="J1088" s="6">
        <f>IF(OR(F1088="",COUNT(G1088:I1088)&lt;3),"",F1088+G1088-H1088-I1088)</f>
        <v/>
      </c>
      <c r="K1088" s="6">
        <f>IF(COUNTA(A1088:D1088,G1088:I1088)=0,"",IF(COUNTA(A1088:D1088,G1088:I1088)&lt;7,"LENGKAPI",IF(H1088+I1088&gt;N(F1088)+G1088,"ABNORMAL",IF(COUNTIFS($A$2:$A$2001,A1088,$B$2:$B$2001,B1088,$C$2:$C$2001,C1088,$D$2:$D$2001,D1088)&gt;1,"DUPLIKAT","OK"))))</f>
        <v/>
      </c>
    </row>
    <row r="1089">
      <c r="A1089" s="4" t="n"/>
      <c r="B1089" s="5" t="n"/>
      <c r="C1089" s="5" t="n"/>
      <c r="D1089" s="5" t="n"/>
      <c r="E1089" s="6">
        <f>IF(A1089="","","B"&amp;TEXT(COUNT($A$2:A1089),"00000"))</f>
        <v/>
      </c>
      <c r="F1089" s="6">
        <f>IF(OR(C1089="",D1089=""),"",IFERROR(LOOKUP(2,1/(($C$1:C1088=C1089)*($D$1:D1088=D1089)*ISNUMBER($J$1:J1088)),$J$1:J1088),SUMIFS(Master!$G$2:$G$13,Master!$E$2:$E$13,C1089,Master!$F$2:$F$13,D1089)))</f>
        <v/>
      </c>
      <c r="G1089" s="5" t="n"/>
      <c r="H1089" s="5" t="n"/>
      <c r="I1089" s="5" t="n"/>
      <c r="J1089" s="6">
        <f>IF(OR(F1089="",COUNT(G1089:I1089)&lt;3),"",F1089+G1089-H1089-I1089)</f>
        <v/>
      </c>
      <c r="K1089" s="6">
        <f>IF(COUNTA(A1089:D1089,G1089:I1089)=0,"",IF(COUNTA(A1089:D1089,G1089:I1089)&lt;7,"LENGKAPI",IF(H1089+I1089&gt;N(F1089)+G1089,"ABNORMAL",IF(COUNTIFS($A$2:$A$2001,A1089,$B$2:$B$2001,B1089,$C$2:$C$2001,C1089,$D$2:$D$2001,D1089)&gt;1,"DUPLIKAT","OK"))))</f>
        <v/>
      </c>
    </row>
    <row r="1090">
      <c r="A1090" s="4" t="n"/>
      <c r="B1090" s="5" t="n"/>
      <c r="C1090" s="5" t="n"/>
      <c r="D1090" s="5" t="n"/>
      <c r="E1090" s="6">
        <f>IF(A1090="","","B"&amp;TEXT(COUNT($A$2:A1090),"00000"))</f>
        <v/>
      </c>
      <c r="F1090" s="6">
        <f>IF(OR(C1090="",D1090=""),"",IFERROR(LOOKUP(2,1/(($C$1:C1089=C1090)*($D$1:D1089=D1090)*ISNUMBER($J$1:J1089)),$J$1:J1089),SUMIFS(Master!$G$2:$G$13,Master!$E$2:$E$13,C1090,Master!$F$2:$F$13,D1090)))</f>
        <v/>
      </c>
      <c r="G1090" s="5" t="n"/>
      <c r="H1090" s="5" t="n"/>
      <c r="I1090" s="5" t="n"/>
      <c r="J1090" s="6">
        <f>IF(OR(F1090="",COUNT(G1090:I1090)&lt;3),"",F1090+G1090-H1090-I1090)</f>
        <v/>
      </c>
      <c r="K1090" s="6">
        <f>IF(COUNTA(A1090:D1090,G1090:I1090)=0,"",IF(COUNTA(A1090:D1090,G1090:I1090)&lt;7,"LENGKAPI",IF(H1090+I1090&gt;N(F1090)+G1090,"ABNORMAL",IF(COUNTIFS($A$2:$A$2001,A1090,$B$2:$B$2001,B1090,$C$2:$C$2001,C1090,$D$2:$D$2001,D1090)&gt;1,"DUPLIKAT","OK"))))</f>
        <v/>
      </c>
    </row>
    <row r="1091">
      <c r="A1091" s="4" t="n"/>
      <c r="B1091" s="5" t="n"/>
      <c r="C1091" s="5" t="n"/>
      <c r="D1091" s="5" t="n"/>
      <c r="E1091" s="6">
        <f>IF(A1091="","","B"&amp;TEXT(COUNT($A$2:A1091),"00000"))</f>
        <v/>
      </c>
      <c r="F1091" s="6">
        <f>IF(OR(C1091="",D1091=""),"",IFERROR(LOOKUP(2,1/(($C$1:C1090=C1091)*($D$1:D1090=D1091)*ISNUMBER($J$1:J1090)),$J$1:J1090),SUMIFS(Master!$G$2:$G$13,Master!$E$2:$E$13,C1091,Master!$F$2:$F$13,D1091)))</f>
        <v/>
      </c>
      <c r="G1091" s="5" t="n"/>
      <c r="H1091" s="5" t="n"/>
      <c r="I1091" s="5" t="n"/>
      <c r="J1091" s="6">
        <f>IF(OR(F1091="",COUNT(G1091:I1091)&lt;3),"",F1091+G1091-H1091-I1091)</f>
        <v/>
      </c>
      <c r="K1091" s="6">
        <f>IF(COUNTA(A1091:D1091,G1091:I1091)=0,"",IF(COUNTA(A1091:D1091,G1091:I1091)&lt;7,"LENGKAPI",IF(H1091+I1091&gt;N(F1091)+G1091,"ABNORMAL",IF(COUNTIFS($A$2:$A$2001,A1091,$B$2:$B$2001,B1091,$C$2:$C$2001,C1091,$D$2:$D$2001,D1091)&gt;1,"DUPLIKAT","OK"))))</f>
        <v/>
      </c>
    </row>
    <row r="1092">
      <c r="A1092" s="4" t="n"/>
      <c r="B1092" s="5" t="n"/>
      <c r="C1092" s="5" t="n"/>
      <c r="D1092" s="5" t="n"/>
      <c r="E1092" s="6">
        <f>IF(A1092="","","B"&amp;TEXT(COUNT($A$2:A1092),"00000"))</f>
        <v/>
      </c>
      <c r="F1092" s="6">
        <f>IF(OR(C1092="",D1092=""),"",IFERROR(LOOKUP(2,1/(($C$1:C1091=C1092)*($D$1:D1091=D1092)*ISNUMBER($J$1:J1091)),$J$1:J1091),SUMIFS(Master!$G$2:$G$13,Master!$E$2:$E$13,C1092,Master!$F$2:$F$13,D1092)))</f>
        <v/>
      </c>
      <c r="G1092" s="5" t="n"/>
      <c r="H1092" s="5" t="n"/>
      <c r="I1092" s="5" t="n"/>
      <c r="J1092" s="6">
        <f>IF(OR(F1092="",COUNT(G1092:I1092)&lt;3),"",F1092+G1092-H1092-I1092)</f>
        <v/>
      </c>
      <c r="K1092" s="6">
        <f>IF(COUNTA(A1092:D1092,G1092:I1092)=0,"",IF(COUNTA(A1092:D1092,G1092:I1092)&lt;7,"LENGKAPI",IF(H1092+I1092&gt;N(F1092)+G1092,"ABNORMAL",IF(COUNTIFS($A$2:$A$2001,A1092,$B$2:$B$2001,B1092,$C$2:$C$2001,C1092,$D$2:$D$2001,D1092)&gt;1,"DUPLIKAT","OK"))))</f>
        <v/>
      </c>
    </row>
    <row r="1093">
      <c r="A1093" s="4" t="n"/>
      <c r="B1093" s="5" t="n"/>
      <c r="C1093" s="5" t="n"/>
      <c r="D1093" s="5" t="n"/>
      <c r="E1093" s="6">
        <f>IF(A1093="","","B"&amp;TEXT(COUNT($A$2:A1093),"00000"))</f>
        <v/>
      </c>
      <c r="F1093" s="6">
        <f>IF(OR(C1093="",D1093=""),"",IFERROR(LOOKUP(2,1/(($C$1:C1092=C1093)*($D$1:D1092=D1093)*ISNUMBER($J$1:J1092)),$J$1:J1092),SUMIFS(Master!$G$2:$G$13,Master!$E$2:$E$13,C1093,Master!$F$2:$F$13,D1093)))</f>
        <v/>
      </c>
      <c r="G1093" s="5" t="n"/>
      <c r="H1093" s="5" t="n"/>
      <c r="I1093" s="5" t="n"/>
      <c r="J1093" s="6">
        <f>IF(OR(F1093="",COUNT(G1093:I1093)&lt;3),"",F1093+G1093-H1093-I1093)</f>
        <v/>
      </c>
      <c r="K1093" s="6">
        <f>IF(COUNTA(A1093:D1093,G1093:I1093)=0,"",IF(COUNTA(A1093:D1093,G1093:I1093)&lt;7,"LENGKAPI",IF(H1093+I1093&gt;N(F1093)+G1093,"ABNORMAL",IF(COUNTIFS($A$2:$A$2001,A1093,$B$2:$B$2001,B1093,$C$2:$C$2001,C1093,$D$2:$D$2001,D1093)&gt;1,"DUPLIKAT","OK"))))</f>
        <v/>
      </c>
    </row>
    <row r="1094">
      <c r="A1094" s="4" t="n"/>
      <c r="B1094" s="5" t="n"/>
      <c r="C1094" s="5" t="n"/>
      <c r="D1094" s="5" t="n"/>
      <c r="E1094" s="6">
        <f>IF(A1094="","","B"&amp;TEXT(COUNT($A$2:A1094),"00000"))</f>
        <v/>
      </c>
      <c r="F1094" s="6">
        <f>IF(OR(C1094="",D1094=""),"",IFERROR(LOOKUP(2,1/(($C$1:C1093=C1094)*($D$1:D1093=D1094)*ISNUMBER($J$1:J1093)),$J$1:J1093),SUMIFS(Master!$G$2:$G$13,Master!$E$2:$E$13,C1094,Master!$F$2:$F$13,D1094)))</f>
        <v/>
      </c>
      <c r="G1094" s="5" t="n"/>
      <c r="H1094" s="5" t="n"/>
      <c r="I1094" s="5" t="n"/>
      <c r="J1094" s="6">
        <f>IF(OR(F1094="",COUNT(G1094:I1094)&lt;3),"",F1094+G1094-H1094-I1094)</f>
        <v/>
      </c>
      <c r="K1094" s="6">
        <f>IF(COUNTA(A1094:D1094,G1094:I1094)=0,"",IF(COUNTA(A1094:D1094,G1094:I1094)&lt;7,"LENGKAPI",IF(H1094+I1094&gt;N(F1094)+G1094,"ABNORMAL",IF(COUNTIFS($A$2:$A$2001,A1094,$B$2:$B$2001,B1094,$C$2:$C$2001,C1094,$D$2:$D$2001,D1094)&gt;1,"DUPLIKAT","OK"))))</f>
        <v/>
      </c>
    </row>
    <row r="1095">
      <c r="A1095" s="4" t="n"/>
      <c r="B1095" s="5" t="n"/>
      <c r="C1095" s="5" t="n"/>
      <c r="D1095" s="5" t="n"/>
      <c r="E1095" s="6">
        <f>IF(A1095="","","B"&amp;TEXT(COUNT($A$2:A1095),"00000"))</f>
        <v/>
      </c>
      <c r="F1095" s="6">
        <f>IF(OR(C1095="",D1095=""),"",IFERROR(LOOKUP(2,1/(($C$1:C1094=C1095)*($D$1:D1094=D1095)*ISNUMBER($J$1:J1094)),$J$1:J1094),SUMIFS(Master!$G$2:$G$13,Master!$E$2:$E$13,C1095,Master!$F$2:$F$13,D1095)))</f>
        <v/>
      </c>
      <c r="G1095" s="5" t="n"/>
      <c r="H1095" s="5" t="n"/>
      <c r="I1095" s="5" t="n"/>
      <c r="J1095" s="6">
        <f>IF(OR(F1095="",COUNT(G1095:I1095)&lt;3),"",F1095+G1095-H1095-I1095)</f>
        <v/>
      </c>
      <c r="K1095" s="6">
        <f>IF(COUNTA(A1095:D1095,G1095:I1095)=0,"",IF(COUNTA(A1095:D1095,G1095:I1095)&lt;7,"LENGKAPI",IF(H1095+I1095&gt;N(F1095)+G1095,"ABNORMAL",IF(COUNTIFS($A$2:$A$2001,A1095,$B$2:$B$2001,B1095,$C$2:$C$2001,C1095,$D$2:$D$2001,D1095)&gt;1,"DUPLIKAT","OK"))))</f>
        <v/>
      </c>
    </row>
    <row r="1096">
      <c r="A1096" s="4" t="n"/>
      <c r="B1096" s="5" t="n"/>
      <c r="C1096" s="5" t="n"/>
      <c r="D1096" s="5" t="n"/>
      <c r="E1096" s="6">
        <f>IF(A1096="","","B"&amp;TEXT(COUNT($A$2:A1096),"00000"))</f>
        <v/>
      </c>
      <c r="F1096" s="6">
        <f>IF(OR(C1096="",D1096=""),"",IFERROR(LOOKUP(2,1/(($C$1:C1095=C1096)*($D$1:D1095=D1096)*ISNUMBER($J$1:J1095)),$J$1:J1095),SUMIFS(Master!$G$2:$G$13,Master!$E$2:$E$13,C1096,Master!$F$2:$F$13,D1096)))</f>
        <v/>
      </c>
      <c r="G1096" s="5" t="n"/>
      <c r="H1096" s="5" t="n"/>
      <c r="I1096" s="5" t="n"/>
      <c r="J1096" s="6">
        <f>IF(OR(F1096="",COUNT(G1096:I1096)&lt;3),"",F1096+G1096-H1096-I1096)</f>
        <v/>
      </c>
      <c r="K1096" s="6">
        <f>IF(COUNTA(A1096:D1096,G1096:I1096)=0,"",IF(COUNTA(A1096:D1096,G1096:I1096)&lt;7,"LENGKAPI",IF(H1096+I1096&gt;N(F1096)+G1096,"ABNORMAL",IF(COUNTIFS($A$2:$A$2001,A1096,$B$2:$B$2001,B1096,$C$2:$C$2001,C1096,$D$2:$D$2001,D1096)&gt;1,"DUPLIKAT","OK"))))</f>
        <v/>
      </c>
    </row>
    <row r="1097">
      <c r="A1097" s="4" t="n"/>
      <c r="B1097" s="5" t="n"/>
      <c r="C1097" s="5" t="n"/>
      <c r="D1097" s="5" t="n"/>
      <c r="E1097" s="6">
        <f>IF(A1097="","","B"&amp;TEXT(COUNT($A$2:A1097),"00000"))</f>
        <v/>
      </c>
      <c r="F1097" s="6">
        <f>IF(OR(C1097="",D1097=""),"",IFERROR(LOOKUP(2,1/(($C$1:C1096=C1097)*($D$1:D1096=D1097)*ISNUMBER($J$1:J1096)),$J$1:J1096),SUMIFS(Master!$G$2:$G$13,Master!$E$2:$E$13,C1097,Master!$F$2:$F$13,D1097)))</f>
        <v/>
      </c>
      <c r="G1097" s="5" t="n"/>
      <c r="H1097" s="5" t="n"/>
      <c r="I1097" s="5" t="n"/>
      <c r="J1097" s="6">
        <f>IF(OR(F1097="",COUNT(G1097:I1097)&lt;3),"",F1097+G1097-H1097-I1097)</f>
        <v/>
      </c>
      <c r="K1097" s="6">
        <f>IF(COUNTA(A1097:D1097,G1097:I1097)=0,"",IF(COUNTA(A1097:D1097,G1097:I1097)&lt;7,"LENGKAPI",IF(H1097+I1097&gt;N(F1097)+G1097,"ABNORMAL",IF(COUNTIFS($A$2:$A$2001,A1097,$B$2:$B$2001,B1097,$C$2:$C$2001,C1097,$D$2:$D$2001,D1097)&gt;1,"DUPLIKAT","OK"))))</f>
        <v/>
      </c>
    </row>
    <row r="1098">
      <c r="A1098" s="4" t="n"/>
      <c r="B1098" s="5" t="n"/>
      <c r="C1098" s="5" t="n"/>
      <c r="D1098" s="5" t="n"/>
      <c r="E1098" s="6">
        <f>IF(A1098="","","B"&amp;TEXT(COUNT($A$2:A1098),"00000"))</f>
        <v/>
      </c>
      <c r="F1098" s="6">
        <f>IF(OR(C1098="",D1098=""),"",IFERROR(LOOKUP(2,1/(($C$1:C1097=C1098)*($D$1:D1097=D1098)*ISNUMBER($J$1:J1097)),$J$1:J1097),SUMIFS(Master!$G$2:$G$13,Master!$E$2:$E$13,C1098,Master!$F$2:$F$13,D1098)))</f>
        <v/>
      </c>
      <c r="G1098" s="5" t="n"/>
      <c r="H1098" s="5" t="n"/>
      <c r="I1098" s="5" t="n"/>
      <c r="J1098" s="6">
        <f>IF(OR(F1098="",COUNT(G1098:I1098)&lt;3),"",F1098+G1098-H1098-I1098)</f>
        <v/>
      </c>
      <c r="K1098" s="6">
        <f>IF(COUNTA(A1098:D1098,G1098:I1098)=0,"",IF(COUNTA(A1098:D1098,G1098:I1098)&lt;7,"LENGKAPI",IF(H1098+I1098&gt;N(F1098)+G1098,"ABNORMAL",IF(COUNTIFS($A$2:$A$2001,A1098,$B$2:$B$2001,B1098,$C$2:$C$2001,C1098,$D$2:$D$2001,D1098)&gt;1,"DUPLIKAT","OK"))))</f>
        <v/>
      </c>
    </row>
    <row r="1099">
      <c r="A1099" s="4" t="n"/>
      <c r="B1099" s="5" t="n"/>
      <c r="C1099" s="5" t="n"/>
      <c r="D1099" s="5" t="n"/>
      <c r="E1099" s="6">
        <f>IF(A1099="","","B"&amp;TEXT(COUNT($A$2:A1099),"00000"))</f>
        <v/>
      </c>
      <c r="F1099" s="6">
        <f>IF(OR(C1099="",D1099=""),"",IFERROR(LOOKUP(2,1/(($C$1:C1098=C1099)*($D$1:D1098=D1099)*ISNUMBER($J$1:J1098)),$J$1:J1098),SUMIFS(Master!$G$2:$G$13,Master!$E$2:$E$13,C1099,Master!$F$2:$F$13,D1099)))</f>
        <v/>
      </c>
      <c r="G1099" s="5" t="n"/>
      <c r="H1099" s="5" t="n"/>
      <c r="I1099" s="5" t="n"/>
      <c r="J1099" s="6">
        <f>IF(OR(F1099="",COUNT(G1099:I1099)&lt;3),"",F1099+G1099-H1099-I1099)</f>
        <v/>
      </c>
      <c r="K1099" s="6">
        <f>IF(COUNTA(A1099:D1099,G1099:I1099)=0,"",IF(COUNTA(A1099:D1099,G1099:I1099)&lt;7,"LENGKAPI",IF(H1099+I1099&gt;N(F1099)+G1099,"ABNORMAL",IF(COUNTIFS($A$2:$A$2001,A1099,$B$2:$B$2001,B1099,$C$2:$C$2001,C1099,$D$2:$D$2001,D1099)&gt;1,"DUPLIKAT","OK"))))</f>
        <v/>
      </c>
    </row>
    <row r="1100">
      <c r="A1100" s="4" t="n"/>
      <c r="B1100" s="5" t="n"/>
      <c r="C1100" s="5" t="n"/>
      <c r="D1100" s="5" t="n"/>
      <c r="E1100" s="6">
        <f>IF(A1100="","","B"&amp;TEXT(COUNT($A$2:A1100),"00000"))</f>
        <v/>
      </c>
      <c r="F1100" s="6">
        <f>IF(OR(C1100="",D1100=""),"",IFERROR(LOOKUP(2,1/(($C$1:C1099=C1100)*($D$1:D1099=D1100)*ISNUMBER($J$1:J1099)),$J$1:J1099),SUMIFS(Master!$G$2:$G$13,Master!$E$2:$E$13,C1100,Master!$F$2:$F$13,D1100)))</f>
        <v/>
      </c>
      <c r="G1100" s="5" t="n"/>
      <c r="H1100" s="5" t="n"/>
      <c r="I1100" s="5" t="n"/>
      <c r="J1100" s="6">
        <f>IF(OR(F1100="",COUNT(G1100:I1100)&lt;3),"",F1100+G1100-H1100-I1100)</f>
        <v/>
      </c>
      <c r="K1100" s="6">
        <f>IF(COUNTA(A1100:D1100,G1100:I1100)=0,"",IF(COUNTA(A1100:D1100,G1100:I1100)&lt;7,"LENGKAPI",IF(H1100+I1100&gt;N(F1100)+G1100,"ABNORMAL",IF(COUNTIFS($A$2:$A$2001,A1100,$B$2:$B$2001,B1100,$C$2:$C$2001,C1100,$D$2:$D$2001,D1100)&gt;1,"DUPLIKAT","OK"))))</f>
        <v/>
      </c>
    </row>
    <row r="1101">
      <c r="A1101" s="4" t="n"/>
      <c r="B1101" s="5" t="n"/>
      <c r="C1101" s="5" t="n"/>
      <c r="D1101" s="5" t="n"/>
      <c r="E1101" s="6">
        <f>IF(A1101="","","B"&amp;TEXT(COUNT($A$2:A1101),"00000"))</f>
        <v/>
      </c>
      <c r="F1101" s="6">
        <f>IF(OR(C1101="",D1101=""),"",IFERROR(LOOKUP(2,1/(($C$1:C1100=C1101)*($D$1:D1100=D1101)*ISNUMBER($J$1:J1100)),$J$1:J1100),SUMIFS(Master!$G$2:$G$13,Master!$E$2:$E$13,C1101,Master!$F$2:$F$13,D1101)))</f>
        <v/>
      </c>
      <c r="G1101" s="5" t="n"/>
      <c r="H1101" s="5" t="n"/>
      <c r="I1101" s="5" t="n"/>
      <c r="J1101" s="6">
        <f>IF(OR(F1101="",COUNT(G1101:I1101)&lt;3),"",F1101+G1101-H1101-I1101)</f>
        <v/>
      </c>
      <c r="K1101" s="6">
        <f>IF(COUNTA(A1101:D1101,G1101:I1101)=0,"",IF(COUNTA(A1101:D1101,G1101:I1101)&lt;7,"LENGKAPI",IF(H1101+I1101&gt;N(F1101)+G1101,"ABNORMAL",IF(COUNTIFS($A$2:$A$2001,A1101,$B$2:$B$2001,B1101,$C$2:$C$2001,C1101,$D$2:$D$2001,D1101)&gt;1,"DUPLIKAT","OK"))))</f>
        <v/>
      </c>
    </row>
    <row r="1102">
      <c r="A1102" s="4" t="n"/>
      <c r="B1102" s="5" t="n"/>
      <c r="C1102" s="5" t="n"/>
      <c r="D1102" s="5" t="n"/>
      <c r="E1102" s="6">
        <f>IF(A1102="","","B"&amp;TEXT(COUNT($A$2:A1102),"00000"))</f>
        <v/>
      </c>
      <c r="F1102" s="6">
        <f>IF(OR(C1102="",D1102=""),"",IFERROR(LOOKUP(2,1/(($C$1:C1101=C1102)*($D$1:D1101=D1102)*ISNUMBER($J$1:J1101)),$J$1:J1101),SUMIFS(Master!$G$2:$G$13,Master!$E$2:$E$13,C1102,Master!$F$2:$F$13,D1102)))</f>
        <v/>
      </c>
      <c r="G1102" s="5" t="n"/>
      <c r="H1102" s="5" t="n"/>
      <c r="I1102" s="5" t="n"/>
      <c r="J1102" s="6">
        <f>IF(OR(F1102="",COUNT(G1102:I1102)&lt;3),"",F1102+G1102-H1102-I1102)</f>
        <v/>
      </c>
      <c r="K1102" s="6">
        <f>IF(COUNTA(A1102:D1102,G1102:I1102)=0,"",IF(COUNTA(A1102:D1102,G1102:I1102)&lt;7,"LENGKAPI",IF(H1102+I1102&gt;N(F1102)+G1102,"ABNORMAL",IF(COUNTIFS($A$2:$A$2001,A1102,$B$2:$B$2001,B1102,$C$2:$C$2001,C1102,$D$2:$D$2001,D1102)&gt;1,"DUPLIKAT","OK"))))</f>
        <v/>
      </c>
    </row>
    <row r="1103">
      <c r="A1103" s="4" t="n"/>
      <c r="B1103" s="5" t="n"/>
      <c r="C1103" s="5" t="n"/>
      <c r="D1103" s="5" t="n"/>
      <c r="E1103" s="6">
        <f>IF(A1103="","","B"&amp;TEXT(COUNT($A$2:A1103),"00000"))</f>
        <v/>
      </c>
      <c r="F1103" s="6">
        <f>IF(OR(C1103="",D1103=""),"",IFERROR(LOOKUP(2,1/(($C$1:C1102=C1103)*($D$1:D1102=D1103)*ISNUMBER($J$1:J1102)),$J$1:J1102),SUMIFS(Master!$G$2:$G$13,Master!$E$2:$E$13,C1103,Master!$F$2:$F$13,D1103)))</f>
        <v/>
      </c>
      <c r="G1103" s="5" t="n"/>
      <c r="H1103" s="5" t="n"/>
      <c r="I1103" s="5" t="n"/>
      <c r="J1103" s="6">
        <f>IF(OR(F1103="",COUNT(G1103:I1103)&lt;3),"",F1103+G1103-H1103-I1103)</f>
        <v/>
      </c>
      <c r="K1103" s="6">
        <f>IF(COUNTA(A1103:D1103,G1103:I1103)=0,"",IF(COUNTA(A1103:D1103,G1103:I1103)&lt;7,"LENGKAPI",IF(H1103+I1103&gt;N(F1103)+G1103,"ABNORMAL",IF(COUNTIFS($A$2:$A$2001,A1103,$B$2:$B$2001,B1103,$C$2:$C$2001,C1103,$D$2:$D$2001,D1103)&gt;1,"DUPLIKAT","OK"))))</f>
        <v/>
      </c>
    </row>
    <row r="1104">
      <c r="A1104" s="4" t="n"/>
      <c r="B1104" s="5" t="n"/>
      <c r="C1104" s="5" t="n"/>
      <c r="D1104" s="5" t="n"/>
      <c r="E1104" s="6">
        <f>IF(A1104="","","B"&amp;TEXT(COUNT($A$2:A1104),"00000"))</f>
        <v/>
      </c>
      <c r="F1104" s="6">
        <f>IF(OR(C1104="",D1104=""),"",IFERROR(LOOKUP(2,1/(($C$1:C1103=C1104)*($D$1:D1103=D1104)*ISNUMBER($J$1:J1103)),$J$1:J1103),SUMIFS(Master!$G$2:$G$13,Master!$E$2:$E$13,C1104,Master!$F$2:$F$13,D1104)))</f>
        <v/>
      </c>
      <c r="G1104" s="5" t="n"/>
      <c r="H1104" s="5" t="n"/>
      <c r="I1104" s="5" t="n"/>
      <c r="J1104" s="6">
        <f>IF(OR(F1104="",COUNT(G1104:I1104)&lt;3),"",F1104+G1104-H1104-I1104)</f>
        <v/>
      </c>
      <c r="K1104" s="6">
        <f>IF(COUNTA(A1104:D1104,G1104:I1104)=0,"",IF(COUNTA(A1104:D1104,G1104:I1104)&lt;7,"LENGKAPI",IF(H1104+I1104&gt;N(F1104)+G1104,"ABNORMAL",IF(COUNTIFS($A$2:$A$2001,A1104,$B$2:$B$2001,B1104,$C$2:$C$2001,C1104,$D$2:$D$2001,D1104)&gt;1,"DUPLIKAT","OK"))))</f>
        <v/>
      </c>
    </row>
    <row r="1105">
      <c r="A1105" s="4" t="n"/>
      <c r="B1105" s="5" t="n"/>
      <c r="C1105" s="5" t="n"/>
      <c r="D1105" s="5" t="n"/>
      <c r="E1105" s="6">
        <f>IF(A1105="","","B"&amp;TEXT(COUNT($A$2:A1105),"00000"))</f>
        <v/>
      </c>
      <c r="F1105" s="6">
        <f>IF(OR(C1105="",D1105=""),"",IFERROR(LOOKUP(2,1/(($C$1:C1104=C1105)*($D$1:D1104=D1105)*ISNUMBER($J$1:J1104)),$J$1:J1104),SUMIFS(Master!$G$2:$G$13,Master!$E$2:$E$13,C1105,Master!$F$2:$F$13,D1105)))</f>
        <v/>
      </c>
      <c r="G1105" s="5" t="n"/>
      <c r="H1105" s="5" t="n"/>
      <c r="I1105" s="5" t="n"/>
      <c r="J1105" s="6">
        <f>IF(OR(F1105="",COUNT(G1105:I1105)&lt;3),"",F1105+G1105-H1105-I1105)</f>
        <v/>
      </c>
      <c r="K1105" s="6">
        <f>IF(COUNTA(A1105:D1105,G1105:I1105)=0,"",IF(COUNTA(A1105:D1105,G1105:I1105)&lt;7,"LENGKAPI",IF(H1105+I1105&gt;N(F1105)+G1105,"ABNORMAL",IF(COUNTIFS($A$2:$A$2001,A1105,$B$2:$B$2001,B1105,$C$2:$C$2001,C1105,$D$2:$D$2001,D1105)&gt;1,"DUPLIKAT","OK"))))</f>
        <v/>
      </c>
    </row>
    <row r="1106">
      <c r="A1106" s="4" t="n"/>
      <c r="B1106" s="5" t="n"/>
      <c r="C1106" s="5" t="n"/>
      <c r="D1106" s="5" t="n"/>
      <c r="E1106" s="6">
        <f>IF(A1106="","","B"&amp;TEXT(COUNT($A$2:A1106),"00000"))</f>
        <v/>
      </c>
      <c r="F1106" s="6">
        <f>IF(OR(C1106="",D1106=""),"",IFERROR(LOOKUP(2,1/(($C$1:C1105=C1106)*($D$1:D1105=D1106)*ISNUMBER($J$1:J1105)),$J$1:J1105),SUMIFS(Master!$G$2:$G$13,Master!$E$2:$E$13,C1106,Master!$F$2:$F$13,D1106)))</f>
        <v/>
      </c>
      <c r="G1106" s="5" t="n"/>
      <c r="H1106" s="5" t="n"/>
      <c r="I1106" s="5" t="n"/>
      <c r="J1106" s="6">
        <f>IF(OR(F1106="",COUNT(G1106:I1106)&lt;3),"",F1106+G1106-H1106-I1106)</f>
        <v/>
      </c>
      <c r="K1106" s="6">
        <f>IF(COUNTA(A1106:D1106,G1106:I1106)=0,"",IF(COUNTA(A1106:D1106,G1106:I1106)&lt;7,"LENGKAPI",IF(H1106+I1106&gt;N(F1106)+G1106,"ABNORMAL",IF(COUNTIFS($A$2:$A$2001,A1106,$B$2:$B$2001,B1106,$C$2:$C$2001,C1106,$D$2:$D$2001,D1106)&gt;1,"DUPLIKAT","OK"))))</f>
        <v/>
      </c>
    </row>
    <row r="1107">
      <c r="A1107" s="4" t="n"/>
      <c r="B1107" s="5" t="n"/>
      <c r="C1107" s="5" t="n"/>
      <c r="D1107" s="5" t="n"/>
      <c r="E1107" s="6">
        <f>IF(A1107="","","B"&amp;TEXT(COUNT($A$2:A1107),"00000"))</f>
        <v/>
      </c>
      <c r="F1107" s="6">
        <f>IF(OR(C1107="",D1107=""),"",IFERROR(LOOKUP(2,1/(($C$1:C1106=C1107)*($D$1:D1106=D1107)*ISNUMBER($J$1:J1106)),$J$1:J1106),SUMIFS(Master!$G$2:$G$13,Master!$E$2:$E$13,C1107,Master!$F$2:$F$13,D1107)))</f>
        <v/>
      </c>
      <c r="G1107" s="5" t="n"/>
      <c r="H1107" s="5" t="n"/>
      <c r="I1107" s="5" t="n"/>
      <c r="J1107" s="6">
        <f>IF(OR(F1107="",COUNT(G1107:I1107)&lt;3),"",F1107+G1107-H1107-I1107)</f>
        <v/>
      </c>
      <c r="K1107" s="6">
        <f>IF(COUNTA(A1107:D1107,G1107:I1107)=0,"",IF(COUNTA(A1107:D1107,G1107:I1107)&lt;7,"LENGKAPI",IF(H1107+I1107&gt;N(F1107)+G1107,"ABNORMAL",IF(COUNTIFS($A$2:$A$2001,A1107,$B$2:$B$2001,B1107,$C$2:$C$2001,C1107,$D$2:$D$2001,D1107)&gt;1,"DUPLIKAT","OK"))))</f>
        <v/>
      </c>
    </row>
    <row r="1108">
      <c r="A1108" s="4" t="n"/>
      <c r="B1108" s="5" t="n"/>
      <c r="C1108" s="5" t="n"/>
      <c r="D1108" s="5" t="n"/>
      <c r="E1108" s="6">
        <f>IF(A1108="","","B"&amp;TEXT(COUNT($A$2:A1108),"00000"))</f>
        <v/>
      </c>
      <c r="F1108" s="6">
        <f>IF(OR(C1108="",D1108=""),"",IFERROR(LOOKUP(2,1/(($C$1:C1107=C1108)*($D$1:D1107=D1108)*ISNUMBER($J$1:J1107)),$J$1:J1107),SUMIFS(Master!$G$2:$G$13,Master!$E$2:$E$13,C1108,Master!$F$2:$F$13,D1108)))</f>
        <v/>
      </c>
      <c r="G1108" s="5" t="n"/>
      <c r="H1108" s="5" t="n"/>
      <c r="I1108" s="5" t="n"/>
      <c r="J1108" s="6">
        <f>IF(OR(F1108="",COUNT(G1108:I1108)&lt;3),"",F1108+G1108-H1108-I1108)</f>
        <v/>
      </c>
      <c r="K1108" s="6">
        <f>IF(COUNTA(A1108:D1108,G1108:I1108)=0,"",IF(COUNTA(A1108:D1108,G1108:I1108)&lt;7,"LENGKAPI",IF(H1108+I1108&gt;N(F1108)+G1108,"ABNORMAL",IF(COUNTIFS($A$2:$A$2001,A1108,$B$2:$B$2001,B1108,$C$2:$C$2001,C1108,$D$2:$D$2001,D1108)&gt;1,"DUPLIKAT","OK"))))</f>
        <v/>
      </c>
    </row>
    <row r="1109">
      <c r="A1109" s="4" t="n"/>
      <c r="B1109" s="5" t="n"/>
      <c r="C1109" s="5" t="n"/>
      <c r="D1109" s="5" t="n"/>
      <c r="E1109" s="6">
        <f>IF(A1109="","","B"&amp;TEXT(COUNT($A$2:A1109),"00000"))</f>
        <v/>
      </c>
      <c r="F1109" s="6">
        <f>IF(OR(C1109="",D1109=""),"",IFERROR(LOOKUP(2,1/(($C$1:C1108=C1109)*($D$1:D1108=D1109)*ISNUMBER($J$1:J1108)),$J$1:J1108),SUMIFS(Master!$G$2:$G$13,Master!$E$2:$E$13,C1109,Master!$F$2:$F$13,D1109)))</f>
        <v/>
      </c>
      <c r="G1109" s="5" t="n"/>
      <c r="H1109" s="5" t="n"/>
      <c r="I1109" s="5" t="n"/>
      <c r="J1109" s="6">
        <f>IF(OR(F1109="",COUNT(G1109:I1109)&lt;3),"",F1109+G1109-H1109-I1109)</f>
        <v/>
      </c>
      <c r="K1109" s="6">
        <f>IF(COUNTA(A1109:D1109,G1109:I1109)=0,"",IF(COUNTA(A1109:D1109,G1109:I1109)&lt;7,"LENGKAPI",IF(H1109+I1109&gt;N(F1109)+G1109,"ABNORMAL",IF(COUNTIFS($A$2:$A$2001,A1109,$B$2:$B$2001,B1109,$C$2:$C$2001,C1109,$D$2:$D$2001,D1109)&gt;1,"DUPLIKAT","OK"))))</f>
        <v/>
      </c>
    </row>
    <row r="1110">
      <c r="A1110" s="4" t="n"/>
      <c r="B1110" s="5" t="n"/>
      <c r="C1110" s="5" t="n"/>
      <c r="D1110" s="5" t="n"/>
      <c r="E1110" s="6">
        <f>IF(A1110="","","B"&amp;TEXT(COUNT($A$2:A1110),"00000"))</f>
        <v/>
      </c>
      <c r="F1110" s="6">
        <f>IF(OR(C1110="",D1110=""),"",IFERROR(LOOKUP(2,1/(($C$1:C1109=C1110)*($D$1:D1109=D1110)*ISNUMBER($J$1:J1109)),$J$1:J1109),SUMIFS(Master!$G$2:$G$13,Master!$E$2:$E$13,C1110,Master!$F$2:$F$13,D1110)))</f>
        <v/>
      </c>
      <c r="G1110" s="5" t="n"/>
      <c r="H1110" s="5" t="n"/>
      <c r="I1110" s="5" t="n"/>
      <c r="J1110" s="6">
        <f>IF(OR(F1110="",COUNT(G1110:I1110)&lt;3),"",F1110+G1110-H1110-I1110)</f>
        <v/>
      </c>
      <c r="K1110" s="6">
        <f>IF(COUNTA(A1110:D1110,G1110:I1110)=0,"",IF(COUNTA(A1110:D1110,G1110:I1110)&lt;7,"LENGKAPI",IF(H1110+I1110&gt;N(F1110)+G1110,"ABNORMAL",IF(COUNTIFS($A$2:$A$2001,A1110,$B$2:$B$2001,B1110,$C$2:$C$2001,C1110,$D$2:$D$2001,D1110)&gt;1,"DUPLIKAT","OK"))))</f>
        <v/>
      </c>
    </row>
    <row r="1111">
      <c r="A1111" s="4" t="n"/>
      <c r="B1111" s="5" t="n"/>
      <c r="C1111" s="5" t="n"/>
      <c r="D1111" s="5" t="n"/>
      <c r="E1111" s="6">
        <f>IF(A1111="","","B"&amp;TEXT(COUNT($A$2:A1111),"00000"))</f>
        <v/>
      </c>
      <c r="F1111" s="6">
        <f>IF(OR(C1111="",D1111=""),"",IFERROR(LOOKUP(2,1/(($C$1:C1110=C1111)*($D$1:D1110=D1111)*ISNUMBER($J$1:J1110)),$J$1:J1110),SUMIFS(Master!$G$2:$G$13,Master!$E$2:$E$13,C1111,Master!$F$2:$F$13,D1111)))</f>
        <v/>
      </c>
      <c r="G1111" s="5" t="n"/>
      <c r="H1111" s="5" t="n"/>
      <c r="I1111" s="5" t="n"/>
      <c r="J1111" s="6">
        <f>IF(OR(F1111="",COUNT(G1111:I1111)&lt;3),"",F1111+G1111-H1111-I1111)</f>
        <v/>
      </c>
      <c r="K1111" s="6">
        <f>IF(COUNTA(A1111:D1111,G1111:I1111)=0,"",IF(COUNTA(A1111:D1111,G1111:I1111)&lt;7,"LENGKAPI",IF(H1111+I1111&gt;N(F1111)+G1111,"ABNORMAL",IF(COUNTIFS($A$2:$A$2001,A1111,$B$2:$B$2001,B1111,$C$2:$C$2001,C1111,$D$2:$D$2001,D1111)&gt;1,"DUPLIKAT","OK"))))</f>
        <v/>
      </c>
    </row>
    <row r="1112">
      <c r="A1112" s="4" t="n"/>
      <c r="B1112" s="5" t="n"/>
      <c r="C1112" s="5" t="n"/>
      <c r="D1112" s="5" t="n"/>
      <c r="E1112" s="6">
        <f>IF(A1112="","","B"&amp;TEXT(COUNT($A$2:A1112),"00000"))</f>
        <v/>
      </c>
      <c r="F1112" s="6">
        <f>IF(OR(C1112="",D1112=""),"",IFERROR(LOOKUP(2,1/(($C$1:C1111=C1112)*($D$1:D1111=D1112)*ISNUMBER($J$1:J1111)),$J$1:J1111),SUMIFS(Master!$G$2:$G$13,Master!$E$2:$E$13,C1112,Master!$F$2:$F$13,D1112)))</f>
        <v/>
      </c>
      <c r="G1112" s="5" t="n"/>
      <c r="H1112" s="5" t="n"/>
      <c r="I1112" s="5" t="n"/>
      <c r="J1112" s="6">
        <f>IF(OR(F1112="",COUNT(G1112:I1112)&lt;3),"",F1112+G1112-H1112-I1112)</f>
        <v/>
      </c>
      <c r="K1112" s="6">
        <f>IF(COUNTA(A1112:D1112,G1112:I1112)=0,"",IF(COUNTA(A1112:D1112,G1112:I1112)&lt;7,"LENGKAPI",IF(H1112+I1112&gt;N(F1112)+G1112,"ABNORMAL",IF(COUNTIFS($A$2:$A$2001,A1112,$B$2:$B$2001,B1112,$C$2:$C$2001,C1112,$D$2:$D$2001,D1112)&gt;1,"DUPLIKAT","OK"))))</f>
        <v/>
      </c>
    </row>
    <row r="1113">
      <c r="A1113" s="4" t="n"/>
      <c r="B1113" s="5" t="n"/>
      <c r="C1113" s="5" t="n"/>
      <c r="D1113" s="5" t="n"/>
      <c r="E1113" s="6">
        <f>IF(A1113="","","B"&amp;TEXT(COUNT($A$2:A1113),"00000"))</f>
        <v/>
      </c>
      <c r="F1113" s="6">
        <f>IF(OR(C1113="",D1113=""),"",IFERROR(LOOKUP(2,1/(($C$1:C1112=C1113)*($D$1:D1112=D1113)*ISNUMBER($J$1:J1112)),$J$1:J1112),SUMIFS(Master!$G$2:$G$13,Master!$E$2:$E$13,C1113,Master!$F$2:$F$13,D1113)))</f>
        <v/>
      </c>
      <c r="G1113" s="5" t="n"/>
      <c r="H1113" s="5" t="n"/>
      <c r="I1113" s="5" t="n"/>
      <c r="J1113" s="6">
        <f>IF(OR(F1113="",COUNT(G1113:I1113)&lt;3),"",F1113+G1113-H1113-I1113)</f>
        <v/>
      </c>
      <c r="K1113" s="6">
        <f>IF(COUNTA(A1113:D1113,G1113:I1113)=0,"",IF(COUNTA(A1113:D1113,G1113:I1113)&lt;7,"LENGKAPI",IF(H1113+I1113&gt;N(F1113)+G1113,"ABNORMAL",IF(COUNTIFS($A$2:$A$2001,A1113,$B$2:$B$2001,B1113,$C$2:$C$2001,C1113,$D$2:$D$2001,D1113)&gt;1,"DUPLIKAT","OK"))))</f>
        <v/>
      </c>
    </row>
    <row r="1114">
      <c r="A1114" s="4" t="n"/>
      <c r="B1114" s="5" t="n"/>
      <c r="C1114" s="5" t="n"/>
      <c r="D1114" s="5" t="n"/>
      <c r="E1114" s="6">
        <f>IF(A1114="","","B"&amp;TEXT(COUNT($A$2:A1114),"00000"))</f>
        <v/>
      </c>
      <c r="F1114" s="6">
        <f>IF(OR(C1114="",D1114=""),"",IFERROR(LOOKUP(2,1/(($C$1:C1113=C1114)*($D$1:D1113=D1114)*ISNUMBER($J$1:J1113)),$J$1:J1113),SUMIFS(Master!$G$2:$G$13,Master!$E$2:$E$13,C1114,Master!$F$2:$F$13,D1114)))</f>
        <v/>
      </c>
      <c r="G1114" s="5" t="n"/>
      <c r="H1114" s="5" t="n"/>
      <c r="I1114" s="5" t="n"/>
      <c r="J1114" s="6">
        <f>IF(OR(F1114="",COUNT(G1114:I1114)&lt;3),"",F1114+G1114-H1114-I1114)</f>
        <v/>
      </c>
      <c r="K1114" s="6">
        <f>IF(COUNTA(A1114:D1114,G1114:I1114)=0,"",IF(COUNTA(A1114:D1114,G1114:I1114)&lt;7,"LENGKAPI",IF(H1114+I1114&gt;N(F1114)+G1114,"ABNORMAL",IF(COUNTIFS($A$2:$A$2001,A1114,$B$2:$B$2001,B1114,$C$2:$C$2001,C1114,$D$2:$D$2001,D1114)&gt;1,"DUPLIKAT","OK"))))</f>
        <v/>
      </c>
    </row>
    <row r="1115">
      <c r="A1115" s="4" t="n"/>
      <c r="B1115" s="5" t="n"/>
      <c r="C1115" s="5" t="n"/>
      <c r="D1115" s="5" t="n"/>
      <c r="E1115" s="6">
        <f>IF(A1115="","","B"&amp;TEXT(COUNT($A$2:A1115),"00000"))</f>
        <v/>
      </c>
      <c r="F1115" s="6">
        <f>IF(OR(C1115="",D1115=""),"",IFERROR(LOOKUP(2,1/(($C$1:C1114=C1115)*($D$1:D1114=D1115)*ISNUMBER($J$1:J1114)),$J$1:J1114),SUMIFS(Master!$G$2:$G$13,Master!$E$2:$E$13,C1115,Master!$F$2:$F$13,D1115)))</f>
        <v/>
      </c>
      <c r="G1115" s="5" t="n"/>
      <c r="H1115" s="5" t="n"/>
      <c r="I1115" s="5" t="n"/>
      <c r="J1115" s="6">
        <f>IF(OR(F1115="",COUNT(G1115:I1115)&lt;3),"",F1115+G1115-H1115-I1115)</f>
        <v/>
      </c>
      <c r="K1115" s="6">
        <f>IF(COUNTA(A1115:D1115,G1115:I1115)=0,"",IF(COUNTA(A1115:D1115,G1115:I1115)&lt;7,"LENGKAPI",IF(H1115+I1115&gt;N(F1115)+G1115,"ABNORMAL",IF(COUNTIFS($A$2:$A$2001,A1115,$B$2:$B$2001,B1115,$C$2:$C$2001,C1115,$D$2:$D$2001,D1115)&gt;1,"DUPLIKAT","OK"))))</f>
        <v/>
      </c>
    </row>
    <row r="1116">
      <c r="A1116" s="4" t="n"/>
      <c r="B1116" s="5" t="n"/>
      <c r="C1116" s="5" t="n"/>
      <c r="D1116" s="5" t="n"/>
      <c r="E1116" s="6">
        <f>IF(A1116="","","B"&amp;TEXT(COUNT($A$2:A1116),"00000"))</f>
        <v/>
      </c>
      <c r="F1116" s="6">
        <f>IF(OR(C1116="",D1116=""),"",IFERROR(LOOKUP(2,1/(($C$1:C1115=C1116)*($D$1:D1115=D1116)*ISNUMBER($J$1:J1115)),$J$1:J1115),SUMIFS(Master!$G$2:$G$13,Master!$E$2:$E$13,C1116,Master!$F$2:$F$13,D1116)))</f>
        <v/>
      </c>
      <c r="G1116" s="5" t="n"/>
      <c r="H1116" s="5" t="n"/>
      <c r="I1116" s="5" t="n"/>
      <c r="J1116" s="6">
        <f>IF(OR(F1116="",COUNT(G1116:I1116)&lt;3),"",F1116+G1116-H1116-I1116)</f>
        <v/>
      </c>
      <c r="K1116" s="6">
        <f>IF(COUNTA(A1116:D1116,G1116:I1116)=0,"",IF(COUNTA(A1116:D1116,G1116:I1116)&lt;7,"LENGKAPI",IF(H1116+I1116&gt;N(F1116)+G1116,"ABNORMAL",IF(COUNTIFS($A$2:$A$2001,A1116,$B$2:$B$2001,B1116,$C$2:$C$2001,C1116,$D$2:$D$2001,D1116)&gt;1,"DUPLIKAT","OK"))))</f>
        <v/>
      </c>
    </row>
    <row r="1117">
      <c r="A1117" s="4" t="n"/>
      <c r="B1117" s="5" t="n"/>
      <c r="C1117" s="5" t="n"/>
      <c r="D1117" s="5" t="n"/>
      <c r="E1117" s="6">
        <f>IF(A1117="","","B"&amp;TEXT(COUNT($A$2:A1117),"00000"))</f>
        <v/>
      </c>
      <c r="F1117" s="6">
        <f>IF(OR(C1117="",D1117=""),"",IFERROR(LOOKUP(2,1/(($C$1:C1116=C1117)*($D$1:D1116=D1117)*ISNUMBER($J$1:J1116)),$J$1:J1116),SUMIFS(Master!$G$2:$G$13,Master!$E$2:$E$13,C1117,Master!$F$2:$F$13,D1117)))</f>
        <v/>
      </c>
      <c r="G1117" s="5" t="n"/>
      <c r="H1117" s="5" t="n"/>
      <c r="I1117" s="5" t="n"/>
      <c r="J1117" s="6">
        <f>IF(OR(F1117="",COUNT(G1117:I1117)&lt;3),"",F1117+G1117-H1117-I1117)</f>
        <v/>
      </c>
      <c r="K1117" s="6">
        <f>IF(COUNTA(A1117:D1117,G1117:I1117)=0,"",IF(COUNTA(A1117:D1117,G1117:I1117)&lt;7,"LENGKAPI",IF(H1117+I1117&gt;N(F1117)+G1117,"ABNORMAL",IF(COUNTIFS($A$2:$A$2001,A1117,$B$2:$B$2001,B1117,$C$2:$C$2001,C1117,$D$2:$D$2001,D1117)&gt;1,"DUPLIKAT","OK"))))</f>
        <v/>
      </c>
    </row>
    <row r="1118">
      <c r="A1118" s="4" t="n"/>
      <c r="B1118" s="5" t="n"/>
      <c r="C1118" s="5" t="n"/>
      <c r="D1118" s="5" t="n"/>
      <c r="E1118" s="6">
        <f>IF(A1118="","","B"&amp;TEXT(COUNT($A$2:A1118),"00000"))</f>
        <v/>
      </c>
      <c r="F1118" s="6">
        <f>IF(OR(C1118="",D1118=""),"",IFERROR(LOOKUP(2,1/(($C$1:C1117=C1118)*($D$1:D1117=D1118)*ISNUMBER($J$1:J1117)),$J$1:J1117),SUMIFS(Master!$G$2:$G$13,Master!$E$2:$E$13,C1118,Master!$F$2:$F$13,D1118)))</f>
        <v/>
      </c>
      <c r="G1118" s="5" t="n"/>
      <c r="H1118" s="5" t="n"/>
      <c r="I1118" s="5" t="n"/>
      <c r="J1118" s="6">
        <f>IF(OR(F1118="",COUNT(G1118:I1118)&lt;3),"",F1118+G1118-H1118-I1118)</f>
        <v/>
      </c>
      <c r="K1118" s="6">
        <f>IF(COUNTA(A1118:D1118,G1118:I1118)=0,"",IF(COUNTA(A1118:D1118,G1118:I1118)&lt;7,"LENGKAPI",IF(H1118+I1118&gt;N(F1118)+G1118,"ABNORMAL",IF(COUNTIFS($A$2:$A$2001,A1118,$B$2:$B$2001,B1118,$C$2:$C$2001,C1118,$D$2:$D$2001,D1118)&gt;1,"DUPLIKAT","OK"))))</f>
        <v/>
      </c>
    </row>
    <row r="1119">
      <c r="A1119" s="4" t="n"/>
      <c r="B1119" s="5" t="n"/>
      <c r="C1119" s="5" t="n"/>
      <c r="D1119" s="5" t="n"/>
      <c r="E1119" s="6">
        <f>IF(A1119="","","B"&amp;TEXT(COUNT($A$2:A1119),"00000"))</f>
        <v/>
      </c>
      <c r="F1119" s="6">
        <f>IF(OR(C1119="",D1119=""),"",IFERROR(LOOKUP(2,1/(($C$1:C1118=C1119)*($D$1:D1118=D1119)*ISNUMBER($J$1:J1118)),$J$1:J1118),SUMIFS(Master!$G$2:$G$13,Master!$E$2:$E$13,C1119,Master!$F$2:$F$13,D1119)))</f>
        <v/>
      </c>
      <c r="G1119" s="5" t="n"/>
      <c r="H1119" s="5" t="n"/>
      <c r="I1119" s="5" t="n"/>
      <c r="J1119" s="6">
        <f>IF(OR(F1119="",COUNT(G1119:I1119)&lt;3),"",F1119+G1119-H1119-I1119)</f>
        <v/>
      </c>
      <c r="K1119" s="6">
        <f>IF(COUNTA(A1119:D1119,G1119:I1119)=0,"",IF(COUNTA(A1119:D1119,G1119:I1119)&lt;7,"LENGKAPI",IF(H1119+I1119&gt;N(F1119)+G1119,"ABNORMAL",IF(COUNTIFS($A$2:$A$2001,A1119,$B$2:$B$2001,B1119,$C$2:$C$2001,C1119,$D$2:$D$2001,D1119)&gt;1,"DUPLIKAT","OK"))))</f>
        <v/>
      </c>
    </row>
    <row r="1120">
      <c r="A1120" s="4" t="n"/>
      <c r="B1120" s="5" t="n"/>
      <c r="C1120" s="5" t="n"/>
      <c r="D1120" s="5" t="n"/>
      <c r="E1120" s="6">
        <f>IF(A1120="","","B"&amp;TEXT(COUNT($A$2:A1120),"00000"))</f>
        <v/>
      </c>
      <c r="F1120" s="6">
        <f>IF(OR(C1120="",D1120=""),"",IFERROR(LOOKUP(2,1/(($C$1:C1119=C1120)*($D$1:D1119=D1120)*ISNUMBER($J$1:J1119)),$J$1:J1119),SUMIFS(Master!$G$2:$G$13,Master!$E$2:$E$13,C1120,Master!$F$2:$F$13,D1120)))</f>
        <v/>
      </c>
      <c r="G1120" s="5" t="n"/>
      <c r="H1120" s="5" t="n"/>
      <c r="I1120" s="5" t="n"/>
      <c r="J1120" s="6">
        <f>IF(OR(F1120="",COUNT(G1120:I1120)&lt;3),"",F1120+G1120-H1120-I1120)</f>
        <v/>
      </c>
      <c r="K1120" s="6">
        <f>IF(COUNTA(A1120:D1120,G1120:I1120)=0,"",IF(COUNTA(A1120:D1120,G1120:I1120)&lt;7,"LENGKAPI",IF(H1120+I1120&gt;N(F1120)+G1120,"ABNORMAL",IF(COUNTIFS($A$2:$A$2001,A1120,$B$2:$B$2001,B1120,$C$2:$C$2001,C1120,$D$2:$D$2001,D1120)&gt;1,"DUPLIKAT","OK"))))</f>
        <v/>
      </c>
    </row>
    <row r="1121">
      <c r="A1121" s="4" t="n"/>
      <c r="B1121" s="5" t="n"/>
      <c r="C1121" s="5" t="n"/>
      <c r="D1121" s="5" t="n"/>
      <c r="E1121" s="6">
        <f>IF(A1121="","","B"&amp;TEXT(COUNT($A$2:A1121),"00000"))</f>
        <v/>
      </c>
      <c r="F1121" s="6">
        <f>IF(OR(C1121="",D1121=""),"",IFERROR(LOOKUP(2,1/(($C$1:C1120=C1121)*($D$1:D1120=D1121)*ISNUMBER($J$1:J1120)),$J$1:J1120),SUMIFS(Master!$G$2:$G$13,Master!$E$2:$E$13,C1121,Master!$F$2:$F$13,D1121)))</f>
        <v/>
      </c>
      <c r="G1121" s="5" t="n"/>
      <c r="H1121" s="5" t="n"/>
      <c r="I1121" s="5" t="n"/>
      <c r="J1121" s="6">
        <f>IF(OR(F1121="",COUNT(G1121:I1121)&lt;3),"",F1121+G1121-H1121-I1121)</f>
        <v/>
      </c>
      <c r="K1121" s="6">
        <f>IF(COUNTA(A1121:D1121,G1121:I1121)=0,"",IF(COUNTA(A1121:D1121,G1121:I1121)&lt;7,"LENGKAPI",IF(H1121+I1121&gt;N(F1121)+G1121,"ABNORMAL",IF(COUNTIFS($A$2:$A$2001,A1121,$B$2:$B$2001,B1121,$C$2:$C$2001,C1121,$D$2:$D$2001,D1121)&gt;1,"DUPLIKAT","OK"))))</f>
        <v/>
      </c>
    </row>
    <row r="1122">
      <c r="A1122" s="4" t="n"/>
      <c r="B1122" s="5" t="n"/>
      <c r="C1122" s="5" t="n"/>
      <c r="D1122" s="5" t="n"/>
      <c r="E1122" s="6">
        <f>IF(A1122="","","B"&amp;TEXT(COUNT($A$2:A1122),"00000"))</f>
        <v/>
      </c>
      <c r="F1122" s="6">
        <f>IF(OR(C1122="",D1122=""),"",IFERROR(LOOKUP(2,1/(($C$1:C1121=C1122)*($D$1:D1121=D1122)*ISNUMBER($J$1:J1121)),$J$1:J1121),SUMIFS(Master!$G$2:$G$13,Master!$E$2:$E$13,C1122,Master!$F$2:$F$13,D1122)))</f>
        <v/>
      </c>
      <c r="G1122" s="5" t="n"/>
      <c r="H1122" s="5" t="n"/>
      <c r="I1122" s="5" t="n"/>
      <c r="J1122" s="6">
        <f>IF(OR(F1122="",COUNT(G1122:I1122)&lt;3),"",F1122+G1122-H1122-I1122)</f>
        <v/>
      </c>
      <c r="K1122" s="6">
        <f>IF(COUNTA(A1122:D1122,G1122:I1122)=0,"",IF(COUNTA(A1122:D1122,G1122:I1122)&lt;7,"LENGKAPI",IF(H1122+I1122&gt;N(F1122)+G1122,"ABNORMAL",IF(COUNTIFS($A$2:$A$2001,A1122,$B$2:$B$2001,B1122,$C$2:$C$2001,C1122,$D$2:$D$2001,D1122)&gt;1,"DUPLIKAT","OK"))))</f>
        <v/>
      </c>
    </row>
    <row r="1123">
      <c r="A1123" s="4" t="n"/>
      <c r="B1123" s="5" t="n"/>
      <c r="C1123" s="5" t="n"/>
      <c r="D1123" s="5" t="n"/>
      <c r="E1123" s="6">
        <f>IF(A1123="","","B"&amp;TEXT(COUNT($A$2:A1123),"00000"))</f>
        <v/>
      </c>
      <c r="F1123" s="6">
        <f>IF(OR(C1123="",D1123=""),"",IFERROR(LOOKUP(2,1/(($C$1:C1122=C1123)*($D$1:D1122=D1123)*ISNUMBER($J$1:J1122)),$J$1:J1122),SUMIFS(Master!$G$2:$G$13,Master!$E$2:$E$13,C1123,Master!$F$2:$F$13,D1123)))</f>
        <v/>
      </c>
      <c r="G1123" s="5" t="n"/>
      <c r="H1123" s="5" t="n"/>
      <c r="I1123" s="5" t="n"/>
      <c r="J1123" s="6">
        <f>IF(OR(F1123="",COUNT(G1123:I1123)&lt;3),"",F1123+G1123-H1123-I1123)</f>
        <v/>
      </c>
      <c r="K1123" s="6">
        <f>IF(COUNTA(A1123:D1123,G1123:I1123)=0,"",IF(COUNTA(A1123:D1123,G1123:I1123)&lt;7,"LENGKAPI",IF(H1123+I1123&gt;N(F1123)+G1123,"ABNORMAL",IF(COUNTIFS($A$2:$A$2001,A1123,$B$2:$B$2001,B1123,$C$2:$C$2001,C1123,$D$2:$D$2001,D1123)&gt;1,"DUPLIKAT","OK"))))</f>
        <v/>
      </c>
    </row>
    <row r="1124">
      <c r="A1124" s="4" t="n"/>
      <c r="B1124" s="5" t="n"/>
      <c r="C1124" s="5" t="n"/>
      <c r="D1124" s="5" t="n"/>
      <c r="E1124" s="6">
        <f>IF(A1124="","","B"&amp;TEXT(COUNT($A$2:A1124),"00000"))</f>
        <v/>
      </c>
      <c r="F1124" s="6">
        <f>IF(OR(C1124="",D1124=""),"",IFERROR(LOOKUP(2,1/(($C$1:C1123=C1124)*($D$1:D1123=D1124)*ISNUMBER($J$1:J1123)),$J$1:J1123),SUMIFS(Master!$G$2:$G$13,Master!$E$2:$E$13,C1124,Master!$F$2:$F$13,D1124)))</f>
        <v/>
      </c>
      <c r="G1124" s="5" t="n"/>
      <c r="H1124" s="5" t="n"/>
      <c r="I1124" s="5" t="n"/>
      <c r="J1124" s="6">
        <f>IF(OR(F1124="",COUNT(G1124:I1124)&lt;3),"",F1124+G1124-H1124-I1124)</f>
        <v/>
      </c>
      <c r="K1124" s="6">
        <f>IF(COUNTA(A1124:D1124,G1124:I1124)=0,"",IF(COUNTA(A1124:D1124,G1124:I1124)&lt;7,"LENGKAPI",IF(H1124+I1124&gt;N(F1124)+G1124,"ABNORMAL",IF(COUNTIFS($A$2:$A$2001,A1124,$B$2:$B$2001,B1124,$C$2:$C$2001,C1124,$D$2:$D$2001,D1124)&gt;1,"DUPLIKAT","OK"))))</f>
        <v/>
      </c>
    </row>
    <row r="1125">
      <c r="A1125" s="4" t="n"/>
      <c r="B1125" s="5" t="n"/>
      <c r="C1125" s="5" t="n"/>
      <c r="D1125" s="5" t="n"/>
      <c r="E1125" s="6">
        <f>IF(A1125="","","B"&amp;TEXT(COUNT($A$2:A1125),"00000"))</f>
        <v/>
      </c>
      <c r="F1125" s="6">
        <f>IF(OR(C1125="",D1125=""),"",IFERROR(LOOKUP(2,1/(($C$1:C1124=C1125)*($D$1:D1124=D1125)*ISNUMBER($J$1:J1124)),$J$1:J1124),SUMIFS(Master!$G$2:$G$13,Master!$E$2:$E$13,C1125,Master!$F$2:$F$13,D1125)))</f>
        <v/>
      </c>
      <c r="G1125" s="5" t="n"/>
      <c r="H1125" s="5" t="n"/>
      <c r="I1125" s="5" t="n"/>
      <c r="J1125" s="6">
        <f>IF(OR(F1125="",COUNT(G1125:I1125)&lt;3),"",F1125+G1125-H1125-I1125)</f>
        <v/>
      </c>
      <c r="K1125" s="6">
        <f>IF(COUNTA(A1125:D1125,G1125:I1125)=0,"",IF(COUNTA(A1125:D1125,G1125:I1125)&lt;7,"LENGKAPI",IF(H1125+I1125&gt;N(F1125)+G1125,"ABNORMAL",IF(COUNTIFS($A$2:$A$2001,A1125,$B$2:$B$2001,B1125,$C$2:$C$2001,C1125,$D$2:$D$2001,D1125)&gt;1,"DUPLIKAT","OK"))))</f>
        <v/>
      </c>
    </row>
    <row r="1126">
      <c r="A1126" s="4" t="n"/>
      <c r="B1126" s="5" t="n"/>
      <c r="C1126" s="5" t="n"/>
      <c r="D1126" s="5" t="n"/>
      <c r="E1126" s="6">
        <f>IF(A1126="","","B"&amp;TEXT(COUNT($A$2:A1126),"00000"))</f>
        <v/>
      </c>
      <c r="F1126" s="6">
        <f>IF(OR(C1126="",D1126=""),"",IFERROR(LOOKUP(2,1/(($C$1:C1125=C1126)*($D$1:D1125=D1126)*ISNUMBER($J$1:J1125)),$J$1:J1125),SUMIFS(Master!$G$2:$G$13,Master!$E$2:$E$13,C1126,Master!$F$2:$F$13,D1126)))</f>
        <v/>
      </c>
      <c r="G1126" s="5" t="n"/>
      <c r="H1126" s="5" t="n"/>
      <c r="I1126" s="5" t="n"/>
      <c r="J1126" s="6">
        <f>IF(OR(F1126="",COUNT(G1126:I1126)&lt;3),"",F1126+G1126-H1126-I1126)</f>
        <v/>
      </c>
      <c r="K1126" s="6">
        <f>IF(COUNTA(A1126:D1126,G1126:I1126)=0,"",IF(COUNTA(A1126:D1126,G1126:I1126)&lt;7,"LENGKAPI",IF(H1126+I1126&gt;N(F1126)+G1126,"ABNORMAL",IF(COUNTIFS($A$2:$A$2001,A1126,$B$2:$B$2001,B1126,$C$2:$C$2001,C1126,$D$2:$D$2001,D1126)&gt;1,"DUPLIKAT","OK"))))</f>
        <v/>
      </c>
    </row>
    <row r="1127">
      <c r="A1127" s="4" t="n"/>
      <c r="B1127" s="5" t="n"/>
      <c r="C1127" s="5" t="n"/>
      <c r="D1127" s="5" t="n"/>
      <c r="E1127" s="6">
        <f>IF(A1127="","","B"&amp;TEXT(COUNT($A$2:A1127),"00000"))</f>
        <v/>
      </c>
      <c r="F1127" s="6">
        <f>IF(OR(C1127="",D1127=""),"",IFERROR(LOOKUP(2,1/(($C$1:C1126=C1127)*($D$1:D1126=D1127)*ISNUMBER($J$1:J1126)),$J$1:J1126),SUMIFS(Master!$G$2:$G$13,Master!$E$2:$E$13,C1127,Master!$F$2:$F$13,D1127)))</f>
        <v/>
      </c>
      <c r="G1127" s="5" t="n"/>
      <c r="H1127" s="5" t="n"/>
      <c r="I1127" s="5" t="n"/>
      <c r="J1127" s="6">
        <f>IF(OR(F1127="",COUNT(G1127:I1127)&lt;3),"",F1127+G1127-H1127-I1127)</f>
        <v/>
      </c>
      <c r="K1127" s="6">
        <f>IF(COUNTA(A1127:D1127,G1127:I1127)=0,"",IF(COUNTA(A1127:D1127,G1127:I1127)&lt;7,"LENGKAPI",IF(H1127+I1127&gt;N(F1127)+G1127,"ABNORMAL",IF(COUNTIFS($A$2:$A$2001,A1127,$B$2:$B$2001,B1127,$C$2:$C$2001,C1127,$D$2:$D$2001,D1127)&gt;1,"DUPLIKAT","OK"))))</f>
        <v/>
      </c>
    </row>
    <row r="1128">
      <c r="A1128" s="4" t="n"/>
      <c r="B1128" s="5" t="n"/>
      <c r="C1128" s="5" t="n"/>
      <c r="D1128" s="5" t="n"/>
      <c r="E1128" s="6">
        <f>IF(A1128="","","B"&amp;TEXT(COUNT($A$2:A1128),"00000"))</f>
        <v/>
      </c>
      <c r="F1128" s="6">
        <f>IF(OR(C1128="",D1128=""),"",IFERROR(LOOKUP(2,1/(($C$1:C1127=C1128)*($D$1:D1127=D1128)*ISNUMBER($J$1:J1127)),$J$1:J1127),SUMIFS(Master!$G$2:$G$13,Master!$E$2:$E$13,C1128,Master!$F$2:$F$13,D1128)))</f>
        <v/>
      </c>
      <c r="G1128" s="5" t="n"/>
      <c r="H1128" s="5" t="n"/>
      <c r="I1128" s="5" t="n"/>
      <c r="J1128" s="6">
        <f>IF(OR(F1128="",COUNT(G1128:I1128)&lt;3),"",F1128+G1128-H1128-I1128)</f>
        <v/>
      </c>
      <c r="K1128" s="6">
        <f>IF(COUNTA(A1128:D1128,G1128:I1128)=0,"",IF(COUNTA(A1128:D1128,G1128:I1128)&lt;7,"LENGKAPI",IF(H1128+I1128&gt;N(F1128)+G1128,"ABNORMAL",IF(COUNTIFS($A$2:$A$2001,A1128,$B$2:$B$2001,B1128,$C$2:$C$2001,C1128,$D$2:$D$2001,D1128)&gt;1,"DUPLIKAT","OK"))))</f>
        <v/>
      </c>
    </row>
    <row r="1129">
      <c r="A1129" s="4" t="n"/>
      <c r="B1129" s="5" t="n"/>
      <c r="C1129" s="5" t="n"/>
      <c r="D1129" s="5" t="n"/>
      <c r="E1129" s="6">
        <f>IF(A1129="","","B"&amp;TEXT(COUNT($A$2:A1129),"00000"))</f>
        <v/>
      </c>
      <c r="F1129" s="6">
        <f>IF(OR(C1129="",D1129=""),"",IFERROR(LOOKUP(2,1/(($C$1:C1128=C1129)*($D$1:D1128=D1129)*ISNUMBER($J$1:J1128)),$J$1:J1128),SUMIFS(Master!$G$2:$G$13,Master!$E$2:$E$13,C1129,Master!$F$2:$F$13,D1129)))</f>
        <v/>
      </c>
      <c r="G1129" s="5" t="n"/>
      <c r="H1129" s="5" t="n"/>
      <c r="I1129" s="5" t="n"/>
      <c r="J1129" s="6">
        <f>IF(OR(F1129="",COUNT(G1129:I1129)&lt;3),"",F1129+G1129-H1129-I1129)</f>
        <v/>
      </c>
      <c r="K1129" s="6">
        <f>IF(COUNTA(A1129:D1129,G1129:I1129)=0,"",IF(COUNTA(A1129:D1129,G1129:I1129)&lt;7,"LENGKAPI",IF(H1129+I1129&gt;N(F1129)+G1129,"ABNORMAL",IF(COUNTIFS($A$2:$A$2001,A1129,$B$2:$B$2001,B1129,$C$2:$C$2001,C1129,$D$2:$D$2001,D1129)&gt;1,"DUPLIKAT","OK"))))</f>
        <v/>
      </c>
    </row>
    <row r="1130">
      <c r="A1130" s="4" t="n"/>
      <c r="B1130" s="5" t="n"/>
      <c r="C1130" s="5" t="n"/>
      <c r="D1130" s="5" t="n"/>
      <c r="E1130" s="6">
        <f>IF(A1130="","","B"&amp;TEXT(COUNT($A$2:A1130),"00000"))</f>
        <v/>
      </c>
      <c r="F1130" s="6">
        <f>IF(OR(C1130="",D1130=""),"",IFERROR(LOOKUP(2,1/(($C$1:C1129=C1130)*($D$1:D1129=D1130)*ISNUMBER($J$1:J1129)),$J$1:J1129),SUMIFS(Master!$G$2:$G$13,Master!$E$2:$E$13,C1130,Master!$F$2:$F$13,D1130)))</f>
        <v/>
      </c>
      <c r="G1130" s="5" t="n"/>
      <c r="H1130" s="5" t="n"/>
      <c r="I1130" s="5" t="n"/>
      <c r="J1130" s="6">
        <f>IF(OR(F1130="",COUNT(G1130:I1130)&lt;3),"",F1130+G1130-H1130-I1130)</f>
        <v/>
      </c>
      <c r="K1130" s="6">
        <f>IF(COUNTA(A1130:D1130,G1130:I1130)=0,"",IF(COUNTA(A1130:D1130,G1130:I1130)&lt;7,"LENGKAPI",IF(H1130+I1130&gt;N(F1130)+G1130,"ABNORMAL",IF(COUNTIFS($A$2:$A$2001,A1130,$B$2:$B$2001,B1130,$C$2:$C$2001,C1130,$D$2:$D$2001,D1130)&gt;1,"DUPLIKAT","OK"))))</f>
        <v/>
      </c>
    </row>
    <row r="1131">
      <c r="A1131" s="4" t="n"/>
      <c r="B1131" s="5" t="n"/>
      <c r="C1131" s="5" t="n"/>
      <c r="D1131" s="5" t="n"/>
      <c r="E1131" s="6">
        <f>IF(A1131="","","B"&amp;TEXT(COUNT($A$2:A1131),"00000"))</f>
        <v/>
      </c>
      <c r="F1131" s="6">
        <f>IF(OR(C1131="",D1131=""),"",IFERROR(LOOKUP(2,1/(($C$1:C1130=C1131)*($D$1:D1130=D1131)*ISNUMBER($J$1:J1130)),$J$1:J1130),SUMIFS(Master!$G$2:$G$13,Master!$E$2:$E$13,C1131,Master!$F$2:$F$13,D1131)))</f>
        <v/>
      </c>
      <c r="G1131" s="5" t="n"/>
      <c r="H1131" s="5" t="n"/>
      <c r="I1131" s="5" t="n"/>
      <c r="J1131" s="6">
        <f>IF(OR(F1131="",COUNT(G1131:I1131)&lt;3),"",F1131+G1131-H1131-I1131)</f>
        <v/>
      </c>
      <c r="K1131" s="6">
        <f>IF(COUNTA(A1131:D1131,G1131:I1131)=0,"",IF(COUNTA(A1131:D1131,G1131:I1131)&lt;7,"LENGKAPI",IF(H1131+I1131&gt;N(F1131)+G1131,"ABNORMAL",IF(COUNTIFS($A$2:$A$2001,A1131,$B$2:$B$2001,B1131,$C$2:$C$2001,C1131,$D$2:$D$2001,D1131)&gt;1,"DUPLIKAT","OK"))))</f>
        <v/>
      </c>
    </row>
    <row r="1132">
      <c r="A1132" s="4" t="n"/>
      <c r="B1132" s="5" t="n"/>
      <c r="C1132" s="5" t="n"/>
      <c r="D1132" s="5" t="n"/>
      <c r="E1132" s="6">
        <f>IF(A1132="","","B"&amp;TEXT(COUNT($A$2:A1132),"00000"))</f>
        <v/>
      </c>
      <c r="F1132" s="6">
        <f>IF(OR(C1132="",D1132=""),"",IFERROR(LOOKUP(2,1/(($C$1:C1131=C1132)*($D$1:D1131=D1132)*ISNUMBER($J$1:J1131)),$J$1:J1131),SUMIFS(Master!$G$2:$G$13,Master!$E$2:$E$13,C1132,Master!$F$2:$F$13,D1132)))</f>
        <v/>
      </c>
      <c r="G1132" s="5" t="n"/>
      <c r="H1132" s="5" t="n"/>
      <c r="I1132" s="5" t="n"/>
      <c r="J1132" s="6">
        <f>IF(OR(F1132="",COUNT(G1132:I1132)&lt;3),"",F1132+G1132-H1132-I1132)</f>
        <v/>
      </c>
      <c r="K1132" s="6">
        <f>IF(COUNTA(A1132:D1132,G1132:I1132)=0,"",IF(COUNTA(A1132:D1132,G1132:I1132)&lt;7,"LENGKAPI",IF(H1132+I1132&gt;N(F1132)+G1132,"ABNORMAL",IF(COUNTIFS($A$2:$A$2001,A1132,$B$2:$B$2001,B1132,$C$2:$C$2001,C1132,$D$2:$D$2001,D1132)&gt;1,"DUPLIKAT","OK"))))</f>
        <v/>
      </c>
    </row>
    <row r="1133">
      <c r="A1133" s="4" t="n"/>
      <c r="B1133" s="5" t="n"/>
      <c r="C1133" s="5" t="n"/>
      <c r="D1133" s="5" t="n"/>
      <c r="E1133" s="6">
        <f>IF(A1133="","","B"&amp;TEXT(COUNT($A$2:A1133),"00000"))</f>
        <v/>
      </c>
      <c r="F1133" s="6">
        <f>IF(OR(C1133="",D1133=""),"",IFERROR(LOOKUP(2,1/(($C$1:C1132=C1133)*($D$1:D1132=D1133)*ISNUMBER($J$1:J1132)),$J$1:J1132),SUMIFS(Master!$G$2:$G$13,Master!$E$2:$E$13,C1133,Master!$F$2:$F$13,D1133)))</f>
        <v/>
      </c>
      <c r="G1133" s="5" t="n"/>
      <c r="H1133" s="5" t="n"/>
      <c r="I1133" s="5" t="n"/>
      <c r="J1133" s="6">
        <f>IF(OR(F1133="",COUNT(G1133:I1133)&lt;3),"",F1133+G1133-H1133-I1133)</f>
        <v/>
      </c>
      <c r="K1133" s="6">
        <f>IF(COUNTA(A1133:D1133,G1133:I1133)=0,"",IF(COUNTA(A1133:D1133,G1133:I1133)&lt;7,"LENGKAPI",IF(H1133+I1133&gt;N(F1133)+G1133,"ABNORMAL",IF(COUNTIFS($A$2:$A$2001,A1133,$B$2:$B$2001,B1133,$C$2:$C$2001,C1133,$D$2:$D$2001,D1133)&gt;1,"DUPLIKAT","OK"))))</f>
        <v/>
      </c>
    </row>
    <row r="1134">
      <c r="A1134" s="4" t="n"/>
      <c r="B1134" s="5" t="n"/>
      <c r="C1134" s="5" t="n"/>
      <c r="D1134" s="5" t="n"/>
      <c r="E1134" s="6">
        <f>IF(A1134="","","B"&amp;TEXT(COUNT($A$2:A1134),"00000"))</f>
        <v/>
      </c>
      <c r="F1134" s="6">
        <f>IF(OR(C1134="",D1134=""),"",IFERROR(LOOKUP(2,1/(($C$1:C1133=C1134)*($D$1:D1133=D1134)*ISNUMBER($J$1:J1133)),$J$1:J1133),SUMIFS(Master!$G$2:$G$13,Master!$E$2:$E$13,C1134,Master!$F$2:$F$13,D1134)))</f>
        <v/>
      </c>
      <c r="G1134" s="5" t="n"/>
      <c r="H1134" s="5" t="n"/>
      <c r="I1134" s="5" t="n"/>
      <c r="J1134" s="6">
        <f>IF(OR(F1134="",COUNT(G1134:I1134)&lt;3),"",F1134+G1134-H1134-I1134)</f>
        <v/>
      </c>
      <c r="K1134" s="6">
        <f>IF(COUNTA(A1134:D1134,G1134:I1134)=0,"",IF(COUNTA(A1134:D1134,G1134:I1134)&lt;7,"LENGKAPI",IF(H1134+I1134&gt;N(F1134)+G1134,"ABNORMAL",IF(COUNTIFS($A$2:$A$2001,A1134,$B$2:$B$2001,B1134,$C$2:$C$2001,C1134,$D$2:$D$2001,D1134)&gt;1,"DUPLIKAT","OK"))))</f>
        <v/>
      </c>
    </row>
    <row r="1135">
      <c r="A1135" s="4" t="n"/>
      <c r="B1135" s="5" t="n"/>
      <c r="C1135" s="5" t="n"/>
      <c r="D1135" s="5" t="n"/>
      <c r="E1135" s="6">
        <f>IF(A1135="","","B"&amp;TEXT(COUNT($A$2:A1135),"00000"))</f>
        <v/>
      </c>
      <c r="F1135" s="6">
        <f>IF(OR(C1135="",D1135=""),"",IFERROR(LOOKUP(2,1/(($C$1:C1134=C1135)*($D$1:D1134=D1135)*ISNUMBER($J$1:J1134)),$J$1:J1134),SUMIFS(Master!$G$2:$G$13,Master!$E$2:$E$13,C1135,Master!$F$2:$F$13,D1135)))</f>
        <v/>
      </c>
      <c r="G1135" s="5" t="n"/>
      <c r="H1135" s="5" t="n"/>
      <c r="I1135" s="5" t="n"/>
      <c r="J1135" s="6">
        <f>IF(OR(F1135="",COUNT(G1135:I1135)&lt;3),"",F1135+G1135-H1135-I1135)</f>
        <v/>
      </c>
      <c r="K1135" s="6">
        <f>IF(COUNTA(A1135:D1135,G1135:I1135)=0,"",IF(COUNTA(A1135:D1135,G1135:I1135)&lt;7,"LENGKAPI",IF(H1135+I1135&gt;N(F1135)+G1135,"ABNORMAL",IF(COUNTIFS($A$2:$A$2001,A1135,$B$2:$B$2001,B1135,$C$2:$C$2001,C1135,$D$2:$D$2001,D1135)&gt;1,"DUPLIKAT","OK"))))</f>
        <v/>
      </c>
    </row>
    <row r="1136">
      <c r="A1136" s="4" t="n"/>
      <c r="B1136" s="5" t="n"/>
      <c r="C1136" s="5" t="n"/>
      <c r="D1136" s="5" t="n"/>
      <c r="E1136" s="6">
        <f>IF(A1136="","","B"&amp;TEXT(COUNT($A$2:A1136),"00000"))</f>
        <v/>
      </c>
      <c r="F1136" s="6">
        <f>IF(OR(C1136="",D1136=""),"",IFERROR(LOOKUP(2,1/(($C$1:C1135=C1136)*($D$1:D1135=D1136)*ISNUMBER($J$1:J1135)),$J$1:J1135),SUMIFS(Master!$G$2:$G$13,Master!$E$2:$E$13,C1136,Master!$F$2:$F$13,D1136)))</f>
        <v/>
      </c>
      <c r="G1136" s="5" t="n"/>
      <c r="H1136" s="5" t="n"/>
      <c r="I1136" s="5" t="n"/>
      <c r="J1136" s="6">
        <f>IF(OR(F1136="",COUNT(G1136:I1136)&lt;3),"",F1136+G1136-H1136-I1136)</f>
        <v/>
      </c>
      <c r="K1136" s="6">
        <f>IF(COUNTA(A1136:D1136,G1136:I1136)=0,"",IF(COUNTA(A1136:D1136,G1136:I1136)&lt;7,"LENGKAPI",IF(H1136+I1136&gt;N(F1136)+G1136,"ABNORMAL",IF(COUNTIFS($A$2:$A$2001,A1136,$B$2:$B$2001,B1136,$C$2:$C$2001,C1136,$D$2:$D$2001,D1136)&gt;1,"DUPLIKAT","OK"))))</f>
        <v/>
      </c>
    </row>
    <row r="1137">
      <c r="A1137" s="4" t="n"/>
      <c r="B1137" s="5" t="n"/>
      <c r="C1137" s="5" t="n"/>
      <c r="D1137" s="5" t="n"/>
      <c r="E1137" s="6">
        <f>IF(A1137="","","B"&amp;TEXT(COUNT($A$2:A1137),"00000"))</f>
        <v/>
      </c>
      <c r="F1137" s="6">
        <f>IF(OR(C1137="",D1137=""),"",IFERROR(LOOKUP(2,1/(($C$1:C1136=C1137)*($D$1:D1136=D1137)*ISNUMBER($J$1:J1136)),$J$1:J1136),SUMIFS(Master!$G$2:$G$13,Master!$E$2:$E$13,C1137,Master!$F$2:$F$13,D1137)))</f>
        <v/>
      </c>
      <c r="G1137" s="5" t="n"/>
      <c r="H1137" s="5" t="n"/>
      <c r="I1137" s="5" t="n"/>
      <c r="J1137" s="6">
        <f>IF(OR(F1137="",COUNT(G1137:I1137)&lt;3),"",F1137+G1137-H1137-I1137)</f>
        <v/>
      </c>
      <c r="K1137" s="6">
        <f>IF(COUNTA(A1137:D1137,G1137:I1137)=0,"",IF(COUNTA(A1137:D1137,G1137:I1137)&lt;7,"LENGKAPI",IF(H1137+I1137&gt;N(F1137)+G1137,"ABNORMAL",IF(COUNTIFS($A$2:$A$2001,A1137,$B$2:$B$2001,B1137,$C$2:$C$2001,C1137,$D$2:$D$2001,D1137)&gt;1,"DUPLIKAT","OK"))))</f>
        <v/>
      </c>
    </row>
    <row r="1138">
      <c r="A1138" s="4" t="n"/>
      <c r="B1138" s="5" t="n"/>
      <c r="C1138" s="5" t="n"/>
      <c r="D1138" s="5" t="n"/>
      <c r="E1138" s="6">
        <f>IF(A1138="","","B"&amp;TEXT(COUNT($A$2:A1138),"00000"))</f>
        <v/>
      </c>
      <c r="F1138" s="6">
        <f>IF(OR(C1138="",D1138=""),"",IFERROR(LOOKUP(2,1/(($C$1:C1137=C1138)*($D$1:D1137=D1138)*ISNUMBER($J$1:J1137)),$J$1:J1137),SUMIFS(Master!$G$2:$G$13,Master!$E$2:$E$13,C1138,Master!$F$2:$F$13,D1138)))</f>
        <v/>
      </c>
      <c r="G1138" s="5" t="n"/>
      <c r="H1138" s="5" t="n"/>
      <c r="I1138" s="5" t="n"/>
      <c r="J1138" s="6">
        <f>IF(OR(F1138="",COUNT(G1138:I1138)&lt;3),"",F1138+G1138-H1138-I1138)</f>
        <v/>
      </c>
      <c r="K1138" s="6">
        <f>IF(COUNTA(A1138:D1138,G1138:I1138)=0,"",IF(COUNTA(A1138:D1138,G1138:I1138)&lt;7,"LENGKAPI",IF(H1138+I1138&gt;N(F1138)+G1138,"ABNORMAL",IF(COUNTIFS($A$2:$A$2001,A1138,$B$2:$B$2001,B1138,$C$2:$C$2001,C1138,$D$2:$D$2001,D1138)&gt;1,"DUPLIKAT","OK"))))</f>
        <v/>
      </c>
    </row>
    <row r="1139">
      <c r="A1139" s="4" t="n"/>
      <c r="B1139" s="5" t="n"/>
      <c r="C1139" s="5" t="n"/>
      <c r="D1139" s="5" t="n"/>
      <c r="E1139" s="6">
        <f>IF(A1139="","","B"&amp;TEXT(COUNT($A$2:A1139),"00000"))</f>
        <v/>
      </c>
      <c r="F1139" s="6">
        <f>IF(OR(C1139="",D1139=""),"",IFERROR(LOOKUP(2,1/(($C$1:C1138=C1139)*($D$1:D1138=D1139)*ISNUMBER($J$1:J1138)),$J$1:J1138),SUMIFS(Master!$G$2:$G$13,Master!$E$2:$E$13,C1139,Master!$F$2:$F$13,D1139)))</f>
        <v/>
      </c>
      <c r="G1139" s="5" t="n"/>
      <c r="H1139" s="5" t="n"/>
      <c r="I1139" s="5" t="n"/>
      <c r="J1139" s="6">
        <f>IF(OR(F1139="",COUNT(G1139:I1139)&lt;3),"",F1139+G1139-H1139-I1139)</f>
        <v/>
      </c>
      <c r="K1139" s="6">
        <f>IF(COUNTA(A1139:D1139,G1139:I1139)=0,"",IF(COUNTA(A1139:D1139,G1139:I1139)&lt;7,"LENGKAPI",IF(H1139+I1139&gt;N(F1139)+G1139,"ABNORMAL",IF(COUNTIFS($A$2:$A$2001,A1139,$B$2:$B$2001,B1139,$C$2:$C$2001,C1139,$D$2:$D$2001,D1139)&gt;1,"DUPLIKAT","OK"))))</f>
        <v/>
      </c>
    </row>
    <row r="1140">
      <c r="A1140" s="4" t="n"/>
      <c r="B1140" s="5" t="n"/>
      <c r="C1140" s="5" t="n"/>
      <c r="D1140" s="5" t="n"/>
      <c r="E1140" s="6">
        <f>IF(A1140="","","B"&amp;TEXT(COUNT($A$2:A1140),"00000"))</f>
        <v/>
      </c>
      <c r="F1140" s="6">
        <f>IF(OR(C1140="",D1140=""),"",IFERROR(LOOKUP(2,1/(($C$1:C1139=C1140)*($D$1:D1139=D1140)*ISNUMBER($J$1:J1139)),$J$1:J1139),SUMIFS(Master!$G$2:$G$13,Master!$E$2:$E$13,C1140,Master!$F$2:$F$13,D1140)))</f>
        <v/>
      </c>
      <c r="G1140" s="5" t="n"/>
      <c r="H1140" s="5" t="n"/>
      <c r="I1140" s="5" t="n"/>
      <c r="J1140" s="6">
        <f>IF(OR(F1140="",COUNT(G1140:I1140)&lt;3),"",F1140+G1140-H1140-I1140)</f>
        <v/>
      </c>
      <c r="K1140" s="6">
        <f>IF(COUNTA(A1140:D1140,G1140:I1140)=0,"",IF(COUNTA(A1140:D1140,G1140:I1140)&lt;7,"LENGKAPI",IF(H1140+I1140&gt;N(F1140)+G1140,"ABNORMAL",IF(COUNTIFS($A$2:$A$2001,A1140,$B$2:$B$2001,B1140,$C$2:$C$2001,C1140,$D$2:$D$2001,D1140)&gt;1,"DUPLIKAT","OK"))))</f>
        <v/>
      </c>
    </row>
    <row r="1141">
      <c r="A1141" s="4" t="n"/>
      <c r="B1141" s="5" t="n"/>
      <c r="C1141" s="5" t="n"/>
      <c r="D1141" s="5" t="n"/>
      <c r="E1141" s="6">
        <f>IF(A1141="","","B"&amp;TEXT(COUNT($A$2:A1141),"00000"))</f>
        <v/>
      </c>
      <c r="F1141" s="6">
        <f>IF(OR(C1141="",D1141=""),"",IFERROR(LOOKUP(2,1/(($C$1:C1140=C1141)*($D$1:D1140=D1141)*ISNUMBER($J$1:J1140)),$J$1:J1140),SUMIFS(Master!$G$2:$G$13,Master!$E$2:$E$13,C1141,Master!$F$2:$F$13,D1141)))</f>
        <v/>
      </c>
      <c r="G1141" s="5" t="n"/>
      <c r="H1141" s="5" t="n"/>
      <c r="I1141" s="5" t="n"/>
      <c r="J1141" s="6">
        <f>IF(OR(F1141="",COUNT(G1141:I1141)&lt;3),"",F1141+G1141-H1141-I1141)</f>
        <v/>
      </c>
      <c r="K1141" s="6">
        <f>IF(COUNTA(A1141:D1141,G1141:I1141)=0,"",IF(COUNTA(A1141:D1141,G1141:I1141)&lt;7,"LENGKAPI",IF(H1141+I1141&gt;N(F1141)+G1141,"ABNORMAL",IF(COUNTIFS($A$2:$A$2001,A1141,$B$2:$B$2001,B1141,$C$2:$C$2001,C1141,$D$2:$D$2001,D1141)&gt;1,"DUPLIKAT","OK"))))</f>
        <v/>
      </c>
    </row>
    <row r="1142">
      <c r="A1142" s="4" t="n"/>
      <c r="B1142" s="5" t="n"/>
      <c r="C1142" s="5" t="n"/>
      <c r="D1142" s="5" t="n"/>
      <c r="E1142" s="6">
        <f>IF(A1142="","","B"&amp;TEXT(COUNT($A$2:A1142),"00000"))</f>
        <v/>
      </c>
      <c r="F1142" s="6">
        <f>IF(OR(C1142="",D1142=""),"",IFERROR(LOOKUP(2,1/(($C$1:C1141=C1142)*($D$1:D1141=D1142)*ISNUMBER($J$1:J1141)),$J$1:J1141),SUMIFS(Master!$G$2:$G$13,Master!$E$2:$E$13,C1142,Master!$F$2:$F$13,D1142)))</f>
        <v/>
      </c>
      <c r="G1142" s="5" t="n"/>
      <c r="H1142" s="5" t="n"/>
      <c r="I1142" s="5" t="n"/>
      <c r="J1142" s="6">
        <f>IF(OR(F1142="",COUNT(G1142:I1142)&lt;3),"",F1142+G1142-H1142-I1142)</f>
        <v/>
      </c>
      <c r="K1142" s="6">
        <f>IF(COUNTA(A1142:D1142,G1142:I1142)=0,"",IF(COUNTA(A1142:D1142,G1142:I1142)&lt;7,"LENGKAPI",IF(H1142+I1142&gt;N(F1142)+G1142,"ABNORMAL",IF(COUNTIFS($A$2:$A$2001,A1142,$B$2:$B$2001,B1142,$C$2:$C$2001,C1142,$D$2:$D$2001,D1142)&gt;1,"DUPLIKAT","OK"))))</f>
        <v/>
      </c>
    </row>
    <row r="1143">
      <c r="A1143" s="4" t="n"/>
      <c r="B1143" s="5" t="n"/>
      <c r="C1143" s="5" t="n"/>
      <c r="D1143" s="5" t="n"/>
      <c r="E1143" s="6">
        <f>IF(A1143="","","B"&amp;TEXT(COUNT($A$2:A1143),"00000"))</f>
        <v/>
      </c>
      <c r="F1143" s="6">
        <f>IF(OR(C1143="",D1143=""),"",IFERROR(LOOKUP(2,1/(($C$1:C1142=C1143)*($D$1:D1142=D1143)*ISNUMBER($J$1:J1142)),$J$1:J1142),SUMIFS(Master!$G$2:$G$13,Master!$E$2:$E$13,C1143,Master!$F$2:$F$13,D1143)))</f>
        <v/>
      </c>
      <c r="G1143" s="5" t="n"/>
      <c r="H1143" s="5" t="n"/>
      <c r="I1143" s="5" t="n"/>
      <c r="J1143" s="6">
        <f>IF(OR(F1143="",COUNT(G1143:I1143)&lt;3),"",F1143+G1143-H1143-I1143)</f>
        <v/>
      </c>
      <c r="K1143" s="6">
        <f>IF(COUNTA(A1143:D1143,G1143:I1143)=0,"",IF(COUNTA(A1143:D1143,G1143:I1143)&lt;7,"LENGKAPI",IF(H1143+I1143&gt;N(F1143)+G1143,"ABNORMAL",IF(COUNTIFS($A$2:$A$2001,A1143,$B$2:$B$2001,B1143,$C$2:$C$2001,C1143,$D$2:$D$2001,D1143)&gt;1,"DUPLIKAT","OK"))))</f>
        <v/>
      </c>
    </row>
    <row r="1144">
      <c r="A1144" s="4" t="n"/>
      <c r="B1144" s="5" t="n"/>
      <c r="C1144" s="5" t="n"/>
      <c r="D1144" s="5" t="n"/>
      <c r="E1144" s="6">
        <f>IF(A1144="","","B"&amp;TEXT(COUNT($A$2:A1144),"00000"))</f>
        <v/>
      </c>
      <c r="F1144" s="6">
        <f>IF(OR(C1144="",D1144=""),"",IFERROR(LOOKUP(2,1/(($C$1:C1143=C1144)*($D$1:D1143=D1144)*ISNUMBER($J$1:J1143)),$J$1:J1143),SUMIFS(Master!$G$2:$G$13,Master!$E$2:$E$13,C1144,Master!$F$2:$F$13,D1144)))</f>
        <v/>
      </c>
      <c r="G1144" s="5" t="n"/>
      <c r="H1144" s="5" t="n"/>
      <c r="I1144" s="5" t="n"/>
      <c r="J1144" s="6">
        <f>IF(OR(F1144="",COUNT(G1144:I1144)&lt;3),"",F1144+G1144-H1144-I1144)</f>
        <v/>
      </c>
      <c r="K1144" s="6">
        <f>IF(COUNTA(A1144:D1144,G1144:I1144)=0,"",IF(COUNTA(A1144:D1144,G1144:I1144)&lt;7,"LENGKAPI",IF(H1144+I1144&gt;N(F1144)+G1144,"ABNORMAL",IF(COUNTIFS($A$2:$A$2001,A1144,$B$2:$B$2001,B1144,$C$2:$C$2001,C1144,$D$2:$D$2001,D1144)&gt;1,"DUPLIKAT","OK"))))</f>
        <v/>
      </c>
    </row>
    <row r="1145">
      <c r="A1145" s="4" t="n"/>
      <c r="B1145" s="5" t="n"/>
      <c r="C1145" s="5" t="n"/>
      <c r="D1145" s="5" t="n"/>
      <c r="E1145" s="6">
        <f>IF(A1145="","","B"&amp;TEXT(COUNT($A$2:A1145),"00000"))</f>
        <v/>
      </c>
      <c r="F1145" s="6">
        <f>IF(OR(C1145="",D1145=""),"",IFERROR(LOOKUP(2,1/(($C$1:C1144=C1145)*($D$1:D1144=D1145)*ISNUMBER($J$1:J1144)),$J$1:J1144),SUMIFS(Master!$G$2:$G$13,Master!$E$2:$E$13,C1145,Master!$F$2:$F$13,D1145)))</f>
        <v/>
      </c>
      <c r="G1145" s="5" t="n"/>
      <c r="H1145" s="5" t="n"/>
      <c r="I1145" s="5" t="n"/>
      <c r="J1145" s="6">
        <f>IF(OR(F1145="",COUNT(G1145:I1145)&lt;3),"",F1145+G1145-H1145-I1145)</f>
        <v/>
      </c>
      <c r="K1145" s="6">
        <f>IF(COUNTA(A1145:D1145,G1145:I1145)=0,"",IF(COUNTA(A1145:D1145,G1145:I1145)&lt;7,"LENGKAPI",IF(H1145+I1145&gt;N(F1145)+G1145,"ABNORMAL",IF(COUNTIFS($A$2:$A$2001,A1145,$B$2:$B$2001,B1145,$C$2:$C$2001,C1145,$D$2:$D$2001,D1145)&gt;1,"DUPLIKAT","OK"))))</f>
        <v/>
      </c>
    </row>
    <row r="1146">
      <c r="A1146" s="4" t="n"/>
      <c r="B1146" s="5" t="n"/>
      <c r="C1146" s="5" t="n"/>
      <c r="D1146" s="5" t="n"/>
      <c r="E1146" s="6">
        <f>IF(A1146="","","B"&amp;TEXT(COUNT($A$2:A1146),"00000"))</f>
        <v/>
      </c>
      <c r="F1146" s="6">
        <f>IF(OR(C1146="",D1146=""),"",IFERROR(LOOKUP(2,1/(($C$1:C1145=C1146)*($D$1:D1145=D1146)*ISNUMBER($J$1:J1145)),$J$1:J1145),SUMIFS(Master!$G$2:$G$13,Master!$E$2:$E$13,C1146,Master!$F$2:$F$13,D1146)))</f>
        <v/>
      </c>
      <c r="G1146" s="5" t="n"/>
      <c r="H1146" s="5" t="n"/>
      <c r="I1146" s="5" t="n"/>
      <c r="J1146" s="6">
        <f>IF(OR(F1146="",COUNT(G1146:I1146)&lt;3),"",F1146+G1146-H1146-I1146)</f>
        <v/>
      </c>
      <c r="K1146" s="6">
        <f>IF(COUNTA(A1146:D1146,G1146:I1146)=0,"",IF(COUNTA(A1146:D1146,G1146:I1146)&lt;7,"LENGKAPI",IF(H1146+I1146&gt;N(F1146)+G1146,"ABNORMAL",IF(COUNTIFS($A$2:$A$2001,A1146,$B$2:$B$2001,B1146,$C$2:$C$2001,C1146,$D$2:$D$2001,D1146)&gt;1,"DUPLIKAT","OK"))))</f>
        <v/>
      </c>
    </row>
    <row r="1147">
      <c r="A1147" s="4" t="n"/>
      <c r="B1147" s="5" t="n"/>
      <c r="C1147" s="5" t="n"/>
      <c r="D1147" s="5" t="n"/>
      <c r="E1147" s="6">
        <f>IF(A1147="","","B"&amp;TEXT(COUNT($A$2:A1147),"00000"))</f>
        <v/>
      </c>
      <c r="F1147" s="6">
        <f>IF(OR(C1147="",D1147=""),"",IFERROR(LOOKUP(2,1/(($C$1:C1146=C1147)*($D$1:D1146=D1147)*ISNUMBER($J$1:J1146)),$J$1:J1146),SUMIFS(Master!$G$2:$G$13,Master!$E$2:$E$13,C1147,Master!$F$2:$F$13,D1147)))</f>
        <v/>
      </c>
      <c r="G1147" s="5" t="n"/>
      <c r="H1147" s="5" t="n"/>
      <c r="I1147" s="5" t="n"/>
      <c r="J1147" s="6">
        <f>IF(OR(F1147="",COUNT(G1147:I1147)&lt;3),"",F1147+G1147-H1147-I1147)</f>
        <v/>
      </c>
      <c r="K1147" s="6">
        <f>IF(COUNTA(A1147:D1147,G1147:I1147)=0,"",IF(COUNTA(A1147:D1147,G1147:I1147)&lt;7,"LENGKAPI",IF(H1147+I1147&gt;N(F1147)+G1147,"ABNORMAL",IF(COUNTIFS($A$2:$A$2001,A1147,$B$2:$B$2001,B1147,$C$2:$C$2001,C1147,$D$2:$D$2001,D1147)&gt;1,"DUPLIKAT","OK"))))</f>
        <v/>
      </c>
    </row>
    <row r="1148">
      <c r="A1148" s="4" t="n"/>
      <c r="B1148" s="5" t="n"/>
      <c r="C1148" s="5" t="n"/>
      <c r="D1148" s="5" t="n"/>
      <c r="E1148" s="6">
        <f>IF(A1148="","","B"&amp;TEXT(COUNT($A$2:A1148),"00000"))</f>
        <v/>
      </c>
      <c r="F1148" s="6">
        <f>IF(OR(C1148="",D1148=""),"",IFERROR(LOOKUP(2,1/(($C$1:C1147=C1148)*($D$1:D1147=D1148)*ISNUMBER($J$1:J1147)),$J$1:J1147),SUMIFS(Master!$G$2:$G$13,Master!$E$2:$E$13,C1148,Master!$F$2:$F$13,D1148)))</f>
        <v/>
      </c>
      <c r="G1148" s="5" t="n"/>
      <c r="H1148" s="5" t="n"/>
      <c r="I1148" s="5" t="n"/>
      <c r="J1148" s="6">
        <f>IF(OR(F1148="",COUNT(G1148:I1148)&lt;3),"",F1148+G1148-H1148-I1148)</f>
        <v/>
      </c>
      <c r="K1148" s="6">
        <f>IF(COUNTA(A1148:D1148,G1148:I1148)=0,"",IF(COUNTA(A1148:D1148,G1148:I1148)&lt;7,"LENGKAPI",IF(H1148+I1148&gt;N(F1148)+G1148,"ABNORMAL",IF(COUNTIFS($A$2:$A$2001,A1148,$B$2:$B$2001,B1148,$C$2:$C$2001,C1148,$D$2:$D$2001,D1148)&gt;1,"DUPLIKAT","OK"))))</f>
        <v/>
      </c>
    </row>
    <row r="1149">
      <c r="A1149" s="4" t="n"/>
      <c r="B1149" s="5" t="n"/>
      <c r="C1149" s="5" t="n"/>
      <c r="D1149" s="5" t="n"/>
      <c r="E1149" s="6">
        <f>IF(A1149="","","B"&amp;TEXT(COUNT($A$2:A1149),"00000"))</f>
        <v/>
      </c>
      <c r="F1149" s="6">
        <f>IF(OR(C1149="",D1149=""),"",IFERROR(LOOKUP(2,1/(($C$1:C1148=C1149)*($D$1:D1148=D1149)*ISNUMBER($J$1:J1148)),$J$1:J1148),SUMIFS(Master!$G$2:$G$13,Master!$E$2:$E$13,C1149,Master!$F$2:$F$13,D1149)))</f>
        <v/>
      </c>
      <c r="G1149" s="5" t="n"/>
      <c r="H1149" s="5" t="n"/>
      <c r="I1149" s="5" t="n"/>
      <c r="J1149" s="6">
        <f>IF(OR(F1149="",COUNT(G1149:I1149)&lt;3),"",F1149+G1149-H1149-I1149)</f>
        <v/>
      </c>
      <c r="K1149" s="6">
        <f>IF(COUNTA(A1149:D1149,G1149:I1149)=0,"",IF(COUNTA(A1149:D1149,G1149:I1149)&lt;7,"LENGKAPI",IF(H1149+I1149&gt;N(F1149)+G1149,"ABNORMAL",IF(COUNTIFS($A$2:$A$2001,A1149,$B$2:$B$2001,B1149,$C$2:$C$2001,C1149,$D$2:$D$2001,D1149)&gt;1,"DUPLIKAT","OK"))))</f>
        <v/>
      </c>
    </row>
    <row r="1150">
      <c r="A1150" s="4" t="n"/>
      <c r="B1150" s="5" t="n"/>
      <c r="C1150" s="5" t="n"/>
      <c r="D1150" s="5" t="n"/>
      <c r="E1150" s="6">
        <f>IF(A1150="","","B"&amp;TEXT(COUNT($A$2:A1150),"00000"))</f>
        <v/>
      </c>
      <c r="F1150" s="6">
        <f>IF(OR(C1150="",D1150=""),"",IFERROR(LOOKUP(2,1/(($C$1:C1149=C1150)*($D$1:D1149=D1150)*ISNUMBER($J$1:J1149)),$J$1:J1149),SUMIFS(Master!$G$2:$G$13,Master!$E$2:$E$13,C1150,Master!$F$2:$F$13,D1150)))</f>
        <v/>
      </c>
      <c r="G1150" s="5" t="n"/>
      <c r="H1150" s="5" t="n"/>
      <c r="I1150" s="5" t="n"/>
      <c r="J1150" s="6">
        <f>IF(OR(F1150="",COUNT(G1150:I1150)&lt;3),"",F1150+G1150-H1150-I1150)</f>
        <v/>
      </c>
      <c r="K1150" s="6">
        <f>IF(COUNTA(A1150:D1150,G1150:I1150)=0,"",IF(COUNTA(A1150:D1150,G1150:I1150)&lt;7,"LENGKAPI",IF(H1150+I1150&gt;N(F1150)+G1150,"ABNORMAL",IF(COUNTIFS($A$2:$A$2001,A1150,$B$2:$B$2001,B1150,$C$2:$C$2001,C1150,$D$2:$D$2001,D1150)&gt;1,"DUPLIKAT","OK"))))</f>
        <v/>
      </c>
    </row>
    <row r="1151">
      <c r="A1151" s="4" t="n"/>
      <c r="B1151" s="5" t="n"/>
      <c r="C1151" s="5" t="n"/>
      <c r="D1151" s="5" t="n"/>
      <c r="E1151" s="6">
        <f>IF(A1151="","","B"&amp;TEXT(COUNT($A$2:A1151),"00000"))</f>
        <v/>
      </c>
      <c r="F1151" s="6">
        <f>IF(OR(C1151="",D1151=""),"",IFERROR(LOOKUP(2,1/(($C$1:C1150=C1151)*($D$1:D1150=D1151)*ISNUMBER($J$1:J1150)),$J$1:J1150),SUMIFS(Master!$G$2:$G$13,Master!$E$2:$E$13,C1151,Master!$F$2:$F$13,D1151)))</f>
        <v/>
      </c>
      <c r="G1151" s="5" t="n"/>
      <c r="H1151" s="5" t="n"/>
      <c r="I1151" s="5" t="n"/>
      <c r="J1151" s="6">
        <f>IF(OR(F1151="",COUNT(G1151:I1151)&lt;3),"",F1151+G1151-H1151-I1151)</f>
        <v/>
      </c>
      <c r="K1151" s="6">
        <f>IF(COUNTA(A1151:D1151,G1151:I1151)=0,"",IF(COUNTA(A1151:D1151,G1151:I1151)&lt;7,"LENGKAPI",IF(H1151+I1151&gt;N(F1151)+G1151,"ABNORMAL",IF(COUNTIFS($A$2:$A$2001,A1151,$B$2:$B$2001,B1151,$C$2:$C$2001,C1151,$D$2:$D$2001,D1151)&gt;1,"DUPLIKAT","OK"))))</f>
        <v/>
      </c>
    </row>
    <row r="1152">
      <c r="A1152" s="4" t="n"/>
      <c r="B1152" s="5" t="n"/>
      <c r="C1152" s="5" t="n"/>
      <c r="D1152" s="5" t="n"/>
      <c r="E1152" s="6">
        <f>IF(A1152="","","B"&amp;TEXT(COUNT($A$2:A1152),"00000"))</f>
        <v/>
      </c>
      <c r="F1152" s="6">
        <f>IF(OR(C1152="",D1152=""),"",IFERROR(LOOKUP(2,1/(($C$1:C1151=C1152)*($D$1:D1151=D1152)*ISNUMBER($J$1:J1151)),$J$1:J1151),SUMIFS(Master!$G$2:$G$13,Master!$E$2:$E$13,C1152,Master!$F$2:$F$13,D1152)))</f>
        <v/>
      </c>
      <c r="G1152" s="5" t="n"/>
      <c r="H1152" s="5" t="n"/>
      <c r="I1152" s="5" t="n"/>
      <c r="J1152" s="6">
        <f>IF(OR(F1152="",COUNT(G1152:I1152)&lt;3),"",F1152+G1152-H1152-I1152)</f>
        <v/>
      </c>
      <c r="K1152" s="6">
        <f>IF(COUNTA(A1152:D1152,G1152:I1152)=0,"",IF(COUNTA(A1152:D1152,G1152:I1152)&lt;7,"LENGKAPI",IF(H1152+I1152&gt;N(F1152)+G1152,"ABNORMAL",IF(COUNTIFS($A$2:$A$2001,A1152,$B$2:$B$2001,B1152,$C$2:$C$2001,C1152,$D$2:$D$2001,D1152)&gt;1,"DUPLIKAT","OK"))))</f>
        <v/>
      </c>
    </row>
    <row r="1153">
      <c r="A1153" s="4" t="n"/>
      <c r="B1153" s="5" t="n"/>
      <c r="C1153" s="5" t="n"/>
      <c r="D1153" s="5" t="n"/>
      <c r="E1153" s="6">
        <f>IF(A1153="","","B"&amp;TEXT(COUNT($A$2:A1153),"00000"))</f>
        <v/>
      </c>
      <c r="F1153" s="6">
        <f>IF(OR(C1153="",D1153=""),"",IFERROR(LOOKUP(2,1/(($C$1:C1152=C1153)*($D$1:D1152=D1153)*ISNUMBER($J$1:J1152)),$J$1:J1152),SUMIFS(Master!$G$2:$G$13,Master!$E$2:$E$13,C1153,Master!$F$2:$F$13,D1153)))</f>
        <v/>
      </c>
      <c r="G1153" s="5" t="n"/>
      <c r="H1153" s="5" t="n"/>
      <c r="I1153" s="5" t="n"/>
      <c r="J1153" s="6">
        <f>IF(OR(F1153="",COUNT(G1153:I1153)&lt;3),"",F1153+G1153-H1153-I1153)</f>
        <v/>
      </c>
      <c r="K1153" s="6">
        <f>IF(COUNTA(A1153:D1153,G1153:I1153)=0,"",IF(COUNTA(A1153:D1153,G1153:I1153)&lt;7,"LENGKAPI",IF(H1153+I1153&gt;N(F1153)+G1153,"ABNORMAL",IF(COUNTIFS($A$2:$A$2001,A1153,$B$2:$B$2001,B1153,$C$2:$C$2001,C1153,$D$2:$D$2001,D1153)&gt;1,"DUPLIKAT","OK"))))</f>
        <v/>
      </c>
    </row>
    <row r="1154">
      <c r="A1154" s="4" t="n"/>
      <c r="B1154" s="5" t="n"/>
      <c r="C1154" s="5" t="n"/>
      <c r="D1154" s="5" t="n"/>
      <c r="E1154" s="6">
        <f>IF(A1154="","","B"&amp;TEXT(COUNT($A$2:A1154),"00000"))</f>
        <v/>
      </c>
      <c r="F1154" s="6">
        <f>IF(OR(C1154="",D1154=""),"",IFERROR(LOOKUP(2,1/(($C$1:C1153=C1154)*($D$1:D1153=D1154)*ISNUMBER($J$1:J1153)),$J$1:J1153),SUMIFS(Master!$G$2:$G$13,Master!$E$2:$E$13,C1154,Master!$F$2:$F$13,D1154)))</f>
        <v/>
      </c>
      <c r="G1154" s="5" t="n"/>
      <c r="H1154" s="5" t="n"/>
      <c r="I1154" s="5" t="n"/>
      <c r="J1154" s="6">
        <f>IF(OR(F1154="",COUNT(G1154:I1154)&lt;3),"",F1154+G1154-H1154-I1154)</f>
        <v/>
      </c>
      <c r="K1154" s="6">
        <f>IF(COUNTA(A1154:D1154,G1154:I1154)=0,"",IF(COUNTA(A1154:D1154,G1154:I1154)&lt;7,"LENGKAPI",IF(H1154+I1154&gt;N(F1154)+G1154,"ABNORMAL",IF(COUNTIFS($A$2:$A$2001,A1154,$B$2:$B$2001,B1154,$C$2:$C$2001,C1154,$D$2:$D$2001,D1154)&gt;1,"DUPLIKAT","OK"))))</f>
        <v/>
      </c>
    </row>
    <row r="1155">
      <c r="A1155" s="4" t="n"/>
      <c r="B1155" s="5" t="n"/>
      <c r="C1155" s="5" t="n"/>
      <c r="D1155" s="5" t="n"/>
      <c r="E1155" s="6">
        <f>IF(A1155="","","B"&amp;TEXT(COUNT($A$2:A1155),"00000"))</f>
        <v/>
      </c>
      <c r="F1155" s="6">
        <f>IF(OR(C1155="",D1155=""),"",IFERROR(LOOKUP(2,1/(($C$1:C1154=C1155)*($D$1:D1154=D1155)*ISNUMBER($J$1:J1154)),$J$1:J1154),SUMIFS(Master!$G$2:$G$13,Master!$E$2:$E$13,C1155,Master!$F$2:$F$13,D1155)))</f>
        <v/>
      </c>
      <c r="G1155" s="5" t="n"/>
      <c r="H1155" s="5" t="n"/>
      <c r="I1155" s="5" t="n"/>
      <c r="J1155" s="6">
        <f>IF(OR(F1155="",COUNT(G1155:I1155)&lt;3),"",F1155+G1155-H1155-I1155)</f>
        <v/>
      </c>
      <c r="K1155" s="6">
        <f>IF(COUNTA(A1155:D1155,G1155:I1155)=0,"",IF(COUNTA(A1155:D1155,G1155:I1155)&lt;7,"LENGKAPI",IF(H1155+I1155&gt;N(F1155)+G1155,"ABNORMAL",IF(COUNTIFS($A$2:$A$2001,A1155,$B$2:$B$2001,B1155,$C$2:$C$2001,C1155,$D$2:$D$2001,D1155)&gt;1,"DUPLIKAT","OK"))))</f>
        <v/>
      </c>
    </row>
    <row r="1156">
      <c r="A1156" s="4" t="n"/>
      <c r="B1156" s="5" t="n"/>
      <c r="C1156" s="5" t="n"/>
      <c r="D1156" s="5" t="n"/>
      <c r="E1156" s="6">
        <f>IF(A1156="","","B"&amp;TEXT(COUNT($A$2:A1156),"00000"))</f>
        <v/>
      </c>
      <c r="F1156" s="6">
        <f>IF(OR(C1156="",D1156=""),"",IFERROR(LOOKUP(2,1/(($C$1:C1155=C1156)*($D$1:D1155=D1156)*ISNUMBER($J$1:J1155)),$J$1:J1155),SUMIFS(Master!$G$2:$G$13,Master!$E$2:$E$13,C1156,Master!$F$2:$F$13,D1156)))</f>
        <v/>
      </c>
      <c r="G1156" s="5" t="n"/>
      <c r="H1156" s="5" t="n"/>
      <c r="I1156" s="5" t="n"/>
      <c r="J1156" s="6">
        <f>IF(OR(F1156="",COUNT(G1156:I1156)&lt;3),"",F1156+G1156-H1156-I1156)</f>
        <v/>
      </c>
      <c r="K1156" s="6">
        <f>IF(COUNTA(A1156:D1156,G1156:I1156)=0,"",IF(COUNTA(A1156:D1156,G1156:I1156)&lt;7,"LENGKAPI",IF(H1156+I1156&gt;N(F1156)+G1156,"ABNORMAL",IF(COUNTIFS($A$2:$A$2001,A1156,$B$2:$B$2001,B1156,$C$2:$C$2001,C1156,$D$2:$D$2001,D1156)&gt;1,"DUPLIKAT","OK"))))</f>
        <v/>
      </c>
    </row>
    <row r="1157">
      <c r="A1157" s="4" t="n"/>
      <c r="B1157" s="5" t="n"/>
      <c r="C1157" s="5" t="n"/>
      <c r="D1157" s="5" t="n"/>
      <c r="E1157" s="6">
        <f>IF(A1157="","","B"&amp;TEXT(COUNT($A$2:A1157),"00000"))</f>
        <v/>
      </c>
      <c r="F1157" s="6">
        <f>IF(OR(C1157="",D1157=""),"",IFERROR(LOOKUP(2,1/(($C$1:C1156=C1157)*($D$1:D1156=D1157)*ISNUMBER($J$1:J1156)),$J$1:J1156),SUMIFS(Master!$G$2:$G$13,Master!$E$2:$E$13,C1157,Master!$F$2:$F$13,D1157)))</f>
        <v/>
      </c>
      <c r="G1157" s="5" t="n"/>
      <c r="H1157" s="5" t="n"/>
      <c r="I1157" s="5" t="n"/>
      <c r="J1157" s="6">
        <f>IF(OR(F1157="",COUNT(G1157:I1157)&lt;3),"",F1157+G1157-H1157-I1157)</f>
        <v/>
      </c>
      <c r="K1157" s="6">
        <f>IF(COUNTA(A1157:D1157,G1157:I1157)=0,"",IF(COUNTA(A1157:D1157,G1157:I1157)&lt;7,"LENGKAPI",IF(H1157+I1157&gt;N(F1157)+G1157,"ABNORMAL",IF(COUNTIFS($A$2:$A$2001,A1157,$B$2:$B$2001,B1157,$C$2:$C$2001,C1157,$D$2:$D$2001,D1157)&gt;1,"DUPLIKAT","OK"))))</f>
        <v/>
      </c>
    </row>
    <row r="1158">
      <c r="A1158" s="4" t="n"/>
      <c r="B1158" s="5" t="n"/>
      <c r="C1158" s="5" t="n"/>
      <c r="D1158" s="5" t="n"/>
      <c r="E1158" s="6">
        <f>IF(A1158="","","B"&amp;TEXT(COUNT($A$2:A1158),"00000"))</f>
        <v/>
      </c>
      <c r="F1158" s="6">
        <f>IF(OR(C1158="",D1158=""),"",IFERROR(LOOKUP(2,1/(($C$1:C1157=C1158)*($D$1:D1157=D1158)*ISNUMBER($J$1:J1157)),$J$1:J1157),SUMIFS(Master!$G$2:$G$13,Master!$E$2:$E$13,C1158,Master!$F$2:$F$13,D1158)))</f>
        <v/>
      </c>
      <c r="G1158" s="5" t="n"/>
      <c r="H1158" s="5" t="n"/>
      <c r="I1158" s="5" t="n"/>
      <c r="J1158" s="6">
        <f>IF(OR(F1158="",COUNT(G1158:I1158)&lt;3),"",F1158+G1158-H1158-I1158)</f>
        <v/>
      </c>
      <c r="K1158" s="6">
        <f>IF(COUNTA(A1158:D1158,G1158:I1158)=0,"",IF(COUNTA(A1158:D1158,G1158:I1158)&lt;7,"LENGKAPI",IF(H1158+I1158&gt;N(F1158)+G1158,"ABNORMAL",IF(COUNTIFS($A$2:$A$2001,A1158,$B$2:$B$2001,B1158,$C$2:$C$2001,C1158,$D$2:$D$2001,D1158)&gt;1,"DUPLIKAT","OK"))))</f>
        <v/>
      </c>
    </row>
    <row r="1159">
      <c r="A1159" s="4" t="n"/>
      <c r="B1159" s="5" t="n"/>
      <c r="C1159" s="5" t="n"/>
      <c r="D1159" s="5" t="n"/>
      <c r="E1159" s="6">
        <f>IF(A1159="","","B"&amp;TEXT(COUNT($A$2:A1159),"00000"))</f>
        <v/>
      </c>
      <c r="F1159" s="6">
        <f>IF(OR(C1159="",D1159=""),"",IFERROR(LOOKUP(2,1/(($C$1:C1158=C1159)*($D$1:D1158=D1159)*ISNUMBER($J$1:J1158)),$J$1:J1158),SUMIFS(Master!$G$2:$G$13,Master!$E$2:$E$13,C1159,Master!$F$2:$F$13,D1159)))</f>
        <v/>
      </c>
      <c r="G1159" s="5" t="n"/>
      <c r="H1159" s="5" t="n"/>
      <c r="I1159" s="5" t="n"/>
      <c r="J1159" s="6">
        <f>IF(OR(F1159="",COUNT(G1159:I1159)&lt;3),"",F1159+G1159-H1159-I1159)</f>
        <v/>
      </c>
      <c r="K1159" s="6">
        <f>IF(COUNTA(A1159:D1159,G1159:I1159)=0,"",IF(COUNTA(A1159:D1159,G1159:I1159)&lt;7,"LENGKAPI",IF(H1159+I1159&gt;N(F1159)+G1159,"ABNORMAL",IF(COUNTIFS($A$2:$A$2001,A1159,$B$2:$B$2001,B1159,$C$2:$C$2001,C1159,$D$2:$D$2001,D1159)&gt;1,"DUPLIKAT","OK"))))</f>
        <v/>
      </c>
    </row>
    <row r="1160">
      <c r="A1160" s="4" t="n"/>
      <c r="B1160" s="5" t="n"/>
      <c r="C1160" s="5" t="n"/>
      <c r="D1160" s="5" t="n"/>
      <c r="E1160" s="6">
        <f>IF(A1160="","","B"&amp;TEXT(COUNT($A$2:A1160),"00000"))</f>
        <v/>
      </c>
      <c r="F1160" s="6">
        <f>IF(OR(C1160="",D1160=""),"",IFERROR(LOOKUP(2,1/(($C$1:C1159=C1160)*($D$1:D1159=D1160)*ISNUMBER($J$1:J1159)),$J$1:J1159),SUMIFS(Master!$G$2:$G$13,Master!$E$2:$E$13,C1160,Master!$F$2:$F$13,D1160)))</f>
        <v/>
      </c>
      <c r="G1160" s="5" t="n"/>
      <c r="H1160" s="5" t="n"/>
      <c r="I1160" s="5" t="n"/>
      <c r="J1160" s="6">
        <f>IF(OR(F1160="",COUNT(G1160:I1160)&lt;3),"",F1160+G1160-H1160-I1160)</f>
        <v/>
      </c>
      <c r="K1160" s="6">
        <f>IF(COUNTA(A1160:D1160,G1160:I1160)=0,"",IF(COUNTA(A1160:D1160,G1160:I1160)&lt;7,"LENGKAPI",IF(H1160+I1160&gt;N(F1160)+G1160,"ABNORMAL",IF(COUNTIFS($A$2:$A$2001,A1160,$B$2:$B$2001,B1160,$C$2:$C$2001,C1160,$D$2:$D$2001,D1160)&gt;1,"DUPLIKAT","OK"))))</f>
        <v/>
      </c>
    </row>
    <row r="1161">
      <c r="A1161" s="4" t="n"/>
      <c r="B1161" s="5" t="n"/>
      <c r="C1161" s="5" t="n"/>
      <c r="D1161" s="5" t="n"/>
      <c r="E1161" s="6">
        <f>IF(A1161="","","B"&amp;TEXT(COUNT($A$2:A1161),"00000"))</f>
        <v/>
      </c>
      <c r="F1161" s="6">
        <f>IF(OR(C1161="",D1161=""),"",IFERROR(LOOKUP(2,1/(($C$1:C1160=C1161)*($D$1:D1160=D1161)*ISNUMBER($J$1:J1160)),$J$1:J1160),SUMIFS(Master!$G$2:$G$13,Master!$E$2:$E$13,C1161,Master!$F$2:$F$13,D1161)))</f>
        <v/>
      </c>
      <c r="G1161" s="5" t="n"/>
      <c r="H1161" s="5" t="n"/>
      <c r="I1161" s="5" t="n"/>
      <c r="J1161" s="6">
        <f>IF(OR(F1161="",COUNT(G1161:I1161)&lt;3),"",F1161+G1161-H1161-I1161)</f>
        <v/>
      </c>
      <c r="K1161" s="6">
        <f>IF(COUNTA(A1161:D1161,G1161:I1161)=0,"",IF(COUNTA(A1161:D1161,G1161:I1161)&lt;7,"LENGKAPI",IF(H1161+I1161&gt;N(F1161)+G1161,"ABNORMAL",IF(COUNTIFS($A$2:$A$2001,A1161,$B$2:$B$2001,B1161,$C$2:$C$2001,C1161,$D$2:$D$2001,D1161)&gt;1,"DUPLIKAT","OK"))))</f>
        <v/>
      </c>
    </row>
    <row r="1162">
      <c r="A1162" s="4" t="n"/>
      <c r="B1162" s="5" t="n"/>
      <c r="C1162" s="5" t="n"/>
      <c r="D1162" s="5" t="n"/>
      <c r="E1162" s="6">
        <f>IF(A1162="","","B"&amp;TEXT(COUNT($A$2:A1162),"00000"))</f>
        <v/>
      </c>
      <c r="F1162" s="6">
        <f>IF(OR(C1162="",D1162=""),"",IFERROR(LOOKUP(2,1/(($C$1:C1161=C1162)*($D$1:D1161=D1162)*ISNUMBER($J$1:J1161)),$J$1:J1161),SUMIFS(Master!$G$2:$G$13,Master!$E$2:$E$13,C1162,Master!$F$2:$F$13,D1162)))</f>
        <v/>
      </c>
      <c r="G1162" s="5" t="n"/>
      <c r="H1162" s="5" t="n"/>
      <c r="I1162" s="5" t="n"/>
      <c r="J1162" s="6">
        <f>IF(OR(F1162="",COUNT(G1162:I1162)&lt;3),"",F1162+G1162-H1162-I1162)</f>
        <v/>
      </c>
      <c r="K1162" s="6">
        <f>IF(COUNTA(A1162:D1162,G1162:I1162)=0,"",IF(COUNTA(A1162:D1162,G1162:I1162)&lt;7,"LENGKAPI",IF(H1162+I1162&gt;N(F1162)+G1162,"ABNORMAL",IF(COUNTIFS($A$2:$A$2001,A1162,$B$2:$B$2001,B1162,$C$2:$C$2001,C1162,$D$2:$D$2001,D1162)&gt;1,"DUPLIKAT","OK"))))</f>
        <v/>
      </c>
    </row>
    <row r="1163">
      <c r="A1163" s="4" t="n"/>
      <c r="B1163" s="5" t="n"/>
      <c r="C1163" s="5" t="n"/>
      <c r="D1163" s="5" t="n"/>
      <c r="E1163" s="6">
        <f>IF(A1163="","","B"&amp;TEXT(COUNT($A$2:A1163),"00000"))</f>
        <v/>
      </c>
      <c r="F1163" s="6">
        <f>IF(OR(C1163="",D1163=""),"",IFERROR(LOOKUP(2,1/(($C$1:C1162=C1163)*($D$1:D1162=D1163)*ISNUMBER($J$1:J1162)),$J$1:J1162),SUMIFS(Master!$G$2:$G$13,Master!$E$2:$E$13,C1163,Master!$F$2:$F$13,D1163)))</f>
        <v/>
      </c>
      <c r="G1163" s="5" t="n"/>
      <c r="H1163" s="5" t="n"/>
      <c r="I1163" s="5" t="n"/>
      <c r="J1163" s="6">
        <f>IF(OR(F1163="",COUNT(G1163:I1163)&lt;3),"",F1163+G1163-H1163-I1163)</f>
        <v/>
      </c>
      <c r="K1163" s="6">
        <f>IF(COUNTA(A1163:D1163,G1163:I1163)=0,"",IF(COUNTA(A1163:D1163,G1163:I1163)&lt;7,"LENGKAPI",IF(H1163+I1163&gt;N(F1163)+G1163,"ABNORMAL",IF(COUNTIFS($A$2:$A$2001,A1163,$B$2:$B$2001,B1163,$C$2:$C$2001,C1163,$D$2:$D$2001,D1163)&gt;1,"DUPLIKAT","OK"))))</f>
        <v/>
      </c>
    </row>
    <row r="1164">
      <c r="A1164" s="4" t="n"/>
      <c r="B1164" s="5" t="n"/>
      <c r="C1164" s="5" t="n"/>
      <c r="D1164" s="5" t="n"/>
      <c r="E1164" s="6">
        <f>IF(A1164="","","B"&amp;TEXT(COUNT($A$2:A1164),"00000"))</f>
        <v/>
      </c>
      <c r="F1164" s="6">
        <f>IF(OR(C1164="",D1164=""),"",IFERROR(LOOKUP(2,1/(($C$1:C1163=C1164)*($D$1:D1163=D1164)*ISNUMBER($J$1:J1163)),$J$1:J1163),SUMIFS(Master!$G$2:$G$13,Master!$E$2:$E$13,C1164,Master!$F$2:$F$13,D1164)))</f>
        <v/>
      </c>
      <c r="G1164" s="5" t="n"/>
      <c r="H1164" s="5" t="n"/>
      <c r="I1164" s="5" t="n"/>
      <c r="J1164" s="6">
        <f>IF(OR(F1164="",COUNT(G1164:I1164)&lt;3),"",F1164+G1164-H1164-I1164)</f>
        <v/>
      </c>
      <c r="K1164" s="6">
        <f>IF(COUNTA(A1164:D1164,G1164:I1164)=0,"",IF(COUNTA(A1164:D1164,G1164:I1164)&lt;7,"LENGKAPI",IF(H1164+I1164&gt;N(F1164)+G1164,"ABNORMAL",IF(COUNTIFS($A$2:$A$2001,A1164,$B$2:$B$2001,B1164,$C$2:$C$2001,C1164,$D$2:$D$2001,D1164)&gt;1,"DUPLIKAT","OK"))))</f>
        <v/>
      </c>
    </row>
    <row r="1165">
      <c r="A1165" s="4" t="n"/>
      <c r="B1165" s="5" t="n"/>
      <c r="C1165" s="5" t="n"/>
      <c r="D1165" s="5" t="n"/>
      <c r="E1165" s="6">
        <f>IF(A1165="","","B"&amp;TEXT(COUNT($A$2:A1165),"00000"))</f>
        <v/>
      </c>
      <c r="F1165" s="6">
        <f>IF(OR(C1165="",D1165=""),"",IFERROR(LOOKUP(2,1/(($C$1:C1164=C1165)*($D$1:D1164=D1165)*ISNUMBER($J$1:J1164)),$J$1:J1164),SUMIFS(Master!$G$2:$G$13,Master!$E$2:$E$13,C1165,Master!$F$2:$F$13,D1165)))</f>
        <v/>
      </c>
      <c r="G1165" s="5" t="n"/>
      <c r="H1165" s="5" t="n"/>
      <c r="I1165" s="5" t="n"/>
      <c r="J1165" s="6">
        <f>IF(OR(F1165="",COUNT(G1165:I1165)&lt;3),"",F1165+G1165-H1165-I1165)</f>
        <v/>
      </c>
      <c r="K1165" s="6">
        <f>IF(COUNTA(A1165:D1165,G1165:I1165)=0,"",IF(COUNTA(A1165:D1165,G1165:I1165)&lt;7,"LENGKAPI",IF(H1165+I1165&gt;N(F1165)+G1165,"ABNORMAL",IF(COUNTIFS($A$2:$A$2001,A1165,$B$2:$B$2001,B1165,$C$2:$C$2001,C1165,$D$2:$D$2001,D1165)&gt;1,"DUPLIKAT","OK"))))</f>
        <v/>
      </c>
    </row>
    <row r="1166">
      <c r="A1166" s="4" t="n"/>
      <c r="B1166" s="5" t="n"/>
      <c r="C1166" s="5" t="n"/>
      <c r="D1166" s="5" t="n"/>
      <c r="E1166" s="6">
        <f>IF(A1166="","","B"&amp;TEXT(COUNT($A$2:A1166),"00000"))</f>
        <v/>
      </c>
      <c r="F1166" s="6">
        <f>IF(OR(C1166="",D1166=""),"",IFERROR(LOOKUP(2,1/(($C$1:C1165=C1166)*($D$1:D1165=D1166)*ISNUMBER($J$1:J1165)),$J$1:J1165),SUMIFS(Master!$G$2:$G$13,Master!$E$2:$E$13,C1166,Master!$F$2:$F$13,D1166)))</f>
        <v/>
      </c>
      <c r="G1166" s="5" t="n"/>
      <c r="H1166" s="5" t="n"/>
      <c r="I1166" s="5" t="n"/>
      <c r="J1166" s="6">
        <f>IF(OR(F1166="",COUNT(G1166:I1166)&lt;3),"",F1166+G1166-H1166-I1166)</f>
        <v/>
      </c>
      <c r="K1166" s="6">
        <f>IF(COUNTA(A1166:D1166,G1166:I1166)=0,"",IF(COUNTA(A1166:D1166,G1166:I1166)&lt;7,"LENGKAPI",IF(H1166+I1166&gt;N(F1166)+G1166,"ABNORMAL",IF(COUNTIFS($A$2:$A$2001,A1166,$B$2:$B$2001,B1166,$C$2:$C$2001,C1166,$D$2:$D$2001,D1166)&gt;1,"DUPLIKAT","OK"))))</f>
        <v/>
      </c>
    </row>
    <row r="1167">
      <c r="A1167" s="4" t="n"/>
      <c r="B1167" s="5" t="n"/>
      <c r="C1167" s="5" t="n"/>
      <c r="D1167" s="5" t="n"/>
      <c r="E1167" s="6">
        <f>IF(A1167="","","B"&amp;TEXT(COUNT($A$2:A1167),"00000"))</f>
        <v/>
      </c>
      <c r="F1167" s="6">
        <f>IF(OR(C1167="",D1167=""),"",IFERROR(LOOKUP(2,1/(($C$1:C1166=C1167)*($D$1:D1166=D1167)*ISNUMBER($J$1:J1166)),$J$1:J1166),SUMIFS(Master!$G$2:$G$13,Master!$E$2:$E$13,C1167,Master!$F$2:$F$13,D1167)))</f>
        <v/>
      </c>
      <c r="G1167" s="5" t="n"/>
      <c r="H1167" s="5" t="n"/>
      <c r="I1167" s="5" t="n"/>
      <c r="J1167" s="6">
        <f>IF(OR(F1167="",COUNT(G1167:I1167)&lt;3),"",F1167+G1167-H1167-I1167)</f>
        <v/>
      </c>
      <c r="K1167" s="6">
        <f>IF(COUNTA(A1167:D1167,G1167:I1167)=0,"",IF(COUNTA(A1167:D1167,G1167:I1167)&lt;7,"LENGKAPI",IF(H1167+I1167&gt;N(F1167)+G1167,"ABNORMAL",IF(COUNTIFS($A$2:$A$2001,A1167,$B$2:$B$2001,B1167,$C$2:$C$2001,C1167,$D$2:$D$2001,D1167)&gt;1,"DUPLIKAT","OK"))))</f>
        <v/>
      </c>
    </row>
    <row r="1168">
      <c r="A1168" s="4" t="n"/>
      <c r="B1168" s="5" t="n"/>
      <c r="C1168" s="5" t="n"/>
      <c r="D1168" s="5" t="n"/>
      <c r="E1168" s="6">
        <f>IF(A1168="","","B"&amp;TEXT(COUNT($A$2:A1168),"00000"))</f>
        <v/>
      </c>
      <c r="F1168" s="6">
        <f>IF(OR(C1168="",D1168=""),"",IFERROR(LOOKUP(2,1/(($C$1:C1167=C1168)*($D$1:D1167=D1168)*ISNUMBER($J$1:J1167)),$J$1:J1167),SUMIFS(Master!$G$2:$G$13,Master!$E$2:$E$13,C1168,Master!$F$2:$F$13,D1168)))</f>
        <v/>
      </c>
      <c r="G1168" s="5" t="n"/>
      <c r="H1168" s="5" t="n"/>
      <c r="I1168" s="5" t="n"/>
      <c r="J1168" s="6">
        <f>IF(OR(F1168="",COUNT(G1168:I1168)&lt;3),"",F1168+G1168-H1168-I1168)</f>
        <v/>
      </c>
      <c r="K1168" s="6">
        <f>IF(COUNTA(A1168:D1168,G1168:I1168)=0,"",IF(COUNTA(A1168:D1168,G1168:I1168)&lt;7,"LENGKAPI",IF(H1168+I1168&gt;N(F1168)+G1168,"ABNORMAL",IF(COUNTIFS($A$2:$A$2001,A1168,$B$2:$B$2001,B1168,$C$2:$C$2001,C1168,$D$2:$D$2001,D1168)&gt;1,"DUPLIKAT","OK"))))</f>
        <v/>
      </c>
    </row>
    <row r="1169">
      <c r="A1169" s="4" t="n"/>
      <c r="B1169" s="5" t="n"/>
      <c r="C1169" s="5" t="n"/>
      <c r="D1169" s="5" t="n"/>
      <c r="E1169" s="6">
        <f>IF(A1169="","","B"&amp;TEXT(COUNT($A$2:A1169),"00000"))</f>
        <v/>
      </c>
      <c r="F1169" s="6">
        <f>IF(OR(C1169="",D1169=""),"",IFERROR(LOOKUP(2,1/(($C$1:C1168=C1169)*($D$1:D1168=D1169)*ISNUMBER($J$1:J1168)),$J$1:J1168),SUMIFS(Master!$G$2:$G$13,Master!$E$2:$E$13,C1169,Master!$F$2:$F$13,D1169)))</f>
        <v/>
      </c>
      <c r="G1169" s="5" t="n"/>
      <c r="H1169" s="5" t="n"/>
      <c r="I1169" s="5" t="n"/>
      <c r="J1169" s="6">
        <f>IF(OR(F1169="",COUNT(G1169:I1169)&lt;3),"",F1169+G1169-H1169-I1169)</f>
        <v/>
      </c>
      <c r="K1169" s="6">
        <f>IF(COUNTA(A1169:D1169,G1169:I1169)=0,"",IF(COUNTA(A1169:D1169,G1169:I1169)&lt;7,"LENGKAPI",IF(H1169+I1169&gt;N(F1169)+G1169,"ABNORMAL",IF(COUNTIFS($A$2:$A$2001,A1169,$B$2:$B$2001,B1169,$C$2:$C$2001,C1169,$D$2:$D$2001,D1169)&gt;1,"DUPLIKAT","OK"))))</f>
        <v/>
      </c>
    </row>
    <row r="1170">
      <c r="A1170" s="4" t="n"/>
      <c r="B1170" s="5" t="n"/>
      <c r="C1170" s="5" t="n"/>
      <c r="D1170" s="5" t="n"/>
      <c r="E1170" s="6">
        <f>IF(A1170="","","B"&amp;TEXT(COUNT($A$2:A1170),"00000"))</f>
        <v/>
      </c>
      <c r="F1170" s="6">
        <f>IF(OR(C1170="",D1170=""),"",IFERROR(LOOKUP(2,1/(($C$1:C1169=C1170)*($D$1:D1169=D1170)*ISNUMBER($J$1:J1169)),$J$1:J1169),SUMIFS(Master!$G$2:$G$13,Master!$E$2:$E$13,C1170,Master!$F$2:$F$13,D1170)))</f>
        <v/>
      </c>
      <c r="G1170" s="5" t="n"/>
      <c r="H1170" s="5" t="n"/>
      <c r="I1170" s="5" t="n"/>
      <c r="J1170" s="6">
        <f>IF(OR(F1170="",COUNT(G1170:I1170)&lt;3),"",F1170+G1170-H1170-I1170)</f>
        <v/>
      </c>
      <c r="K1170" s="6">
        <f>IF(COUNTA(A1170:D1170,G1170:I1170)=0,"",IF(COUNTA(A1170:D1170,G1170:I1170)&lt;7,"LENGKAPI",IF(H1170+I1170&gt;N(F1170)+G1170,"ABNORMAL",IF(COUNTIFS($A$2:$A$2001,A1170,$B$2:$B$2001,B1170,$C$2:$C$2001,C1170,$D$2:$D$2001,D1170)&gt;1,"DUPLIKAT","OK"))))</f>
        <v/>
      </c>
    </row>
    <row r="1171">
      <c r="A1171" s="4" t="n"/>
      <c r="B1171" s="5" t="n"/>
      <c r="C1171" s="5" t="n"/>
      <c r="D1171" s="5" t="n"/>
      <c r="E1171" s="6">
        <f>IF(A1171="","","B"&amp;TEXT(COUNT($A$2:A1171),"00000"))</f>
        <v/>
      </c>
      <c r="F1171" s="6">
        <f>IF(OR(C1171="",D1171=""),"",IFERROR(LOOKUP(2,1/(($C$1:C1170=C1171)*($D$1:D1170=D1171)*ISNUMBER($J$1:J1170)),$J$1:J1170),SUMIFS(Master!$G$2:$G$13,Master!$E$2:$E$13,C1171,Master!$F$2:$F$13,D1171)))</f>
        <v/>
      </c>
      <c r="G1171" s="5" t="n"/>
      <c r="H1171" s="5" t="n"/>
      <c r="I1171" s="5" t="n"/>
      <c r="J1171" s="6">
        <f>IF(OR(F1171="",COUNT(G1171:I1171)&lt;3),"",F1171+G1171-H1171-I1171)</f>
        <v/>
      </c>
      <c r="K1171" s="6">
        <f>IF(COUNTA(A1171:D1171,G1171:I1171)=0,"",IF(COUNTA(A1171:D1171,G1171:I1171)&lt;7,"LENGKAPI",IF(H1171+I1171&gt;N(F1171)+G1171,"ABNORMAL",IF(COUNTIFS($A$2:$A$2001,A1171,$B$2:$B$2001,B1171,$C$2:$C$2001,C1171,$D$2:$D$2001,D1171)&gt;1,"DUPLIKAT","OK"))))</f>
        <v/>
      </c>
    </row>
    <row r="1172">
      <c r="A1172" s="4" t="n"/>
      <c r="B1172" s="5" t="n"/>
      <c r="C1172" s="5" t="n"/>
      <c r="D1172" s="5" t="n"/>
      <c r="E1172" s="6">
        <f>IF(A1172="","","B"&amp;TEXT(COUNT($A$2:A1172),"00000"))</f>
        <v/>
      </c>
      <c r="F1172" s="6">
        <f>IF(OR(C1172="",D1172=""),"",IFERROR(LOOKUP(2,1/(($C$1:C1171=C1172)*($D$1:D1171=D1172)*ISNUMBER($J$1:J1171)),$J$1:J1171),SUMIFS(Master!$G$2:$G$13,Master!$E$2:$E$13,C1172,Master!$F$2:$F$13,D1172)))</f>
        <v/>
      </c>
      <c r="G1172" s="5" t="n"/>
      <c r="H1172" s="5" t="n"/>
      <c r="I1172" s="5" t="n"/>
      <c r="J1172" s="6">
        <f>IF(OR(F1172="",COUNT(G1172:I1172)&lt;3),"",F1172+G1172-H1172-I1172)</f>
        <v/>
      </c>
      <c r="K1172" s="6">
        <f>IF(COUNTA(A1172:D1172,G1172:I1172)=0,"",IF(COUNTA(A1172:D1172,G1172:I1172)&lt;7,"LENGKAPI",IF(H1172+I1172&gt;N(F1172)+G1172,"ABNORMAL",IF(COUNTIFS($A$2:$A$2001,A1172,$B$2:$B$2001,B1172,$C$2:$C$2001,C1172,$D$2:$D$2001,D1172)&gt;1,"DUPLIKAT","OK"))))</f>
        <v/>
      </c>
    </row>
    <row r="1173">
      <c r="A1173" s="4" t="n"/>
      <c r="B1173" s="5" t="n"/>
      <c r="C1173" s="5" t="n"/>
      <c r="D1173" s="5" t="n"/>
      <c r="E1173" s="6">
        <f>IF(A1173="","","B"&amp;TEXT(COUNT($A$2:A1173),"00000"))</f>
        <v/>
      </c>
      <c r="F1173" s="6">
        <f>IF(OR(C1173="",D1173=""),"",IFERROR(LOOKUP(2,1/(($C$1:C1172=C1173)*($D$1:D1172=D1173)*ISNUMBER($J$1:J1172)),$J$1:J1172),SUMIFS(Master!$G$2:$G$13,Master!$E$2:$E$13,C1173,Master!$F$2:$F$13,D1173)))</f>
        <v/>
      </c>
      <c r="G1173" s="5" t="n"/>
      <c r="H1173" s="5" t="n"/>
      <c r="I1173" s="5" t="n"/>
      <c r="J1173" s="6">
        <f>IF(OR(F1173="",COUNT(G1173:I1173)&lt;3),"",F1173+G1173-H1173-I1173)</f>
        <v/>
      </c>
      <c r="K1173" s="6">
        <f>IF(COUNTA(A1173:D1173,G1173:I1173)=0,"",IF(COUNTA(A1173:D1173,G1173:I1173)&lt;7,"LENGKAPI",IF(H1173+I1173&gt;N(F1173)+G1173,"ABNORMAL",IF(COUNTIFS($A$2:$A$2001,A1173,$B$2:$B$2001,B1173,$C$2:$C$2001,C1173,$D$2:$D$2001,D1173)&gt;1,"DUPLIKAT","OK"))))</f>
        <v/>
      </c>
    </row>
    <row r="1174">
      <c r="A1174" s="4" t="n"/>
      <c r="B1174" s="5" t="n"/>
      <c r="C1174" s="5" t="n"/>
      <c r="D1174" s="5" t="n"/>
      <c r="E1174" s="6">
        <f>IF(A1174="","","B"&amp;TEXT(COUNT($A$2:A1174),"00000"))</f>
        <v/>
      </c>
      <c r="F1174" s="6">
        <f>IF(OR(C1174="",D1174=""),"",IFERROR(LOOKUP(2,1/(($C$1:C1173=C1174)*($D$1:D1173=D1174)*ISNUMBER($J$1:J1173)),$J$1:J1173),SUMIFS(Master!$G$2:$G$13,Master!$E$2:$E$13,C1174,Master!$F$2:$F$13,D1174)))</f>
        <v/>
      </c>
      <c r="G1174" s="5" t="n"/>
      <c r="H1174" s="5" t="n"/>
      <c r="I1174" s="5" t="n"/>
      <c r="J1174" s="6">
        <f>IF(OR(F1174="",COUNT(G1174:I1174)&lt;3),"",F1174+G1174-H1174-I1174)</f>
        <v/>
      </c>
      <c r="K1174" s="6">
        <f>IF(COUNTA(A1174:D1174,G1174:I1174)=0,"",IF(COUNTA(A1174:D1174,G1174:I1174)&lt;7,"LENGKAPI",IF(H1174+I1174&gt;N(F1174)+G1174,"ABNORMAL",IF(COUNTIFS($A$2:$A$2001,A1174,$B$2:$B$2001,B1174,$C$2:$C$2001,C1174,$D$2:$D$2001,D1174)&gt;1,"DUPLIKAT","OK"))))</f>
        <v/>
      </c>
    </row>
    <row r="1175">
      <c r="A1175" s="4" t="n"/>
      <c r="B1175" s="5" t="n"/>
      <c r="C1175" s="5" t="n"/>
      <c r="D1175" s="5" t="n"/>
      <c r="E1175" s="6">
        <f>IF(A1175="","","B"&amp;TEXT(COUNT($A$2:A1175),"00000"))</f>
        <v/>
      </c>
      <c r="F1175" s="6">
        <f>IF(OR(C1175="",D1175=""),"",IFERROR(LOOKUP(2,1/(($C$1:C1174=C1175)*($D$1:D1174=D1175)*ISNUMBER($J$1:J1174)),$J$1:J1174),SUMIFS(Master!$G$2:$G$13,Master!$E$2:$E$13,C1175,Master!$F$2:$F$13,D1175)))</f>
        <v/>
      </c>
      <c r="G1175" s="5" t="n"/>
      <c r="H1175" s="5" t="n"/>
      <c r="I1175" s="5" t="n"/>
      <c r="J1175" s="6">
        <f>IF(OR(F1175="",COUNT(G1175:I1175)&lt;3),"",F1175+G1175-H1175-I1175)</f>
        <v/>
      </c>
      <c r="K1175" s="6">
        <f>IF(COUNTA(A1175:D1175,G1175:I1175)=0,"",IF(COUNTA(A1175:D1175,G1175:I1175)&lt;7,"LENGKAPI",IF(H1175+I1175&gt;N(F1175)+G1175,"ABNORMAL",IF(COUNTIFS($A$2:$A$2001,A1175,$B$2:$B$2001,B1175,$C$2:$C$2001,C1175,$D$2:$D$2001,D1175)&gt;1,"DUPLIKAT","OK"))))</f>
        <v/>
      </c>
    </row>
    <row r="1176">
      <c r="A1176" s="4" t="n"/>
      <c r="B1176" s="5" t="n"/>
      <c r="C1176" s="5" t="n"/>
      <c r="D1176" s="5" t="n"/>
      <c r="E1176" s="6">
        <f>IF(A1176="","","B"&amp;TEXT(COUNT($A$2:A1176),"00000"))</f>
        <v/>
      </c>
      <c r="F1176" s="6">
        <f>IF(OR(C1176="",D1176=""),"",IFERROR(LOOKUP(2,1/(($C$1:C1175=C1176)*($D$1:D1175=D1176)*ISNUMBER($J$1:J1175)),$J$1:J1175),SUMIFS(Master!$G$2:$G$13,Master!$E$2:$E$13,C1176,Master!$F$2:$F$13,D1176)))</f>
        <v/>
      </c>
      <c r="G1176" s="5" t="n"/>
      <c r="H1176" s="5" t="n"/>
      <c r="I1176" s="5" t="n"/>
      <c r="J1176" s="6">
        <f>IF(OR(F1176="",COUNT(G1176:I1176)&lt;3),"",F1176+G1176-H1176-I1176)</f>
        <v/>
      </c>
      <c r="K1176" s="6">
        <f>IF(COUNTA(A1176:D1176,G1176:I1176)=0,"",IF(COUNTA(A1176:D1176,G1176:I1176)&lt;7,"LENGKAPI",IF(H1176+I1176&gt;N(F1176)+G1176,"ABNORMAL",IF(COUNTIFS($A$2:$A$2001,A1176,$B$2:$B$2001,B1176,$C$2:$C$2001,C1176,$D$2:$D$2001,D1176)&gt;1,"DUPLIKAT","OK"))))</f>
        <v/>
      </c>
    </row>
    <row r="1177">
      <c r="A1177" s="4" t="n"/>
      <c r="B1177" s="5" t="n"/>
      <c r="C1177" s="5" t="n"/>
      <c r="D1177" s="5" t="n"/>
      <c r="E1177" s="6">
        <f>IF(A1177="","","B"&amp;TEXT(COUNT($A$2:A1177),"00000"))</f>
        <v/>
      </c>
      <c r="F1177" s="6">
        <f>IF(OR(C1177="",D1177=""),"",IFERROR(LOOKUP(2,1/(($C$1:C1176=C1177)*($D$1:D1176=D1177)*ISNUMBER($J$1:J1176)),$J$1:J1176),SUMIFS(Master!$G$2:$G$13,Master!$E$2:$E$13,C1177,Master!$F$2:$F$13,D1177)))</f>
        <v/>
      </c>
      <c r="G1177" s="5" t="n"/>
      <c r="H1177" s="5" t="n"/>
      <c r="I1177" s="5" t="n"/>
      <c r="J1177" s="6">
        <f>IF(OR(F1177="",COUNT(G1177:I1177)&lt;3),"",F1177+G1177-H1177-I1177)</f>
        <v/>
      </c>
      <c r="K1177" s="6">
        <f>IF(COUNTA(A1177:D1177,G1177:I1177)=0,"",IF(COUNTA(A1177:D1177,G1177:I1177)&lt;7,"LENGKAPI",IF(H1177+I1177&gt;N(F1177)+G1177,"ABNORMAL",IF(COUNTIFS($A$2:$A$2001,A1177,$B$2:$B$2001,B1177,$C$2:$C$2001,C1177,$D$2:$D$2001,D1177)&gt;1,"DUPLIKAT","OK"))))</f>
        <v/>
      </c>
    </row>
    <row r="1178">
      <c r="A1178" s="4" t="n"/>
      <c r="B1178" s="5" t="n"/>
      <c r="C1178" s="5" t="n"/>
      <c r="D1178" s="5" t="n"/>
      <c r="E1178" s="6">
        <f>IF(A1178="","","B"&amp;TEXT(COUNT($A$2:A1178),"00000"))</f>
        <v/>
      </c>
      <c r="F1178" s="6">
        <f>IF(OR(C1178="",D1178=""),"",IFERROR(LOOKUP(2,1/(($C$1:C1177=C1178)*($D$1:D1177=D1178)*ISNUMBER($J$1:J1177)),$J$1:J1177),SUMIFS(Master!$G$2:$G$13,Master!$E$2:$E$13,C1178,Master!$F$2:$F$13,D1178)))</f>
        <v/>
      </c>
      <c r="G1178" s="5" t="n"/>
      <c r="H1178" s="5" t="n"/>
      <c r="I1178" s="5" t="n"/>
      <c r="J1178" s="6">
        <f>IF(OR(F1178="",COUNT(G1178:I1178)&lt;3),"",F1178+G1178-H1178-I1178)</f>
        <v/>
      </c>
      <c r="K1178" s="6">
        <f>IF(COUNTA(A1178:D1178,G1178:I1178)=0,"",IF(COUNTA(A1178:D1178,G1178:I1178)&lt;7,"LENGKAPI",IF(H1178+I1178&gt;N(F1178)+G1178,"ABNORMAL",IF(COUNTIFS($A$2:$A$2001,A1178,$B$2:$B$2001,B1178,$C$2:$C$2001,C1178,$D$2:$D$2001,D1178)&gt;1,"DUPLIKAT","OK"))))</f>
        <v/>
      </c>
    </row>
    <row r="1179">
      <c r="A1179" s="4" t="n"/>
      <c r="B1179" s="5" t="n"/>
      <c r="C1179" s="5" t="n"/>
      <c r="D1179" s="5" t="n"/>
      <c r="E1179" s="6">
        <f>IF(A1179="","","B"&amp;TEXT(COUNT($A$2:A1179),"00000"))</f>
        <v/>
      </c>
      <c r="F1179" s="6">
        <f>IF(OR(C1179="",D1179=""),"",IFERROR(LOOKUP(2,1/(($C$1:C1178=C1179)*($D$1:D1178=D1179)*ISNUMBER($J$1:J1178)),$J$1:J1178),SUMIFS(Master!$G$2:$G$13,Master!$E$2:$E$13,C1179,Master!$F$2:$F$13,D1179)))</f>
        <v/>
      </c>
      <c r="G1179" s="5" t="n"/>
      <c r="H1179" s="5" t="n"/>
      <c r="I1179" s="5" t="n"/>
      <c r="J1179" s="6">
        <f>IF(OR(F1179="",COUNT(G1179:I1179)&lt;3),"",F1179+G1179-H1179-I1179)</f>
        <v/>
      </c>
      <c r="K1179" s="6">
        <f>IF(COUNTA(A1179:D1179,G1179:I1179)=0,"",IF(COUNTA(A1179:D1179,G1179:I1179)&lt;7,"LENGKAPI",IF(H1179+I1179&gt;N(F1179)+G1179,"ABNORMAL",IF(COUNTIFS($A$2:$A$2001,A1179,$B$2:$B$2001,B1179,$C$2:$C$2001,C1179,$D$2:$D$2001,D1179)&gt;1,"DUPLIKAT","OK"))))</f>
        <v/>
      </c>
    </row>
    <row r="1180">
      <c r="A1180" s="4" t="n"/>
      <c r="B1180" s="5" t="n"/>
      <c r="C1180" s="5" t="n"/>
      <c r="D1180" s="5" t="n"/>
      <c r="E1180" s="6">
        <f>IF(A1180="","","B"&amp;TEXT(COUNT($A$2:A1180),"00000"))</f>
        <v/>
      </c>
      <c r="F1180" s="6">
        <f>IF(OR(C1180="",D1180=""),"",IFERROR(LOOKUP(2,1/(($C$1:C1179=C1180)*($D$1:D1179=D1180)*ISNUMBER($J$1:J1179)),$J$1:J1179),SUMIFS(Master!$G$2:$G$13,Master!$E$2:$E$13,C1180,Master!$F$2:$F$13,D1180)))</f>
        <v/>
      </c>
      <c r="G1180" s="5" t="n"/>
      <c r="H1180" s="5" t="n"/>
      <c r="I1180" s="5" t="n"/>
      <c r="J1180" s="6">
        <f>IF(OR(F1180="",COUNT(G1180:I1180)&lt;3),"",F1180+G1180-H1180-I1180)</f>
        <v/>
      </c>
      <c r="K1180" s="6">
        <f>IF(COUNTA(A1180:D1180,G1180:I1180)=0,"",IF(COUNTA(A1180:D1180,G1180:I1180)&lt;7,"LENGKAPI",IF(H1180+I1180&gt;N(F1180)+G1180,"ABNORMAL",IF(COUNTIFS($A$2:$A$2001,A1180,$B$2:$B$2001,B1180,$C$2:$C$2001,C1180,$D$2:$D$2001,D1180)&gt;1,"DUPLIKAT","OK"))))</f>
        <v/>
      </c>
    </row>
    <row r="1181">
      <c r="A1181" s="4" t="n"/>
      <c r="B1181" s="5" t="n"/>
      <c r="C1181" s="5" t="n"/>
      <c r="D1181" s="5" t="n"/>
      <c r="E1181" s="6">
        <f>IF(A1181="","","B"&amp;TEXT(COUNT($A$2:A1181),"00000"))</f>
        <v/>
      </c>
      <c r="F1181" s="6">
        <f>IF(OR(C1181="",D1181=""),"",IFERROR(LOOKUP(2,1/(($C$1:C1180=C1181)*($D$1:D1180=D1181)*ISNUMBER($J$1:J1180)),$J$1:J1180),SUMIFS(Master!$G$2:$G$13,Master!$E$2:$E$13,C1181,Master!$F$2:$F$13,D1181)))</f>
        <v/>
      </c>
      <c r="G1181" s="5" t="n"/>
      <c r="H1181" s="5" t="n"/>
      <c r="I1181" s="5" t="n"/>
      <c r="J1181" s="6">
        <f>IF(OR(F1181="",COUNT(G1181:I1181)&lt;3),"",F1181+G1181-H1181-I1181)</f>
        <v/>
      </c>
      <c r="K1181" s="6">
        <f>IF(COUNTA(A1181:D1181,G1181:I1181)=0,"",IF(COUNTA(A1181:D1181,G1181:I1181)&lt;7,"LENGKAPI",IF(H1181+I1181&gt;N(F1181)+G1181,"ABNORMAL",IF(COUNTIFS($A$2:$A$2001,A1181,$B$2:$B$2001,B1181,$C$2:$C$2001,C1181,$D$2:$D$2001,D1181)&gt;1,"DUPLIKAT","OK"))))</f>
        <v/>
      </c>
    </row>
    <row r="1182">
      <c r="A1182" s="4" t="n"/>
      <c r="B1182" s="5" t="n"/>
      <c r="C1182" s="5" t="n"/>
      <c r="D1182" s="5" t="n"/>
      <c r="E1182" s="6">
        <f>IF(A1182="","","B"&amp;TEXT(COUNT($A$2:A1182),"00000"))</f>
        <v/>
      </c>
      <c r="F1182" s="6">
        <f>IF(OR(C1182="",D1182=""),"",IFERROR(LOOKUP(2,1/(($C$1:C1181=C1182)*($D$1:D1181=D1182)*ISNUMBER($J$1:J1181)),$J$1:J1181),SUMIFS(Master!$G$2:$G$13,Master!$E$2:$E$13,C1182,Master!$F$2:$F$13,D1182)))</f>
        <v/>
      </c>
      <c r="G1182" s="5" t="n"/>
      <c r="H1182" s="5" t="n"/>
      <c r="I1182" s="5" t="n"/>
      <c r="J1182" s="6">
        <f>IF(OR(F1182="",COUNT(G1182:I1182)&lt;3),"",F1182+G1182-H1182-I1182)</f>
        <v/>
      </c>
      <c r="K1182" s="6">
        <f>IF(COUNTA(A1182:D1182,G1182:I1182)=0,"",IF(COUNTA(A1182:D1182,G1182:I1182)&lt;7,"LENGKAPI",IF(H1182+I1182&gt;N(F1182)+G1182,"ABNORMAL",IF(COUNTIFS($A$2:$A$2001,A1182,$B$2:$B$2001,B1182,$C$2:$C$2001,C1182,$D$2:$D$2001,D1182)&gt;1,"DUPLIKAT","OK"))))</f>
        <v/>
      </c>
    </row>
    <row r="1183">
      <c r="A1183" s="4" t="n"/>
      <c r="B1183" s="5" t="n"/>
      <c r="C1183" s="5" t="n"/>
      <c r="D1183" s="5" t="n"/>
      <c r="E1183" s="6">
        <f>IF(A1183="","","B"&amp;TEXT(COUNT($A$2:A1183),"00000"))</f>
        <v/>
      </c>
      <c r="F1183" s="6">
        <f>IF(OR(C1183="",D1183=""),"",IFERROR(LOOKUP(2,1/(($C$1:C1182=C1183)*($D$1:D1182=D1183)*ISNUMBER($J$1:J1182)),$J$1:J1182),SUMIFS(Master!$G$2:$G$13,Master!$E$2:$E$13,C1183,Master!$F$2:$F$13,D1183)))</f>
        <v/>
      </c>
      <c r="G1183" s="5" t="n"/>
      <c r="H1183" s="5" t="n"/>
      <c r="I1183" s="5" t="n"/>
      <c r="J1183" s="6">
        <f>IF(OR(F1183="",COUNT(G1183:I1183)&lt;3),"",F1183+G1183-H1183-I1183)</f>
        <v/>
      </c>
      <c r="K1183" s="6">
        <f>IF(COUNTA(A1183:D1183,G1183:I1183)=0,"",IF(COUNTA(A1183:D1183,G1183:I1183)&lt;7,"LENGKAPI",IF(H1183+I1183&gt;N(F1183)+G1183,"ABNORMAL",IF(COUNTIFS($A$2:$A$2001,A1183,$B$2:$B$2001,B1183,$C$2:$C$2001,C1183,$D$2:$D$2001,D1183)&gt;1,"DUPLIKAT","OK"))))</f>
        <v/>
      </c>
    </row>
    <row r="1184">
      <c r="A1184" s="4" t="n"/>
      <c r="B1184" s="5" t="n"/>
      <c r="C1184" s="5" t="n"/>
      <c r="D1184" s="5" t="n"/>
      <c r="E1184" s="6">
        <f>IF(A1184="","","B"&amp;TEXT(COUNT($A$2:A1184),"00000"))</f>
        <v/>
      </c>
      <c r="F1184" s="6">
        <f>IF(OR(C1184="",D1184=""),"",IFERROR(LOOKUP(2,1/(($C$1:C1183=C1184)*($D$1:D1183=D1184)*ISNUMBER($J$1:J1183)),$J$1:J1183),SUMIFS(Master!$G$2:$G$13,Master!$E$2:$E$13,C1184,Master!$F$2:$F$13,D1184)))</f>
        <v/>
      </c>
      <c r="G1184" s="5" t="n"/>
      <c r="H1184" s="5" t="n"/>
      <c r="I1184" s="5" t="n"/>
      <c r="J1184" s="6">
        <f>IF(OR(F1184="",COUNT(G1184:I1184)&lt;3),"",F1184+G1184-H1184-I1184)</f>
        <v/>
      </c>
      <c r="K1184" s="6">
        <f>IF(COUNTA(A1184:D1184,G1184:I1184)=0,"",IF(COUNTA(A1184:D1184,G1184:I1184)&lt;7,"LENGKAPI",IF(H1184+I1184&gt;N(F1184)+G1184,"ABNORMAL",IF(COUNTIFS($A$2:$A$2001,A1184,$B$2:$B$2001,B1184,$C$2:$C$2001,C1184,$D$2:$D$2001,D1184)&gt;1,"DUPLIKAT","OK"))))</f>
        <v/>
      </c>
    </row>
    <row r="1185">
      <c r="A1185" s="4" t="n"/>
      <c r="B1185" s="5" t="n"/>
      <c r="C1185" s="5" t="n"/>
      <c r="D1185" s="5" t="n"/>
      <c r="E1185" s="6">
        <f>IF(A1185="","","B"&amp;TEXT(COUNT($A$2:A1185),"00000"))</f>
        <v/>
      </c>
      <c r="F1185" s="6">
        <f>IF(OR(C1185="",D1185=""),"",IFERROR(LOOKUP(2,1/(($C$1:C1184=C1185)*($D$1:D1184=D1185)*ISNUMBER($J$1:J1184)),$J$1:J1184),SUMIFS(Master!$G$2:$G$13,Master!$E$2:$E$13,C1185,Master!$F$2:$F$13,D1185)))</f>
        <v/>
      </c>
      <c r="G1185" s="5" t="n"/>
      <c r="H1185" s="5" t="n"/>
      <c r="I1185" s="5" t="n"/>
      <c r="J1185" s="6">
        <f>IF(OR(F1185="",COUNT(G1185:I1185)&lt;3),"",F1185+G1185-H1185-I1185)</f>
        <v/>
      </c>
      <c r="K1185" s="6">
        <f>IF(COUNTA(A1185:D1185,G1185:I1185)=0,"",IF(COUNTA(A1185:D1185,G1185:I1185)&lt;7,"LENGKAPI",IF(H1185+I1185&gt;N(F1185)+G1185,"ABNORMAL",IF(COUNTIFS($A$2:$A$2001,A1185,$B$2:$B$2001,B1185,$C$2:$C$2001,C1185,$D$2:$D$2001,D1185)&gt;1,"DUPLIKAT","OK"))))</f>
        <v/>
      </c>
    </row>
    <row r="1186">
      <c r="A1186" s="4" t="n"/>
      <c r="B1186" s="5" t="n"/>
      <c r="C1186" s="5" t="n"/>
      <c r="D1186" s="5" t="n"/>
      <c r="E1186" s="6">
        <f>IF(A1186="","","B"&amp;TEXT(COUNT($A$2:A1186),"00000"))</f>
        <v/>
      </c>
      <c r="F1186" s="6">
        <f>IF(OR(C1186="",D1186=""),"",IFERROR(LOOKUP(2,1/(($C$1:C1185=C1186)*($D$1:D1185=D1186)*ISNUMBER($J$1:J1185)),$J$1:J1185),SUMIFS(Master!$G$2:$G$13,Master!$E$2:$E$13,C1186,Master!$F$2:$F$13,D1186)))</f>
        <v/>
      </c>
      <c r="G1186" s="5" t="n"/>
      <c r="H1186" s="5" t="n"/>
      <c r="I1186" s="5" t="n"/>
      <c r="J1186" s="6">
        <f>IF(OR(F1186="",COUNT(G1186:I1186)&lt;3),"",F1186+G1186-H1186-I1186)</f>
        <v/>
      </c>
      <c r="K1186" s="6">
        <f>IF(COUNTA(A1186:D1186,G1186:I1186)=0,"",IF(COUNTA(A1186:D1186,G1186:I1186)&lt;7,"LENGKAPI",IF(H1186+I1186&gt;N(F1186)+G1186,"ABNORMAL",IF(COUNTIFS($A$2:$A$2001,A1186,$B$2:$B$2001,B1186,$C$2:$C$2001,C1186,$D$2:$D$2001,D1186)&gt;1,"DUPLIKAT","OK"))))</f>
        <v/>
      </c>
    </row>
    <row r="1187">
      <c r="A1187" s="4" t="n"/>
      <c r="B1187" s="5" t="n"/>
      <c r="C1187" s="5" t="n"/>
      <c r="D1187" s="5" t="n"/>
      <c r="E1187" s="6">
        <f>IF(A1187="","","B"&amp;TEXT(COUNT($A$2:A1187),"00000"))</f>
        <v/>
      </c>
      <c r="F1187" s="6">
        <f>IF(OR(C1187="",D1187=""),"",IFERROR(LOOKUP(2,1/(($C$1:C1186=C1187)*($D$1:D1186=D1187)*ISNUMBER($J$1:J1186)),$J$1:J1186),SUMIFS(Master!$G$2:$G$13,Master!$E$2:$E$13,C1187,Master!$F$2:$F$13,D1187)))</f>
        <v/>
      </c>
      <c r="G1187" s="5" t="n"/>
      <c r="H1187" s="5" t="n"/>
      <c r="I1187" s="5" t="n"/>
      <c r="J1187" s="6">
        <f>IF(OR(F1187="",COUNT(G1187:I1187)&lt;3),"",F1187+G1187-H1187-I1187)</f>
        <v/>
      </c>
      <c r="K1187" s="6">
        <f>IF(COUNTA(A1187:D1187,G1187:I1187)=0,"",IF(COUNTA(A1187:D1187,G1187:I1187)&lt;7,"LENGKAPI",IF(H1187+I1187&gt;N(F1187)+G1187,"ABNORMAL",IF(COUNTIFS($A$2:$A$2001,A1187,$B$2:$B$2001,B1187,$C$2:$C$2001,C1187,$D$2:$D$2001,D1187)&gt;1,"DUPLIKAT","OK"))))</f>
        <v/>
      </c>
    </row>
    <row r="1188">
      <c r="A1188" s="4" t="n"/>
      <c r="B1188" s="5" t="n"/>
      <c r="C1188" s="5" t="n"/>
      <c r="D1188" s="5" t="n"/>
      <c r="E1188" s="6">
        <f>IF(A1188="","","B"&amp;TEXT(COUNT($A$2:A1188),"00000"))</f>
        <v/>
      </c>
      <c r="F1188" s="6">
        <f>IF(OR(C1188="",D1188=""),"",IFERROR(LOOKUP(2,1/(($C$1:C1187=C1188)*($D$1:D1187=D1188)*ISNUMBER($J$1:J1187)),$J$1:J1187),SUMIFS(Master!$G$2:$G$13,Master!$E$2:$E$13,C1188,Master!$F$2:$F$13,D1188)))</f>
        <v/>
      </c>
      <c r="G1188" s="5" t="n"/>
      <c r="H1188" s="5" t="n"/>
      <c r="I1188" s="5" t="n"/>
      <c r="J1188" s="6">
        <f>IF(OR(F1188="",COUNT(G1188:I1188)&lt;3),"",F1188+G1188-H1188-I1188)</f>
        <v/>
      </c>
      <c r="K1188" s="6">
        <f>IF(COUNTA(A1188:D1188,G1188:I1188)=0,"",IF(COUNTA(A1188:D1188,G1188:I1188)&lt;7,"LENGKAPI",IF(H1188+I1188&gt;N(F1188)+G1188,"ABNORMAL",IF(COUNTIFS($A$2:$A$2001,A1188,$B$2:$B$2001,B1188,$C$2:$C$2001,C1188,$D$2:$D$2001,D1188)&gt;1,"DUPLIKAT","OK"))))</f>
        <v/>
      </c>
    </row>
    <row r="1189">
      <c r="A1189" s="4" t="n"/>
      <c r="B1189" s="5" t="n"/>
      <c r="C1189" s="5" t="n"/>
      <c r="D1189" s="5" t="n"/>
      <c r="E1189" s="6">
        <f>IF(A1189="","","B"&amp;TEXT(COUNT($A$2:A1189),"00000"))</f>
        <v/>
      </c>
      <c r="F1189" s="6">
        <f>IF(OR(C1189="",D1189=""),"",IFERROR(LOOKUP(2,1/(($C$1:C1188=C1189)*($D$1:D1188=D1189)*ISNUMBER($J$1:J1188)),$J$1:J1188),SUMIFS(Master!$G$2:$G$13,Master!$E$2:$E$13,C1189,Master!$F$2:$F$13,D1189)))</f>
        <v/>
      </c>
      <c r="G1189" s="5" t="n"/>
      <c r="H1189" s="5" t="n"/>
      <c r="I1189" s="5" t="n"/>
      <c r="J1189" s="6">
        <f>IF(OR(F1189="",COUNT(G1189:I1189)&lt;3),"",F1189+G1189-H1189-I1189)</f>
        <v/>
      </c>
      <c r="K1189" s="6">
        <f>IF(COUNTA(A1189:D1189,G1189:I1189)=0,"",IF(COUNTA(A1189:D1189,G1189:I1189)&lt;7,"LENGKAPI",IF(H1189+I1189&gt;N(F1189)+G1189,"ABNORMAL",IF(COUNTIFS($A$2:$A$2001,A1189,$B$2:$B$2001,B1189,$C$2:$C$2001,C1189,$D$2:$D$2001,D1189)&gt;1,"DUPLIKAT","OK"))))</f>
        <v/>
      </c>
    </row>
    <row r="1190">
      <c r="A1190" s="4" t="n"/>
      <c r="B1190" s="5" t="n"/>
      <c r="C1190" s="5" t="n"/>
      <c r="D1190" s="5" t="n"/>
      <c r="E1190" s="6">
        <f>IF(A1190="","","B"&amp;TEXT(COUNT($A$2:A1190),"00000"))</f>
        <v/>
      </c>
      <c r="F1190" s="6">
        <f>IF(OR(C1190="",D1190=""),"",IFERROR(LOOKUP(2,1/(($C$1:C1189=C1190)*($D$1:D1189=D1190)*ISNUMBER($J$1:J1189)),$J$1:J1189),SUMIFS(Master!$G$2:$G$13,Master!$E$2:$E$13,C1190,Master!$F$2:$F$13,D1190)))</f>
        <v/>
      </c>
      <c r="G1190" s="5" t="n"/>
      <c r="H1190" s="5" t="n"/>
      <c r="I1190" s="5" t="n"/>
      <c r="J1190" s="6">
        <f>IF(OR(F1190="",COUNT(G1190:I1190)&lt;3),"",F1190+G1190-H1190-I1190)</f>
        <v/>
      </c>
      <c r="K1190" s="6">
        <f>IF(COUNTA(A1190:D1190,G1190:I1190)=0,"",IF(COUNTA(A1190:D1190,G1190:I1190)&lt;7,"LENGKAPI",IF(H1190+I1190&gt;N(F1190)+G1190,"ABNORMAL",IF(COUNTIFS($A$2:$A$2001,A1190,$B$2:$B$2001,B1190,$C$2:$C$2001,C1190,$D$2:$D$2001,D1190)&gt;1,"DUPLIKAT","OK"))))</f>
        <v/>
      </c>
    </row>
    <row r="1191">
      <c r="A1191" s="4" t="n"/>
      <c r="B1191" s="5" t="n"/>
      <c r="C1191" s="5" t="n"/>
      <c r="D1191" s="5" t="n"/>
      <c r="E1191" s="6">
        <f>IF(A1191="","","B"&amp;TEXT(COUNT($A$2:A1191),"00000"))</f>
        <v/>
      </c>
      <c r="F1191" s="6">
        <f>IF(OR(C1191="",D1191=""),"",IFERROR(LOOKUP(2,1/(($C$1:C1190=C1191)*($D$1:D1190=D1191)*ISNUMBER($J$1:J1190)),$J$1:J1190),SUMIFS(Master!$G$2:$G$13,Master!$E$2:$E$13,C1191,Master!$F$2:$F$13,D1191)))</f>
        <v/>
      </c>
      <c r="G1191" s="5" t="n"/>
      <c r="H1191" s="5" t="n"/>
      <c r="I1191" s="5" t="n"/>
      <c r="J1191" s="6">
        <f>IF(OR(F1191="",COUNT(G1191:I1191)&lt;3),"",F1191+G1191-H1191-I1191)</f>
        <v/>
      </c>
      <c r="K1191" s="6">
        <f>IF(COUNTA(A1191:D1191,G1191:I1191)=0,"",IF(COUNTA(A1191:D1191,G1191:I1191)&lt;7,"LENGKAPI",IF(H1191+I1191&gt;N(F1191)+G1191,"ABNORMAL",IF(COUNTIFS($A$2:$A$2001,A1191,$B$2:$B$2001,B1191,$C$2:$C$2001,C1191,$D$2:$D$2001,D1191)&gt;1,"DUPLIKAT","OK"))))</f>
        <v/>
      </c>
    </row>
    <row r="1192">
      <c r="A1192" s="4" t="n"/>
      <c r="B1192" s="5" t="n"/>
      <c r="C1192" s="5" t="n"/>
      <c r="D1192" s="5" t="n"/>
      <c r="E1192" s="6">
        <f>IF(A1192="","","B"&amp;TEXT(COUNT($A$2:A1192),"00000"))</f>
        <v/>
      </c>
      <c r="F1192" s="6">
        <f>IF(OR(C1192="",D1192=""),"",IFERROR(LOOKUP(2,1/(($C$1:C1191=C1192)*($D$1:D1191=D1192)*ISNUMBER($J$1:J1191)),$J$1:J1191),SUMIFS(Master!$G$2:$G$13,Master!$E$2:$E$13,C1192,Master!$F$2:$F$13,D1192)))</f>
        <v/>
      </c>
      <c r="G1192" s="5" t="n"/>
      <c r="H1192" s="5" t="n"/>
      <c r="I1192" s="5" t="n"/>
      <c r="J1192" s="6">
        <f>IF(OR(F1192="",COUNT(G1192:I1192)&lt;3),"",F1192+G1192-H1192-I1192)</f>
        <v/>
      </c>
      <c r="K1192" s="6">
        <f>IF(COUNTA(A1192:D1192,G1192:I1192)=0,"",IF(COUNTA(A1192:D1192,G1192:I1192)&lt;7,"LENGKAPI",IF(H1192+I1192&gt;N(F1192)+G1192,"ABNORMAL",IF(COUNTIFS($A$2:$A$2001,A1192,$B$2:$B$2001,B1192,$C$2:$C$2001,C1192,$D$2:$D$2001,D1192)&gt;1,"DUPLIKAT","OK"))))</f>
        <v/>
      </c>
    </row>
    <row r="1193">
      <c r="A1193" s="4" t="n"/>
      <c r="B1193" s="5" t="n"/>
      <c r="C1193" s="5" t="n"/>
      <c r="D1193" s="5" t="n"/>
      <c r="E1193" s="6">
        <f>IF(A1193="","","B"&amp;TEXT(COUNT($A$2:A1193),"00000"))</f>
        <v/>
      </c>
      <c r="F1193" s="6">
        <f>IF(OR(C1193="",D1193=""),"",IFERROR(LOOKUP(2,1/(($C$1:C1192=C1193)*($D$1:D1192=D1193)*ISNUMBER($J$1:J1192)),$J$1:J1192),SUMIFS(Master!$G$2:$G$13,Master!$E$2:$E$13,C1193,Master!$F$2:$F$13,D1193)))</f>
        <v/>
      </c>
      <c r="G1193" s="5" t="n"/>
      <c r="H1193" s="5" t="n"/>
      <c r="I1193" s="5" t="n"/>
      <c r="J1193" s="6">
        <f>IF(OR(F1193="",COUNT(G1193:I1193)&lt;3),"",F1193+G1193-H1193-I1193)</f>
        <v/>
      </c>
      <c r="K1193" s="6">
        <f>IF(COUNTA(A1193:D1193,G1193:I1193)=0,"",IF(COUNTA(A1193:D1193,G1193:I1193)&lt;7,"LENGKAPI",IF(H1193+I1193&gt;N(F1193)+G1193,"ABNORMAL",IF(COUNTIFS($A$2:$A$2001,A1193,$B$2:$B$2001,B1193,$C$2:$C$2001,C1193,$D$2:$D$2001,D1193)&gt;1,"DUPLIKAT","OK"))))</f>
        <v/>
      </c>
    </row>
    <row r="1194">
      <c r="A1194" s="4" t="n"/>
      <c r="B1194" s="5" t="n"/>
      <c r="C1194" s="5" t="n"/>
      <c r="D1194" s="5" t="n"/>
      <c r="E1194" s="6">
        <f>IF(A1194="","","B"&amp;TEXT(COUNT($A$2:A1194),"00000"))</f>
        <v/>
      </c>
      <c r="F1194" s="6">
        <f>IF(OR(C1194="",D1194=""),"",IFERROR(LOOKUP(2,1/(($C$1:C1193=C1194)*($D$1:D1193=D1194)*ISNUMBER($J$1:J1193)),$J$1:J1193),SUMIFS(Master!$G$2:$G$13,Master!$E$2:$E$13,C1194,Master!$F$2:$F$13,D1194)))</f>
        <v/>
      </c>
      <c r="G1194" s="5" t="n"/>
      <c r="H1194" s="5" t="n"/>
      <c r="I1194" s="5" t="n"/>
      <c r="J1194" s="6">
        <f>IF(OR(F1194="",COUNT(G1194:I1194)&lt;3),"",F1194+G1194-H1194-I1194)</f>
        <v/>
      </c>
      <c r="K1194" s="6">
        <f>IF(COUNTA(A1194:D1194,G1194:I1194)=0,"",IF(COUNTA(A1194:D1194,G1194:I1194)&lt;7,"LENGKAPI",IF(H1194+I1194&gt;N(F1194)+G1194,"ABNORMAL",IF(COUNTIFS($A$2:$A$2001,A1194,$B$2:$B$2001,B1194,$C$2:$C$2001,C1194,$D$2:$D$2001,D1194)&gt;1,"DUPLIKAT","OK"))))</f>
        <v/>
      </c>
    </row>
    <row r="1195">
      <c r="A1195" s="4" t="n"/>
      <c r="B1195" s="5" t="n"/>
      <c r="C1195" s="5" t="n"/>
      <c r="D1195" s="5" t="n"/>
      <c r="E1195" s="6">
        <f>IF(A1195="","","B"&amp;TEXT(COUNT($A$2:A1195),"00000"))</f>
        <v/>
      </c>
      <c r="F1195" s="6">
        <f>IF(OR(C1195="",D1195=""),"",IFERROR(LOOKUP(2,1/(($C$1:C1194=C1195)*($D$1:D1194=D1195)*ISNUMBER($J$1:J1194)),$J$1:J1194),SUMIFS(Master!$G$2:$G$13,Master!$E$2:$E$13,C1195,Master!$F$2:$F$13,D1195)))</f>
        <v/>
      </c>
      <c r="G1195" s="5" t="n"/>
      <c r="H1195" s="5" t="n"/>
      <c r="I1195" s="5" t="n"/>
      <c r="J1195" s="6">
        <f>IF(OR(F1195="",COUNT(G1195:I1195)&lt;3),"",F1195+G1195-H1195-I1195)</f>
        <v/>
      </c>
      <c r="K1195" s="6">
        <f>IF(COUNTA(A1195:D1195,G1195:I1195)=0,"",IF(COUNTA(A1195:D1195,G1195:I1195)&lt;7,"LENGKAPI",IF(H1195+I1195&gt;N(F1195)+G1195,"ABNORMAL",IF(COUNTIFS($A$2:$A$2001,A1195,$B$2:$B$2001,B1195,$C$2:$C$2001,C1195,$D$2:$D$2001,D1195)&gt;1,"DUPLIKAT","OK"))))</f>
        <v/>
      </c>
    </row>
    <row r="1196">
      <c r="A1196" s="4" t="n"/>
      <c r="B1196" s="5" t="n"/>
      <c r="C1196" s="5" t="n"/>
      <c r="D1196" s="5" t="n"/>
      <c r="E1196" s="6">
        <f>IF(A1196="","","B"&amp;TEXT(COUNT($A$2:A1196),"00000"))</f>
        <v/>
      </c>
      <c r="F1196" s="6">
        <f>IF(OR(C1196="",D1196=""),"",IFERROR(LOOKUP(2,1/(($C$1:C1195=C1196)*($D$1:D1195=D1196)*ISNUMBER($J$1:J1195)),$J$1:J1195),SUMIFS(Master!$G$2:$G$13,Master!$E$2:$E$13,C1196,Master!$F$2:$F$13,D1196)))</f>
        <v/>
      </c>
      <c r="G1196" s="5" t="n"/>
      <c r="H1196" s="5" t="n"/>
      <c r="I1196" s="5" t="n"/>
      <c r="J1196" s="6">
        <f>IF(OR(F1196="",COUNT(G1196:I1196)&lt;3),"",F1196+G1196-H1196-I1196)</f>
        <v/>
      </c>
      <c r="K1196" s="6">
        <f>IF(COUNTA(A1196:D1196,G1196:I1196)=0,"",IF(COUNTA(A1196:D1196,G1196:I1196)&lt;7,"LENGKAPI",IF(H1196+I1196&gt;N(F1196)+G1196,"ABNORMAL",IF(COUNTIFS($A$2:$A$2001,A1196,$B$2:$B$2001,B1196,$C$2:$C$2001,C1196,$D$2:$D$2001,D1196)&gt;1,"DUPLIKAT","OK"))))</f>
        <v/>
      </c>
    </row>
    <row r="1197">
      <c r="A1197" s="4" t="n"/>
      <c r="B1197" s="5" t="n"/>
      <c r="C1197" s="5" t="n"/>
      <c r="D1197" s="5" t="n"/>
      <c r="E1197" s="6">
        <f>IF(A1197="","","B"&amp;TEXT(COUNT($A$2:A1197),"00000"))</f>
        <v/>
      </c>
      <c r="F1197" s="6">
        <f>IF(OR(C1197="",D1197=""),"",IFERROR(LOOKUP(2,1/(($C$1:C1196=C1197)*($D$1:D1196=D1197)*ISNUMBER($J$1:J1196)),$J$1:J1196),SUMIFS(Master!$G$2:$G$13,Master!$E$2:$E$13,C1197,Master!$F$2:$F$13,D1197)))</f>
        <v/>
      </c>
      <c r="G1197" s="5" t="n"/>
      <c r="H1197" s="5" t="n"/>
      <c r="I1197" s="5" t="n"/>
      <c r="J1197" s="6">
        <f>IF(OR(F1197="",COUNT(G1197:I1197)&lt;3),"",F1197+G1197-H1197-I1197)</f>
        <v/>
      </c>
      <c r="K1197" s="6">
        <f>IF(COUNTA(A1197:D1197,G1197:I1197)=0,"",IF(COUNTA(A1197:D1197,G1197:I1197)&lt;7,"LENGKAPI",IF(H1197+I1197&gt;N(F1197)+G1197,"ABNORMAL",IF(COUNTIFS($A$2:$A$2001,A1197,$B$2:$B$2001,B1197,$C$2:$C$2001,C1197,$D$2:$D$2001,D1197)&gt;1,"DUPLIKAT","OK"))))</f>
        <v/>
      </c>
    </row>
    <row r="1198">
      <c r="A1198" s="4" t="n"/>
      <c r="B1198" s="5" t="n"/>
      <c r="C1198" s="5" t="n"/>
      <c r="D1198" s="5" t="n"/>
      <c r="E1198" s="6">
        <f>IF(A1198="","","B"&amp;TEXT(COUNT($A$2:A1198),"00000"))</f>
        <v/>
      </c>
      <c r="F1198" s="6">
        <f>IF(OR(C1198="",D1198=""),"",IFERROR(LOOKUP(2,1/(($C$1:C1197=C1198)*($D$1:D1197=D1198)*ISNUMBER($J$1:J1197)),$J$1:J1197),SUMIFS(Master!$G$2:$G$13,Master!$E$2:$E$13,C1198,Master!$F$2:$F$13,D1198)))</f>
        <v/>
      </c>
      <c r="G1198" s="5" t="n"/>
      <c r="H1198" s="5" t="n"/>
      <c r="I1198" s="5" t="n"/>
      <c r="J1198" s="6">
        <f>IF(OR(F1198="",COUNT(G1198:I1198)&lt;3),"",F1198+G1198-H1198-I1198)</f>
        <v/>
      </c>
      <c r="K1198" s="6">
        <f>IF(COUNTA(A1198:D1198,G1198:I1198)=0,"",IF(COUNTA(A1198:D1198,G1198:I1198)&lt;7,"LENGKAPI",IF(H1198+I1198&gt;N(F1198)+G1198,"ABNORMAL",IF(COUNTIFS($A$2:$A$2001,A1198,$B$2:$B$2001,B1198,$C$2:$C$2001,C1198,$D$2:$D$2001,D1198)&gt;1,"DUPLIKAT","OK"))))</f>
        <v/>
      </c>
    </row>
    <row r="1199">
      <c r="A1199" s="4" t="n"/>
      <c r="B1199" s="5" t="n"/>
      <c r="C1199" s="5" t="n"/>
      <c r="D1199" s="5" t="n"/>
      <c r="E1199" s="6">
        <f>IF(A1199="","","B"&amp;TEXT(COUNT($A$2:A1199),"00000"))</f>
        <v/>
      </c>
      <c r="F1199" s="6">
        <f>IF(OR(C1199="",D1199=""),"",IFERROR(LOOKUP(2,1/(($C$1:C1198=C1199)*($D$1:D1198=D1199)*ISNUMBER($J$1:J1198)),$J$1:J1198),SUMIFS(Master!$G$2:$G$13,Master!$E$2:$E$13,C1199,Master!$F$2:$F$13,D1199)))</f>
        <v/>
      </c>
      <c r="G1199" s="5" t="n"/>
      <c r="H1199" s="5" t="n"/>
      <c r="I1199" s="5" t="n"/>
      <c r="J1199" s="6">
        <f>IF(OR(F1199="",COUNT(G1199:I1199)&lt;3),"",F1199+G1199-H1199-I1199)</f>
        <v/>
      </c>
      <c r="K1199" s="6">
        <f>IF(COUNTA(A1199:D1199,G1199:I1199)=0,"",IF(COUNTA(A1199:D1199,G1199:I1199)&lt;7,"LENGKAPI",IF(H1199+I1199&gt;N(F1199)+G1199,"ABNORMAL",IF(COUNTIFS($A$2:$A$2001,A1199,$B$2:$B$2001,B1199,$C$2:$C$2001,C1199,$D$2:$D$2001,D1199)&gt;1,"DUPLIKAT","OK"))))</f>
        <v/>
      </c>
    </row>
    <row r="1200">
      <c r="A1200" s="4" t="n"/>
      <c r="B1200" s="5" t="n"/>
      <c r="C1200" s="5" t="n"/>
      <c r="D1200" s="5" t="n"/>
      <c r="E1200" s="6">
        <f>IF(A1200="","","B"&amp;TEXT(COUNT($A$2:A1200),"00000"))</f>
        <v/>
      </c>
      <c r="F1200" s="6">
        <f>IF(OR(C1200="",D1200=""),"",IFERROR(LOOKUP(2,1/(($C$1:C1199=C1200)*($D$1:D1199=D1200)*ISNUMBER($J$1:J1199)),$J$1:J1199),SUMIFS(Master!$G$2:$G$13,Master!$E$2:$E$13,C1200,Master!$F$2:$F$13,D1200)))</f>
        <v/>
      </c>
      <c r="G1200" s="5" t="n"/>
      <c r="H1200" s="5" t="n"/>
      <c r="I1200" s="5" t="n"/>
      <c r="J1200" s="6">
        <f>IF(OR(F1200="",COUNT(G1200:I1200)&lt;3),"",F1200+G1200-H1200-I1200)</f>
        <v/>
      </c>
      <c r="K1200" s="6">
        <f>IF(COUNTA(A1200:D1200,G1200:I1200)=0,"",IF(COUNTA(A1200:D1200,G1200:I1200)&lt;7,"LENGKAPI",IF(H1200+I1200&gt;N(F1200)+G1200,"ABNORMAL",IF(COUNTIFS($A$2:$A$2001,A1200,$B$2:$B$2001,B1200,$C$2:$C$2001,C1200,$D$2:$D$2001,D1200)&gt;1,"DUPLIKAT","OK"))))</f>
        <v/>
      </c>
    </row>
    <row r="1201">
      <c r="A1201" s="4" t="n"/>
      <c r="B1201" s="5" t="n"/>
      <c r="C1201" s="5" t="n"/>
      <c r="D1201" s="5" t="n"/>
      <c r="E1201" s="6">
        <f>IF(A1201="","","B"&amp;TEXT(COUNT($A$2:A1201),"00000"))</f>
        <v/>
      </c>
      <c r="F1201" s="6">
        <f>IF(OR(C1201="",D1201=""),"",IFERROR(LOOKUP(2,1/(($C$1:C1200=C1201)*($D$1:D1200=D1201)*ISNUMBER($J$1:J1200)),$J$1:J1200),SUMIFS(Master!$G$2:$G$13,Master!$E$2:$E$13,C1201,Master!$F$2:$F$13,D1201)))</f>
        <v/>
      </c>
      <c r="G1201" s="5" t="n"/>
      <c r="H1201" s="5" t="n"/>
      <c r="I1201" s="5" t="n"/>
      <c r="J1201" s="6">
        <f>IF(OR(F1201="",COUNT(G1201:I1201)&lt;3),"",F1201+G1201-H1201-I1201)</f>
        <v/>
      </c>
      <c r="K1201" s="6">
        <f>IF(COUNTA(A1201:D1201,G1201:I1201)=0,"",IF(COUNTA(A1201:D1201,G1201:I1201)&lt;7,"LENGKAPI",IF(H1201+I1201&gt;N(F1201)+G1201,"ABNORMAL",IF(COUNTIFS($A$2:$A$2001,A1201,$B$2:$B$2001,B1201,$C$2:$C$2001,C1201,$D$2:$D$2001,D1201)&gt;1,"DUPLIKAT","OK"))))</f>
        <v/>
      </c>
    </row>
    <row r="1202">
      <c r="A1202" s="4" t="n"/>
      <c r="B1202" s="5" t="n"/>
      <c r="C1202" s="5" t="n"/>
      <c r="D1202" s="5" t="n"/>
      <c r="E1202" s="6">
        <f>IF(A1202="","","B"&amp;TEXT(COUNT($A$2:A1202),"00000"))</f>
        <v/>
      </c>
      <c r="F1202" s="6">
        <f>IF(OR(C1202="",D1202=""),"",IFERROR(LOOKUP(2,1/(($C$1:C1201=C1202)*($D$1:D1201=D1202)*ISNUMBER($J$1:J1201)),$J$1:J1201),SUMIFS(Master!$G$2:$G$13,Master!$E$2:$E$13,C1202,Master!$F$2:$F$13,D1202)))</f>
        <v/>
      </c>
      <c r="G1202" s="5" t="n"/>
      <c r="H1202" s="5" t="n"/>
      <c r="I1202" s="5" t="n"/>
      <c r="J1202" s="6">
        <f>IF(OR(F1202="",COUNT(G1202:I1202)&lt;3),"",F1202+G1202-H1202-I1202)</f>
        <v/>
      </c>
      <c r="K1202" s="6">
        <f>IF(COUNTA(A1202:D1202,G1202:I1202)=0,"",IF(COUNTA(A1202:D1202,G1202:I1202)&lt;7,"LENGKAPI",IF(H1202+I1202&gt;N(F1202)+G1202,"ABNORMAL",IF(COUNTIFS($A$2:$A$2001,A1202,$B$2:$B$2001,B1202,$C$2:$C$2001,C1202,$D$2:$D$2001,D1202)&gt;1,"DUPLIKAT","OK"))))</f>
        <v/>
      </c>
    </row>
    <row r="1203">
      <c r="A1203" s="4" t="n"/>
      <c r="B1203" s="5" t="n"/>
      <c r="C1203" s="5" t="n"/>
      <c r="D1203" s="5" t="n"/>
      <c r="E1203" s="6">
        <f>IF(A1203="","","B"&amp;TEXT(COUNT($A$2:A1203),"00000"))</f>
        <v/>
      </c>
      <c r="F1203" s="6">
        <f>IF(OR(C1203="",D1203=""),"",IFERROR(LOOKUP(2,1/(($C$1:C1202=C1203)*($D$1:D1202=D1203)*ISNUMBER($J$1:J1202)),$J$1:J1202),SUMIFS(Master!$G$2:$G$13,Master!$E$2:$E$13,C1203,Master!$F$2:$F$13,D1203)))</f>
        <v/>
      </c>
      <c r="G1203" s="5" t="n"/>
      <c r="H1203" s="5" t="n"/>
      <c r="I1203" s="5" t="n"/>
      <c r="J1203" s="6">
        <f>IF(OR(F1203="",COUNT(G1203:I1203)&lt;3),"",F1203+G1203-H1203-I1203)</f>
        <v/>
      </c>
      <c r="K1203" s="6">
        <f>IF(COUNTA(A1203:D1203,G1203:I1203)=0,"",IF(COUNTA(A1203:D1203,G1203:I1203)&lt;7,"LENGKAPI",IF(H1203+I1203&gt;N(F1203)+G1203,"ABNORMAL",IF(COUNTIFS($A$2:$A$2001,A1203,$B$2:$B$2001,B1203,$C$2:$C$2001,C1203,$D$2:$D$2001,D1203)&gt;1,"DUPLIKAT","OK"))))</f>
        <v/>
      </c>
    </row>
    <row r="1204">
      <c r="A1204" s="4" t="n"/>
      <c r="B1204" s="5" t="n"/>
      <c r="C1204" s="5" t="n"/>
      <c r="D1204" s="5" t="n"/>
      <c r="E1204" s="6">
        <f>IF(A1204="","","B"&amp;TEXT(COUNT($A$2:A1204),"00000"))</f>
        <v/>
      </c>
      <c r="F1204" s="6">
        <f>IF(OR(C1204="",D1204=""),"",IFERROR(LOOKUP(2,1/(($C$1:C1203=C1204)*($D$1:D1203=D1204)*ISNUMBER($J$1:J1203)),$J$1:J1203),SUMIFS(Master!$G$2:$G$13,Master!$E$2:$E$13,C1204,Master!$F$2:$F$13,D1204)))</f>
        <v/>
      </c>
      <c r="G1204" s="5" t="n"/>
      <c r="H1204" s="5" t="n"/>
      <c r="I1204" s="5" t="n"/>
      <c r="J1204" s="6">
        <f>IF(OR(F1204="",COUNT(G1204:I1204)&lt;3),"",F1204+G1204-H1204-I1204)</f>
        <v/>
      </c>
      <c r="K1204" s="6">
        <f>IF(COUNTA(A1204:D1204,G1204:I1204)=0,"",IF(COUNTA(A1204:D1204,G1204:I1204)&lt;7,"LENGKAPI",IF(H1204+I1204&gt;N(F1204)+G1204,"ABNORMAL",IF(COUNTIFS($A$2:$A$2001,A1204,$B$2:$B$2001,B1204,$C$2:$C$2001,C1204,$D$2:$D$2001,D1204)&gt;1,"DUPLIKAT","OK"))))</f>
        <v/>
      </c>
    </row>
    <row r="1205">
      <c r="A1205" s="4" t="n"/>
      <c r="B1205" s="5" t="n"/>
      <c r="C1205" s="5" t="n"/>
      <c r="D1205" s="5" t="n"/>
      <c r="E1205" s="6">
        <f>IF(A1205="","","B"&amp;TEXT(COUNT($A$2:A1205),"00000"))</f>
        <v/>
      </c>
      <c r="F1205" s="6">
        <f>IF(OR(C1205="",D1205=""),"",IFERROR(LOOKUP(2,1/(($C$1:C1204=C1205)*($D$1:D1204=D1205)*ISNUMBER($J$1:J1204)),$J$1:J1204),SUMIFS(Master!$G$2:$G$13,Master!$E$2:$E$13,C1205,Master!$F$2:$F$13,D1205)))</f>
        <v/>
      </c>
      <c r="G1205" s="5" t="n"/>
      <c r="H1205" s="5" t="n"/>
      <c r="I1205" s="5" t="n"/>
      <c r="J1205" s="6">
        <f>IF(OR(F1205="",COUNT(G1205:I1205)&lt;3),"",F1205+G1205-H1205-I1205)</f>
        <v/>
      </c>
      <c r="K1205" s="6">
        <f>IF(COUNTA(A1205:D1205,G1205:I1205)=0,"",IF(COUNTA(A1205:D1205,G1205:I1205)&lt;7,"LENGKAPI",IF(H1205+I1205&gt;N(F1205)+G1205,"ABNORMAL",IF(COUNTIFS($A$2:$A$2001,A1205,$B$2:$B$2001,B1205,$C$2:$C$2001,C1205,$D$2:$D$2001,D1205)&gt;1,"DUPLIKAT","OK"))))</f>
        <v/>
      </c>
    </row>
    <row r="1206">
      <c r="A1206" s="4" t="n"/>
      <c r="B1206" s="5" t="n"/>
      <c r="C1206" s="5" t="n"/>
      <c r="D1206" s="5" t="n"/>
      <c r="E1206" s="6">
        <f>IF(A1206="","","B"&amp;TEXT(COUNT($A$2:A1206),"00000"))</f>
        <v/>
      </c>
      <c r="F1206" s="6">
        <f>IF(OR(C1206="",D1206=""),"",IFERROR(LOOKUP(2,1/(($C$1:C1205=C1206)*($D$1:D1205=D1206)*ISNUMBER($J$1:J1205)),$J$1:J1205),SUMIFS(Master!$G$2:$G$13,Master!$E$2:$E$13,C1206,Master!$F$2:$F$13,D1206)))</f>
        <v/>
      </c>
      <c r="G1206" s="5" t="n"/>
      <c r="H1206" s="5" t="n"/>
      <c r="I1206" s="5" t="n"/>
      <c r="J1206" s="6">
        <f>IF(OR(F1206="",COUNT(G1206:I1206)&lt;3),"",F1206+G1206-H1206-I1206)</f>
        <v/>
      </c>
      <c r="K1206" s="6">
        <f>IF(COUNTA(A1206:D1206,G1206:I1206)=0,"",IF(COUNTA(A1206:D1206,G1206:I1206)&lt;7,"LENGKAPI",IF(H1206+I1206&gt;N(F1206)+G1206,"ABNORMAL",IF(COUNTIFS($A$2:$A$2001,A1206,$B$2:$B$2001,B1206,$C$2:$C$2001,C1206,$D$2:$D$2001,D1206)&gt;1,"DUPLIKAT","OK"))))</f>
        <v/>
      </c>
    </row>
    <row r="1207">
      <c r="A1207" s="4" t="n"/>
      <c r="B1207" s="5" t="n"/>
      <c r="C1207" s="5" t="n"/>
      <c r="D1207" s="5" t="n"/>
      <c r="E1207" s="6">
        <f>IF(A1207="","","B"&amp;TEXT(COUNT($A$2:A1207),"00000"))</f>
        <v/>
      </c>
      <c r="F1207" s="6">
        <f>IF(OR(C1207="",D1207=""),"",IFERROR(LOOKUP(2,1/(($C$1:C1206=C1207)*($D$1:D1206=D1207)*ISNUMBER($J$1:J1206)),$J$1:J1206),SUMIFS(Master!$G$2:$G$13,Master!$E$2:$E$13,C1207,Master!$F$2:$F$13,D1207)))</f>
        <v/>
      </c>
      <c r="G1207" s="5" t="n"/>
      <c r="H1207" s="5" t="n"/>
      <c r="I1207" s="5" t="n"/>
      <c r="J1207" s="6">
        <f>IF(OR(F1207="",COUNT(G1207:I1207)&lt;3),"",F1207+G1207-H1207-I1207)</f>
        <v/>
      </c>
      <c r="K1207" s="6">
        <f>IF(COUNTA(A1207:D1207,G1207:I1207)=0,"",IF(COUNTA(A1207:D1207,G1207:I1207)&lt;7,"LENGKAPI",IF(H1207+I1207&gt;N(F1207)+G1207,"ABNORMAL",IF(COUNTIFS($A$2:$A$2001,A1207,$B$2:$B$2001,B1207,$C$2:$C$2001,C1207,$D$2:$D$2001,D1207)&gt;1,"DUPLIKAT","OK"))))</f>
        <v/>
      </c>
    </row>
    <row r="1208">
      <c r="A1208" s="4" t="n"/>
      <c r="B1208" s="5" t="n"/>
      <c r="C1208" s="5" t="n"/>
      <c r="D1208" s="5" t="n"/>
      <c r="E1208" s="6">
        <f>IF(A1208="","","B"&amp;TEXT(COUNT($A$2:A1208),"00000"))</f>
        <v/>
      </c>
      <c r="F1208" s="6">
        <f>IF(OR(C1208="",D1208=""),"",IFERROR(LOOKUP(2,1/(($C$1:C1207=C1208)*($D$1:D1207=D1208)*ISNUMBER($J$1:J1207)),$J$1:J1207),SUMIFS(Master!$G$2:$G$13,Master!$E$2:$E$13,C1208,Master!$F$2:$F$13,D1208)))</f>
        <v/>
      </c>
      <c r="G1208" s="5" t="n"/>
      <c r="H1208" s="5" t="n"/>
      <c r="I1208" s="5" t="n"/>
      <c r="J1208" s="6">
        <f>IF(OR(F1208="",COUNT(G1208:I1208)&lt;3),"",F1208+G1208-H1208-I1208)</f>
        <v/>
      </c>
      <c r="K1208" s="6">
        <f>IF(COUNTA(A1208:D1208,G1208:I1208)=0,"",IF(COUNTA(A1208:D1208,G1208:I1208)&lt;7,"LENGKAPI",IF(H1208+I1208&gt;N(F1208)+G1208,"ABNORMAL",IF(COUNTIFS($A$2:$A$2001,A1208,$B$2:$B$2001,B1208,$C$2:$C$2001,C1208,$D$2:$D$2001,D1208)&gt;1,"DUPLIKAT","OK"))))</f>
        <v/>
      </c>
    </row>
    <row r="1209">
      <c r="A1209" s="4" t="n"/>
      <c r="B1209" s="5" t="n"/>
      <c r="C1209" s="5" t="n"/>
      <c r="D1209" s="5" t="n"/>
      <c r="E1209" s="6">
        <f>IF(A1209="","","B"&amp;TEXT(COUNT($A$2:A1209),"00000"))</f>
        <v/>
      </c>
      <c r="F1209" s="6">
        <f>IF(OR(C1209="",D1209=""),"",IFERROR(LOOKUP(2,1/(($C$1:C1208=C1209)*($D$1:D1208=D1209)*ISNUMBER($J$1:J1208)),$J$1:J1208),SUMIFS(Master!$G$2:$G$13,Master!$E$2:$E$13,C1209,Master!$F$2:$F$13,D1209)))</f>
        <v/>
      </c>
      <c r="G1209" s="5" t="n"/>
      <c r="H1209" s="5" t="n"/>
      <c r="I1209" s="5" t="n"/>
      <c r="J1209" s="6">
        <f>IF(OR(F1209="",COUNT(G1209:I1209)&lt;3),"",F1209+G1209-H1209-I1209)</f>
        <v/>
      </c>
      <c r="K1209" s="6">
        <f>IF(COUNTA(A1209:D1209,G1209:I1209)=0,"",IF(COUNTA(A1209:D1209,G1209:I1209)&lt;7,"LENGKAPI",IF(H1209+I1209&gt;N(F1209)+G1209,"ABNORMAL",IF(COUNTIFS($A$2:$A$2001,A1209,$B$2:$B$2001,B1209,$C$2:$C$2001,C1209,$D$2:$D$2001,D1209)&gt;1,"DUPLIKAT","OK"))))</f>
        <v/>
      </c>
    </row>
    <row r="1210">
      <c r="A1210" s="4" t="n"/>
      <c r="B1210" s="5" t="n"/>
      <c r="C1210" s="5" t="n"/>
      <c r="D1210" s="5" t="n"/>
      <c r="E1210" s="6">
        <f>IF(A1210="","","B"&amp;TEXT(COUNT($A$2:A1210),"00000"))</f>
        <v/>
      </c>
      <c r="F1210" s="6">
        <f>IF(OR(C1210="",D1210=""),"",IFERROR(LOOKUP(2,1/(($C$1:C1209=C1210)*($D$1:D1209=D1210)*ISNUMBER($J$1:J1209)),$J$1:J1209),SUMIFS(Master!$G$2:$G$13,Master!$E$2:$E$13,C1210,Master!$F$2:$F$13,D1210)))</f>
        <v/>
      </c>
      <c r="G1210" s="5" t="n"/>
      <c r="H1210" s="5" t="n"/>
      <c r="I1210" s="5" t="n"/>
      <c r="J1210" s="6">
        <f>IF(OR(F1210="",COUNT(G1210:I1210)&lt;3),"",F1210+G1210-H1210-I1210)</f>
        <v/>
      </c>
      <c r="K1210" s="6">
        <f>IF(COUNTA(A1210:D1210,G1210:I1210)=0,"",IF(COUNTA(A1210:D1210,G1210:I1210)&lt;7,"LENGKAPI",IF(H1210+I1210&gt;N(F1210)+G1210,"ABNORMAL",IF(COUNTIFS($A$2:$A$2001,A1210,$B$2:$B$2001,B1210,$C$2:$C$2001,C1210,$D$2:$D$2001,D1210)&gt;1,"DUPLIKAT","OK"))))</f>
        <v/>
      </c>
    </row>
    <row r="1211">
      <c r="A1211" s="4" t="n"/>
      <c r="B1211" s="5" t="n"/>
      <c r="C1211" s="5" t="n"/>
      <c r="D1211" s="5" t="n"/>
      <c r="E1211" s="6">
        <f>IF(A1211="","","B"&amp;TEXT(COUNT($A$2:A1211),"00000"))</f>
        <v/>
      </c>
      <c r="F1211" s="6">
        <f>IF(OR(C1211="",D1211=""),"",IFERROR(LOOKUP(2,1/(($C$1:C1210=C1211)*($D$1:D1210=D1211)*ISNUMBER($J$1:J1210)),$J$1:J1210),SUMIFS(Master!$G$2:$G$13,Master!$E$2:$E$13,C1211,Master!$F$2:$F$13,D1211)))</f>
        <v/>
      </c>
      <c r="G1211" s="5" t="n"/>
      <c r="H1211" s="5" t="n"/>
      <c r="I1211" s="5" t="n"/>
      <c r="J1211" s="6">
        <f>IF(OR(F1211="",COUNT(G1211:I1211)&lt;3),"",F1211+G1211-H1211-I1211)</f>
        <v/>
      </c>
      <c r="K1211" s="6">
        <f>IF(COUNTA(A1211:D1211,G1211:I1211)=0,"",IF(COUNTA(A1211:D1211,G1211:I1211)&lt;7,"LENGKAPI",IF(H1211+I1211&gt;N(F1211)+G1211,"ABNORMAL",IF(COUNTIFS($A$2:$A$2001,A1211,$B$2:$B$2001,B1211,$C$2:$C$2001,C1211,$D$2:$D$2001,D1211)&gt;1,"DUPLIKAT","OK"))))</f>
        <v/>
      </c>
    </row>
    <row r="1212">
      <c r="A1212" s="4" t="n"/>
      <c r="B1212" s="5" t="n"/>
      <c r="C1212" s="5" t="n"/>
      <c r="D1212" s="5" t="n"/>
      <c r="E1212" s="6">
        <f>IF(A1212="","","B"&amp;TEXT(COUNT($A$2:A1212),"00000"))</f>
        <v/>
      </c>
      <c r="F1212" s="6">
        <f>IF(OR(C1212="",D1212=""),"",IFERROR(LOOKUP(2,1/(($C$1:C1211=C1212)*($D$1:D1211=D1212)*ISNUMBER($J$1:J1211)),$J$1:J1211),SUMIFS(Master!$G$2:$G$13,Master!$E$2:$E$13,C1212,Master!$F$2:$F$13,D1212)))</f>
        <v/>
      </c>
      <c r="G1212" s="5" t="n"/>
      <c r="H1212" s="5" t="n"/>
      <c r="I1212" s="5" t="n"/>
      <c r="J1212" s="6">
        <f>IF(OR(F1212="",COUNT(G1212:I1212)&lt;3),"",F1212+G1212-H1212-I1212)</f>
        <v/>
      </c>
      <c r="K1212" s="6">
        <f>IF(COUNTA(A1212:D1212,G1212:I1212)=0,"",IF(COUNTA(A1212:D1212,G1212:I1212)&lt;7,"LENGKAPI",IF(H1212+I1212&gt;N(F1212)+G1212,"ABNORMAL",IF(COUNTIFS($A$2:$A$2001,A1212,$B$2:$B$2001,B1212,$C$2:$C$2001,C1212,$D$2:$D$2001,D1212)&gt;1,"DUPLIKAT","OK"))))</f>
        <v/>
      </c>
    </row>
    <row r="1213">
      <c r="A1213" s="4" t="n"/>
      <c r="B1213" s="5" t="n"/>
      <c r="C1213" s="5" t="n"/>
      <c r="D1213" s="5" t="n"/>
      <c r="E1213" s="6">
        <f>IF(A1213="","","B"&amp;TEXT(COUNT($A$2:A1213),"00000"))</f>
        <v/>
      </c>
      <c r="F1213" s="6">
        <f>IF(OR(C1213="",D1213=""),"",IFERROR(LOOKUP(2,1/(($C$1:C1212=C1213)*($D$1:D1212=D1213)*ISNUMBER($J$1:J1212)),$J$1:J1212),SUMIFS(Master!$G$2:$G$13,Master!$E$2:$E$13,C1213,Master!$F$2:$F$13,D1213)))</f>
        <v/>
      </c>
      <c r="G1213" s="5" t="n"/>
      <c r="H1213" s="5" t="n"/>
      <c r="I1213" s="5" t="n"/>
      <c r="J1213" s="6">
        <f>IF(OR(F1213="",COUNT(G1213:I1213)&lt;3),"",F1213+G1213-H1213-I1213)</f>
        <v/>
      </c>
      <c r="K1213" s="6">
        <f>IF(COUNTA(A1213:D1213,G1213:I1213)=0,"",IF(COUNTA(A1213:D1213,G1213:I1213)&lt;7,"LENGKAPI",IF(H1213+I1213&gt;N(F1213)+G1213,"ABNORMAL",IF(COUNTIFS($A$2:$A$2001,A1213,$B$2:$B$2001,B1213,$C$2:$C$2001,C1213,$D$2:$D$2001,D1213)&gt;1,"DUPLIKAT","OK"))))</f>
        <v/>
      </c>
    </row>
    <row r="1214">
      <c r="A1214" s="4" t="n"/>
      <c r="B1214" s="5" t="n"/>
      <c r="C1214" s="5" t="n"/>
      <c r="D1214" s="5" t="n"/>
      <c r="E1214" s="6">
        <f>IF(A1214="","","B"&amp;TEXT(COUNT($A$2:A1214),"00000"))</f>
        <v/>
      </c>
      <c r="F1214" s="6">
        <f>IF(OR(C1214="",D1214=""),"",IFERROR(LOOKUP(2,1/(($C$1:C1213=C1214)*($D$1:D1213=D1214)*ISNUMBER($J$1:J1213)),$J$1:J1213),SUMIFS(Master!$G$2:$G$13,Master!$E$2:$E$13,C1214,Master!$F$2:$F$13,D1214)))</f>
        <v/>
      </c>
      <c r="G1214" s="5" t="n"/>
      <c r="H1214" s="5" t="n"/>
      <c r="I1214" s="5" t="n"/>
      <c r="J1214" s="6">
        <f>IF(OR(F1214="",COUNT(G1214:I1214)&lt;3),"",F1214+G1214-H1214-I1214)</f>
        <v/>
      </c>
      <c r="K1214" s="6">
        <f>IF(COUNTA(A1214:D1214,G1214:I1214)=0,"",IF(COUNTA(A1214:D1214,G1214:I1214)&lt;7,"LENGKAPI",IF(H1214+I1214&gt;N(F1214)+G1214,"ABNORMAL",IF(COUNTIFS($A$2:$A$2001,A1214,$B$2:$B$2001,B1214,$C$2:$C$2001,C1214,$D$2:$D$2001,D1214)&gt;1,"DUPLIKAT","OK"))))</f>
        <v/>
      </c>
    </row>
    <row r="1215">
      <c r="A1215" s="4" t="n"/>
      <c r="B1215" s="5" t="n"/>
      <c r="C1215" s="5" t="n"/>
      <c r="D1215" s="5" t="n"/>
      <c r="E1215" s="6">
        <f>IF(A1215="","","B"&amp;TEXT(COUNT($A$2:A1215),"00000"))</f>
        <v/>
      </c>
      <c r="F1215" s="6">
        <f>IF(OR(C1215="",D1215=""),"",IFERROR(LOOKUP(2,1/(($C$1:C1214=C1215)*($D$1:D1214=D1215)*ISNUMBER($J$1:J1214)),$J$1:J1214),SUMIFS(Master!$G$2:$G$13,Master!$E$2:$E$13,C1215,Master!$F$2:$F$13,D1215)))</f>
        <v/>
      </c>
      <c r="G1215" s="5" t="n"/>
      <c r="H1215" s="5" t="n"/>
      <c r="I1215" s="5" t="n"/>
      <c r="J1215" s="6">
        <f>IF(OR(F1215="",COUNT(G1215:I1215)&lt;3),"",F1215+G1215-H1215-I1215)</f>
        <v/>
      </c>
      <c r="K1215" s="6">
        <f>IF(COUNTA(A1215:D1215,G1215:I1215)=0,"",IF(COUNTA(A1215:D1215,G1215:I1215)&lt;7,"LENGKAPI",IF(H1215+I1215&gt;N(F1215)+G1215,"ABNORMAL",IF(COUNTIFS($A$2:$A$2001,A1215,$B$2:$B$2001,B1215,$C$2:$C$2001,C1215,$D$2:$D$2001,D1215)&gt;1,"DUPLIKAT","OK"))))</f>
        <v/>
      </c>
    </row>
    <row r="1216">
      <c r="A1216" s="4" t="n"/>
      <c r="B1216" s="5" t="n"/>
      <c r="C1216" s="5" t="n"/>
      <c r="D1216" s="5" t="n"/>
      <c r="E1216" s="6">
        <f>IF(A1216="","","B"&amp;TEXT(COUNT($A$2:A1216),"00000"))</f>
        <v/>
      </c>
      <c r="F1216" s="6">
        <f>IF(OR(C1216="",D1216=""),"",IFERROR(LOOKUP(2,1/(($C$1:C1215=C1216)*($D$1:D1215=D1216)*ISNUMBER($J$1:J1215)),$J$1:J1215),SUMIFS(Master!$G$2:$G$13,Master!$E$2:$E$13,C1216,Master!$F$2:$F$13,D1216)))</f>
        <v/>
      </c>
      <c r="G1216" s="5" t="n"/>
      <c r="H1216" s="5" t="n"/>
      <c r="I1216" s="5" t="n"/>
      <c r="J1216" s="6">
        <f>IF(OR(F1216="",COUNT(G1216:I1216)&lt;3),"",F1216+G1216-H1216-I1216)</f>
        <v/>
      </c>
      <c r="K1216" s="6">
        <f>IF(COUNTA(A1216:D1216,G1216:I1216)=0,"",IF(COUNTA(A1216:D1216,G1216:I1216)&lt;7,"LENGKAPI",IF(H1216+I1216&gt;N(F1216)+G1216,"ABNORMAL",IF(COUNTIFS($A$2:$A$2001,A1216,$B$2:$B$2001,B1216,$C$2:$C$2001,C1216,$D$2:$D$2001,D1216)&gt;1,"DUPLIKAT","OK"))))</f>
        <v/>
      </c>
    </row>
    <row r="1217">
      <c r="A1217" s="4" t="n"/>
      <c r="B1217" s="5" t="n"/>
      <c r="C1217" s="5" t="n"/>
      <c r="D1217" s="5" t="n"/>
      <c r="E1217" s="6">
        <f>IF(A1217="","","B"&amp;TEXT(COUNT($A$2:A1217),"00000"))</f>
        <v/>
      </c>
      <c r="F1217" s="6">
        <f>IF(OR(C1217="",D1217=""),"",IFERROR(LOOKUP(2,1/(($C$1:C1216=C1217)*($D$1:D1216=D1217)*ISNUMBER($J$1:J1216)),$J$1:J1216),SUMIFS(Master!$G$2:$G$13,Master!$E$2:$E$13,C1217,Master!$F$2:$F$13,D1217)))</f>
        <v/>
      </c>
      <c r="G1217" s="5" t="n"/>
      <c r="H1217" s="5" t="n"/>
      <c r="I1217" s="5" t="n"/>
      <c r="J1217" s="6">
        <f>IF(OR(F1217="",COUNT(G1217:I1217)&lt;3),"",F1217+G1217-H1217-I1217)</f>
        <v/>
      </c>
      <c r="K1217" s="6">
        <f>IF(COUNTA(A1217:D1217,G1217:I1217)=0,"",IF(COUNTA(A1217:D1217,G1217:I1217)&lt;7,"LENGKAPI",IF(H1217+I1217&gt;N(F1217)+G1217,"ABNORMAL",IF(COUNTIFS($A$2:$A$2001,A1217,$B$2:$B$2001,B1217,$C$2:$C$2001,C1217,$D$2:$D$2001,D1217)&gt;1,"DUPLIKAT","OK"))))</f>
        <v/>
      </c>
    </row>
    <row r="1218">
      <c r="A1218" s="4" t="n"/>
      <c r="B1218" s="5" t="n"/>
      <c r="C1218" s="5" t="n"/>
      <c r="D1218" s="5" t="n"/>
      <c r="E1218" s="6">
        <f>IF(A1218="","","B"&amp;TEXT(COUNT($A$2:A1218),"00000"))</f>
        <v/>
      </c>
      <c r="F1218" s="6">
        <f>IF(OR(C1218="",D1218=""),"",IFERROR(LOOKUP(2,1/(($C$1:C1217=C1218)*($D$1:D1217=D1218)*ISNUMBER($J$1:J1217)),$J$1:J1217),SUMIFS(Master!$G$2:$G$13,Master!$E$2:$E$13,C1218,Master!$F$2:$F$13,D1218)))</f>
        <v/>
      </c>
      <c r="G1218" s="5" t="n"/>
      <c r="H1218" s="5" t="n"/>
      <c r="I1218" s="5" t="n"/>
      <c r="J1218" s="6">
        <f>IF(OR(F1218="",COUNT(G1218:I1218)&lt;3),"",F1218+G1218-H1218-I1218)</f>
        <v/>
      </c>
      <c r="K1218" s="6">
        <f>IF(COUNTA(A1218:D1218,G1218:I1218)=0,"",IF(COUNTA(A1218:D1218,G1218:I1218)&lt;7,"LENGKAPI",IF(H1218+I1218&gt;N(F1218)+G1218,"ABNORMAL",IF(COUNTIFS($A$2:$A$2001,A1218,$B$2:$B$2001,B1218,$C$2:$C$2001,C1218,$D$2:$D$2001,D1218)&gt;1,"DUPLIKAT","OK"))))</f>
        <v/>
      </c>
    </row>
    <row r="1219">
      <c r="A1219" s="4" t="n"/>
      <c r="B1219" s="5" t="n"/>
      <c r="C1219" s="5" t="n"/>
      <c r="D1219" s="5" t="n"/>
      <c r="E1219" s="6">
        <f>IF(A1219="","","B"&amp;TEXT(COUNT($A$2:A1219),"00000"))</f>
        <v/>
      </c>
      <c r="F1219" s="6">
        <f>IF(OR(C1219="",D1219=""),"",IFERROR(LOOKUP(2,1/(($C$1:C1218=C1219)*($D$1:D1218=D1219)*ISNUMBER($J$1:J1218)),$J$1:J1218),SUMIFS(Master!$G$2:$G$13,Master!$E$2:$E$13,C1219,Master!$F$2:$F$13,D1219)))</f>
        <v/>
      </c>
      <c r="G1219" s="5" t="n"/>
      <c r="H1219" s="5" t="n"/>
      <c r="I1219" s="5" t="n"/>
      <c r="J1219" s="6">
        <f>IF(OR(F1219="",COUNT(G1219:I1219)&lt;3),"",F1219+G1219-H1219-I1219)</f>
        <v/>
      </c>
      <c r="K1219" s="6">
        <f>IF(COUNTA(A1219:D1219,G1219:I1219)=0,"",IF(COUNTA(A1219:D1219,G1219:I1219)&lt;7,"LENGKAPI",IF(H1219+I1219&gt;N(F1219)+G1219,"ABNORMAL",IF(COUNTIFS($A$2:$A$2001,A1219,$B$2:$B$2001,B1219,$C$2:$C$2001,C1219,$D$2:$D$2001,D1219)&gt;1,"DUPLIKAT","OK"))))</f>
        <v/>
      </c>
    </row>
    <row r="1220">
      <c r="A1220" s="4" t="n"/>
      <c r="B1220" s="5" t="n"/>
      <c r="C1220" s="5" t="n"/>
      <c r="D1220" s="5" t="n"/>
      <c r="E1220" s="6">
        <f>IF(A1220="","","B"&amp;TEXT(COUNT($A$2:A1220),"00000"))</f>
        <v/>
      </c>
      <c r="F1220" s="6">
        <f>IF(OR(C1220="",D1220=""),"",IFERROR(LOOKUP(2,1/(($C$1:C1219=C1220)*($D$1:D1219=D1220)*ISNUMBER($J$1:J1219)),$J$1:J1219),SUMIFS(Master!$G$2:$G$13,Master!$E$2:$E$13,C1220,Master!$F$2:$F$13,D1220)))</f>
        <v/>
      </c>
      <c r="G1220" s="5" t="n"/>
      <c r="H1220" s="5" t="n"/>
      <c r="I1220" s="5" t="n"/>
      <c r="J1220" s="6">
        <f>IF(OR(F1220="",COUNT(G1220:I1220)&lt;3),"",F1220+G1220-H1220-I1220)</f>
        <v/>
      </c>
      <c r="K1220" s="6">
        <f>IF(COUNTA(A1220:D1220,G1220:I1220)=0,"",IF(COUNTA(A1220:D1220,G1220:I1220)&lt;7,"LENGKAPI",IF(H1220+I1220&gt;N(F1220)+G1220,"ABNORMAL",IF(COUNTIFS($A$2:$A$2001,A1220,$B$2:$B$2001,B1220,$C$2:$C$2001,C1220,$D$2:$D$2001,D1220)&gt;1,"DUPLIKAT","OK"))))</f>
        <v/>
      </c>
    </row>
    <row r="1221">
      <c r="A1221" s="4" t="n"/>
      <c r="B1221" s="5" t="n"/>
      <c r="C1221" s="5" t="n"/>
      <c r="D1221" s="5" t="n"/>
      <c r="E1221" s="6">
        <f>IF(A1221="","","B"&amp;TEXT(COUNT($A$2:A1221),"00000"))</f>
        <v/>
      </c>
      <c r="F1221" s="6">
        <f>IF(OR(C1221="",D1221=""),"",IFERROR(LOOKUP(2,1/(($C$1:C1220=C1221)*($D$1:D1220=D1221)*ISNUMBER($J$1:J1220)),$J$1:J1220),SUMIFS(Master!$G$2:$G$13,Master!$E$2:$E$13,C1221,Master!$F$2:$F$13,D1221)))</f>
        <v/>
      </c>
      <c r="G1221" s="5" t="n"/>
      <c r="H1221" s="5" t="n"/>
      <c r="I1221" s="5" t="n"/>
      <c r="J1221" s="6">
        <f>IF(OR(F1221="",COUNT(G1221:I1221)&lt;3),"",F1221+G1221-H1221-I1221)</f>
        <v/>
      </c>
      <c r="K1221" s="6">
        <f>IF(COUNTA(A1221:D1221,G1221:I1221)=0,"",IF(COUNTA(A1221:D1221,G1221:I1221)&lt;7,"LENGKAPI",IF(H1221+I1221&gt;N(F1221)+G1221,"ABNORMAL",IF(COUNTIFS($A$2:$A$2001,A1221,$B$2:$B$2001,B1221,$C$2:$C$2001,C1221,$D$2:$D$2001,D1221)&gt;1,"DUPLIKAT","OK"))))</f>
        <v/>
      </c>
    </row>
    <row r="1222">
      <c r="A1222" s="4" t="n"/>
      <c r="B1222" s="5" t="n"/>
      <c r="C1222" s="5" t="n"/>
      <c r="D1222" s="5" t="n"/>
      <c r="E1222" s="6">
        <f>IF(A1222="","","B"&amp;TEXT(COUNT($A$2:A1222),"00000"))</f>
        <v/>
      </c>
      <c r="F1222" s="6">
        <f>IF(OR(C1222="",D1222=""),"",IFERROR(LOOKUP(2,1/(($C$1:C1221=C1222)*($D$1:D1221=D1222)*ISNUMBER($J$1:J1221)),$J$1:J1221),SUMIFS(Master!$G$2:$G$13,Master!$E$2:$E$13,C1222,Master!$F$2:$F$13,D1222)))</f>
        <v/>
      </c>
      <c r="G1222" s="5" t="n"/>
      <c r="H1222" s="5" t="n"/>
      <c r="I1222" s="5" t="n"/>
      <c r="J1222" s="6">
        <f>IF(OR(F1222="",COUNT(G1222:I1222)&lt;3),"",F1222+G1222-H1222-I1222)</f>
        <v/>
      </c>
      <c r="K1222" s="6">
        <f>IF(COUNTA(A1222:D1222,G1222:I1222)=0,"",IF(COUNTA(A1222:D1222,G1222:I1222)&lt;7,"LENGKAPI",IF(H1222+I1222&gt;N(F1222)+G1222,"ABNORMAL",IF(COUNTIFS($A$2:$A$2001,A1222,$B$2:$B$2001,B1222,$C$2:$C$2001,C1222,$D$2:$D$2001,D1222)&gt;1,"DUPLIKAT","OK"))))</f>
        <v/>
      </c>
    </row>
    <row r="1223">
      <c r="A1223" s="4" t="n"/>
      <c r="B1223" s="5" t="n"/>
      <c r="C1223" s="5" t="n"/>
      <c r="D1223" s="5" t="n"/>
      <c r="E1223" s="6">
        <f>IF(A1223="","","B"&amp;TEXT(COUNT($A$2:A1223),"00000"))</f>
        <v/>
      </c>
      <c r="F1223" s="6">
        <f>IF(OR(C1223="",D1223=""),"",IFERROR(LOOKUP(2,1/(($C$1:C1222=C1223)*($D$1:D1222=D1223)*ISNUMBER($J$1:J1222)),$J$1:J1222),SUMIFS(Master!$G$2:$G$13,Master!$E$2:$E$13,C1223,Master!$F$2:$F$13,D1223)))</f>
        <v/>
      </c>
      <c r="G1223" s="5" t="n"/>
      <c r="H1223" s="5" t="n"/>
      <c r="I1223" s="5" t="n"/>
      <c r="J1223" s="6">
        <f>IF(OR(F1223="",COUNT(G1223:I1223)&lt;3),"",F1223+G1223-H1223-I1223)</f>
        <v/>
      </c>
      <c r="K1223" s="6">
        <f>IF(COUNTA(A1223:D1223,G1223:I1223)=0,"",IF(COUNTA(A1223:D1223,G1223:I1223)&lt;7,"LENGKAPI",IF(H1223+I1223&gt;N(F1223)+G1223,"ABNORMAL",IF(COUNTIFS($A$2:$A$2001,A1223,$B$2:$B$2001,B1223,$C$2:$C$2001,C1223,$D$2:$D$2001,D1223)&gt;1,"DUPLIKAT","OK"))))</f>
        <v/>
      </c>
    </row>
    <row r="1224">
      <c r="A1224" s="4" t="n"/>
      <c r="B1224" s="5" t="n"/>
      <c r="C1224" s="5" t="n"/>
      <c r="D1224" s="5" t="n"/>
      <c r="E1224" s="6">
        <f>IF(A1224="","","B"&amp;TEXT(COUNT($A$2:A1224),"00000"))</f>
        <v/>
      </c>
      <c r="F1224" s="6">
        <f>IF(OR(C1224="",D1224=""),"",IFERROR(LOOKUP(2,1/(($C$1:C1223=C1224)*($D$1:D1223=D1224)*ISNUMBER($J$1:J1223)),$J$1:J1223),SUMIFS(Master!$G$2:$G$13,Master!$E$2:$E$13,C1224,Master!$F$2:$F$13,D1224)))</f>
        <v/>
      </c>
      <c r="G1224" s="5" t="n"/>
      <c r="H1224" s="5" t="n"/>
      <c r="I1224" s="5" t="n"/>
      <c r="J1224" s="6">
        <f>IF(OR(F1224="",COUNT(G1224:I1224)&lt;3),"",F1224+G1224-H1224-I1224)</f>
        <v/>
      </c>
      <c r="K1224" s="6">
        <f>IF(COUNTA(A1224:D1224,G1224:I1224)=0,"",IF(COUNTA(A1224:D1224,G1224:I1224)&lt;7,"LENGKAPI",IF(H1224+I1224&gt;N(F1224)+G1224,"ABNORMAL",IF(COUNTIFS($A$2:$A$2001,A1224,$B$2:$B$2001,B1224,$C$2:$C$2001,C1224,$D$2:$D$2001,D1224)&gt;1,"DUPLIKAT","OK"))))</f>
        <v/>
      </c>
    </row>
    <row r="1225">
      <c r="A1225" s="4" t="n"/>
      <c r="B1225" s="5" t="n"/>
      <c r="C1225" s="5" t="n"/>
      <c r="D1225" s="5" t="n"/>
      <c r="E1225" s="6">
        <f>IF(A1225="","","B"&amp;TEXT(COUNT($A$2:A1225),"00000"))</f>
        <v/>
      </c>
      <c r="F1225" s="6">
        <f>IF(OR(C1225="",D1225=""),"",IFERROR(LOOKUP(2,1/(($C$1:C1224=C1225)*($D$1:D1224=D1225)*ISNUMBER($J$1:J1224)),$J$1:J1224),SUMIFS(Master!$G$2:$G$13,Master!$E$2:$E$13,C1225,Master!$F$2:$F$13,D1225)))</f>
        <v/>
      </c>
      <c r="G1225" s="5" t="n"/>
      <c r="H1225" s="5" t="n"/>
      <c r="I1225" s="5" t="n"/>
      <c r="J1225" s="6">
        <f>IF(OR(F1225="",COUNT(G1225:I1225)&lt;3),"",F1225+G1225-H1225-I1225)</f>
        <v/>
      </c>
      <c r="K1225" s="6">
        <f>IF(COUNTA(A1225:D1225,G1225:I1225)=0,"",IF(COUNTA(A1225:D1225,G1225:I1225)&lt;7,"LENGKAPI",IF(H1225+I1225&gt;N(F1225)+G1225,"ABNORMAL",IF(COUNTIFS($A$2:$A$2001,A1225,$B$2:$B$2001,B1225,$C$2:$C$2001,C1225,$D$2:$D$2001,D1225)&gt;1,"DUPLIKAT","OK"))))</f>
        <v/>
      </c>
    </row>
    <row r="1226">
      <c r="A1226" s="4" t="n"/>
      <c r="B1226" s="5" t="n"/>
      <c r="C1226" s="5" t="n"/>
      <c r="D1226" s="5" t="n"/>
      <c r="E1226" s="6">
        <f>IF(A1226="","","B"&amp;TEXT(COUNT($A$2:A1226),"00000"))</f>
        <v/>
      </c>
      <c r="F1226" s="6">
        <f>IF(OR(C1226="",D1226=""),"",IFERROR(LOOKUP(2,1/(($C$1:C1225=C1226)*($D$1:D1225=D1226)*ISNUMBER($J$1:J1225)),$J$1:J1225),SUMIFS(Master!$G$2:$G$13,Master!$E$2:$E$13,C1226,Master!$F$2:$F$13,D1226)))</f>
        <v/>
      </c>
      <c r="G1226" s="5" t="n"/>
      <c r="H1226" s="5" t="n"/>
      <c r="I1226" s="5" t="n"/>
      <c r="J1226" s="6">
        <f>IF(OR(F1226="",COUNT(G1226:I1226)&lt;3),"",F1226+G1226-H1226-I1226)</f>
        <v/>
      </c>
      <c r="K1226" s="6">
        <f>IF(COUNTA(A1226:D1226,G1226:I1226)=0,"",IF(COUNTA(A1226:D1226,G1226:I1226)&lt;7,"LENGKAPI",IF(H1226+I1226&gt;N(F1226)+G1226,"ABNORMAL",IF(COUNTIFS($A$2:$A$2001,A1226,$B$2:$B$2001,B1226,$C$2:$C$2001,C1226,$D$2:$D$2001,D1226)&gt;1,"DUPLIKAT","OK"))))</f>
        <v/>
      </c>
    </row>
    <row r="1227">
      <c r="A1227" s="4" t="n"/>
      <c r="B1227" s="5" t="n"/>
      <c r="C1227" s="5" t="n"/>
      <c r="D1227" s="5" t="n"/>
      <c r="E1227" s="6">
        <f>IF(A1227="","","B"&amp;TEXT(COUNT($A$2:A1227),"00000"))</f>
        <v/>
      </c>
      <c r="F1227" s="6">
        <f>IF(OR(C1227="",D1227=""),"",IFERROR(LOOKUP(2,1/(($C$1:C1226=C1227)*($D$1:D1226=D1227)*ISNUMBER($J$1:J1226)),$J$1:J1226),SUMIFS(Master!$G$2:$G$13,Master!$E$2:$E$13,C1227,Master!$F$2:$F$13,D1227)))</f>
        <v/>
      </c>
      <c r="G1227" s="5" t="n"/>
      <c r="H1227" s="5" t="n"/>
      <c r="I1227" s="5" t="n"/>
      <c r="J1227" s="6">
        <f>IF(OR(F1227="",COUNT(G1227:I1227)&lt;3),"",F1227+G1227-H1227-I1227)</f>
        <v/>
      </c>
      <c r="K1227" s="6">
        <f>IF(COUNTA(A1227:D1227,G1227:I1227)=0,"",IF(COUNTA(A1227:D1227,G1227:I1227)&lt;7,"LENGKAPI",IF(H1227+I1227&gt;N(F1227)+G1227,"ABNORMAL",IF(COUNTIFS($A$2:$A$2001,A1227,$B$2:$B$2001,B1227,$C$2:$C$2001,C1227,$D$2:$D$2001,D1227)&gt;1,"DUPLIKAT","OK"))))</f>
        <v/>
      </c>
    </row>
    <row r="1228">
      <c r="A1228" s="4" t="n"/>
      <c r="B1228" s="5" t="n"/>
      <c r="C1228" s="5" t="n"/>
      <c r="D1228" s="5" t="n"/>
      <c r="E1228" s="6">
        <f>IF(A1228="","","B"&amp;TEXT(COUNT($A$2:A1228),"00000"))</f>
        <v/>
      </c>
      <c r="F1228" s="6">
        <f>IF(OR(C1228="",D1228=""),"",IFERROR(LOOKUP(2,1/(($C$1:C1227=C1228)*($D$1:D1227=D1228)*ISNUMBER($J$1:J1227)),$J$1:J1227),SUMIFS(Master!$G$2:$G$13,Master!$E$2:$E$13,C1228,Master!$F$2:$F$13,D1228)))</f>
        <v/>
      </c>
      <c r="G1228" s="5" t="n"/>
      <c r="H1228" s="5" t="n"/>
      <c r="I1228" s="5" t="n"/>
      <c r="J1228" s="6">
        <f>IF(OR(F1228="",COUNT(G1228:I1228)&lt;3),"",F1228+G1228-H1228-I1228)</f>
        <v/>
      </c>
      <c r="K1228" s="6">
        <f>IF(COUNTA(A1228:D1228,G1228:I1228)=0,"",IF(COUNTA(A1228:D1228,G1228:I1228)&lt;7,"LENGKAPI",IF(H1228+I1228&gt;N(F1228)+G1228,"ABNORMAL",IF(COUNTIFS($A$2:$A$2001,A1228,$B$2:$B$2001,B1228,$C$2:$C$2001,C1228,$D$2:$D$2001,D1228)&gt;1,"DUPLIKAT","OK"))))</f>
        <v/>
      </c>
    </row>
    <row r="1229">
      <c r="A1229" s="4" t="n"/>
      <c r="B1229" s="5" t="n"/>
      <c r="C1229" s="5" t="n"/>
      <c r="D1229" s="5" t="n"/>
      <c r="E1229" s="6">
        <f>IF(A1229="","","B"&amp;TEXT(COUNT($A$2:A1229),"00000"))</f>
        <v/>
      </c>
      <c r="F1229" s="6">
        <f>IF(OR(C1229="",D1229=""),"",IFERROR(LOOKUP(2,1/(($C$1:C1228=C1229)*($D$1:D1228=D1229)*ISNUMBER($J$1:J1228)),$J$1:J1228),SUMIFS(Master!$G$2:$G$13,Master!$E$2:$E$13,C1229,Master!$F$2:$F$13,D1229)))</f>
        <v/>
      </c>
      <c r="G1229" s="5" t="n"/>
      <c r="H1229" s="5" t="n"/>
      <c r="I1229" s="5" t="n"/>
      <c r="J1229" s="6">
        <f>IF(OR(F1229="",COUNT(G1229:I1229)&lt;3),"",F1229+G1229-H1229-I1229)</f>
        <v/>
      </c>
      <c r="K1229" s="6">
        <f>IF(COUNTA(A1229:D1229,G1229:I1229)=0,"",IF(COUNTA(A1229:D1229,G1229:I1229)&lt;7,"LENGKAPI",IF(H1229+I1229&gt;N(F1229)+G1229,"ABNORMAL",IF(COUNTIFS($A$2:$A$2001,A1229,$B$2:$B$2001,B1229,$C$2:$C$2001,C1229,$D$2:$D$2001,D1229)&gt;1,"DUPLIKAT","OK"))))</f>
        <v/>
      </c>
    </row>
    <row r="1230">
      <c r="A1230" s="4" t="n"/>
      <c r="B1230" s="5" t="n"/>
      <c r="C1230" s="5" t="n"/>
      <c r="D1230" s="5" t="n"/>
      <c r="E1230" s="6">
        <f>IF(A1230="","","B"&amp;TEXT(COUNT($A$2:A1230),"00000"))</f>
        <v/>
      </c>
      <c r="F1230" s="6">
        <f>IF(OR(C1230="",D1230=""),"",IFERROR(LOOKUP(2,1/(($C$1:C1229=C1230)*($D$1:D1229=D1230)*ISNUMBER($J$1:J1229)),$J$1:J1229),SUMIFS(Master!$G$2:$G$13,Master!$E$2:$E$13,C1230,Master!$F$2:$F$13,D1230)))</f>
        <v/>
      </c>
      <c r="G1230" s="5" t="n"/>
      <c r="H1230" s="5" t="n"/>
      <c r="I1230" s="5" t="n"/>
      <c r="J1230" s="6">
        <f>IF(OR(F1230="",COUNT(G1230:I1230)&lt;3),"",F1230+G1230-H1230-I1230)</f>
        <v/>
      </c>
      <c r="K1230" s="6">
        <f>IF(COUNTA(A1230:D1230,G1230:I1230)=0,"",IF(COUNTA(A1230:D1230,G1230:I1230)&lt;7,"LENGKAPI",IF(H1230+I1230&gt;N(F1230)+G1230,"ABNORMAL",IF(COUNTIFS($A$2:$A$2001,A1230,$B$2:$B$2001,B1230,$C$2:$C$2001,C1230,$D$2:$D$2001,D1230)&gt;1,"DUPLIKAT","OK"))))</f>
        <v/>
      </c>
    </row>
    <row r="1231">
      <c r="A1231" s="4" t="n"/>
      <c r="B1231" s="5" t="n"/>
      <c r="C1231" s="5" t="n"/>
      <c r="D1231" s="5" t="n"/>
      <c r="E1231" s="6">
        <f>IF(A1231="","","B"&amp;TEXT(COUNT($A$2:A1231),"00000"))</f>
        <v/>
      </c>
      <c r="F1231" s="6">
        <f>IF(OR(C1231="",D1231=""),"",IFERROR(LOOKUP(2,1/(($C$1:C1230=C1231)*($D$1:D1230=D1231)*ISNUMBER($J$1:J1230)),$J$1:J1230),SUMIFS(Master!$G$2:$G$13,Master!$E$2:$E$13,C1231,Master!$F$2:$F$13,D1231)))</f>
        <v/>
      </c>
      <c r="G1231" s="5" t="n"/>
      <c r="H1231" s="5" t="n"/>
      <c r="I1231" s="5" t="n"/>
      <c r="J1231" s="6">
        <f>IF(OR(F1231="",COUNT(G1231:I1231)&lt;3),"",F1231+G1231-H1231-I1231)</f>
        <v/>
      </c>
      <c r="K1231" s="6">
        <f>IF(COUNTA(A1231:D1231,G1231:I1231)=0,"",IF(COUNTA(A1231:D1231,G1231:I1231)&lt;7,"LENGKAPI",IF(H1231+I1231&gt;N(F1231)+G1231,"ABNORMAL",IF(COUNTIFS($A$2:$A$2001,A1231,$B$2:$B$2001,B1231,$C$2:$C$2001,C1231,$D$2:$D$2001,D1231)&gt;1,"DUPLIKAT","OK"))))</f>
        <v/>
      </c>
    </row>
    <row r="1232">
      <c r="A1232" s="4" t="n"/>
      <c r="B1232" s="5" t="n"/>
      <c r="C1232" s="5" t="n"/>
      <c r="D1232" s="5" t="n"/>
      <c r="E1232" s="6">
        <f>IF(A1232="","","B"&amp;TEXT(COUNT($A$2:A1232),"00000"))</f>
        <v/>
      </c>
      <c r="F1232" s="6">
        <f>IF(OR(C1232="",D1232=""),"",IFERROR(LOOKUP(2,1/(($C$1:C1231=C1232)*($D$1:D1231=D1232)*ISNUMBER($J$1:J1231)),$J$1:J1231),SUMIFS(Master!$G$2:$G$13,Master!$E$2:$E$13,C1232,Master!$F$2:$F$13,D1232)))</f>
        <v/>
      </c>
      <c r="G1232" s="5" t="n"/>
      <c r="H1232" s="5" t="n"/>
      <c r="I1232" s="5" t="n"/>
      <c r="J1232" s="6">
        <f>IF(OR(F1232="",COUNT(G1232:I1232)&lt;3),"",F1232+G1232-H1232-I1232)</f>
        <v/>
      </c>
      <c r="K1232" s="6">
        <f>IF(COUNTA(A1232:D1232,G1232:I1232)=0,"",IF(COUNTA(A1232:D1232,G1232:I1232)&lt;7,"LENGKAPI",IF(H1232+I1232&gt;N(F1232)+G1232,"ABNORMAL",IF(COUNTIFS($A$2:$A$2001,A1232,$B$2:$B$2001,B1232,$C$2:$C$2001,C1232,$D$2:$D$2001,D1232)&gt;1,"DUPLIKAT","OK"))))</f>
        <v/>
      </c>
    </row>
    <row r="1233">
      <c r="A1233" s="4" t="n"/>
      <c r="B1233" s="5" t="n"/>
      <c r="C1233" s="5" t="n"/>
      <c r="D1233" s="5" t="n"/>
      <c r="E1233" s="6">
        <f>IF(A1233="","","B"&amp;TEXT(COUNT($A$2:A1233),"00000"))</f>
        <v/>
      </c>
      <c r="F1233" s="6">
        <f>IF(OR(C1233="",D1233=""),"",IFERROR(LOOKUP(2,1/(($C$1:C1232=C1233)*($D$1:D1232=D1233)*ISNUMBER($J$1:J1232)),$J$1:J1232),SUMIFS(Master!$G$2:$G$13,Master!$E$2:$E$13,C1233,Master!$F$2:$F$13,D1233)))</f>
        <v/>
      </c>
      <c r="G1233" s="5" t="n"/>
      <c r="H1233" s="5" t="n"/>
      <c r="I1233" s="5" t="n"/>
      <c r="J1233" s="6">
        <f>IF(OR(F1233="",COUNT(G1233:I1233)&lt;3),"",F1233+G1233-H1233-I1233)</f>
        <v/>
      </c>
      <c r="K1233" s="6">
        <f>IF(COUNTA(A1233:D1233,G1233:I1233)=0,"",IF(COUNTA(A1233:D1233,G1233:I1233)&lt;7,"LENGKAPI",IF(H1233+I1233&gt;N(F1233)+G1233,"ABNORMAL",IF(COUNTIFS($A$2:$A$2001,A1233,$B$2:$B$2001,B1233,$C$2:$C$2001,C1233,$D$2:$D$2001,D1233)&gt;1,"DUPLIKAT","OK"))))</f>
        <v/>
      </c>
    </row>
    <row r="1234">
      <c r="A1234" s="4" t="n"/>
      <c r="B1234" s="5" t="n"/>
      <c r="C1234" s="5" t="n"/>
      <c r="D1234" s="5" t="n"/>
      <c r="E1234" s="6">
        <f>IF(A1234="","","B"&amp;TEXT(COUNT($A$2:A1234),"00000"))</f>
        <v/>
      </c>
      <c r="F1234" s="6">
        <f>IF(OR(C1234="",D1234=""),"",IFERROR(LOOKUP(2,1/(($C$1:C1233=C1234)*($D$1:D1233=D1234)*ISNUMBER($J$1:J1233)),$J$1:J1233),SUMIFS(Master!$G$2:$G$13,Master!$E$2:$E$13,C1234,Master!$F$2:$F$13,D1234)))</f>
        <v/>
      </c>
      <c r="G1234" s="5" t="n"/>
      <c r="H1234" s="5" t="n"/>
      <c r="I1234" s="5" t="n"/>
      <c r="J1234" s="6">
        <f>IF(OR(F1234="",COUNT(G1234:I1234)&lt;3),"",F1234+G1234-H1234-I1234)</f>
        <v/>
      </c>
      <c r="K1234" s="6">
        <f>IF(COUNTA(A1234:D1234,G1234:I1234)=0,"",IF(COUNTA(A1234:D1234,G1234:I1234)&lt;7,"LENGKAPI",IF(H1234+I1234&gt;N(F1234)+G1234,"ABNORMAL",IF(COUNTIFS($A$2:$A$2001,A1234,$B$2:$B$2001,B1234,$C$2:$C$2001,C1234,$D$2:$D$2001,D1234)&gt;1,"DUPLIKAT","OK"))))</f>
        <v/>
      </c>
    </row>
    <row r="1235">
      <c r="A1235" s="4" t="n"/>
      <c r="B1235" s="5" t="n"/>
      <c r="C1235" s="5" t="n"/>
      <c r="D1235" s="5" t="n"/>
      <c r="E1235" s="6">
        <f>IF(A1235="","","B"&amp;TEXT(COUNT($A$2:A1235),"00000"))</f>
        <v/>
      </c>
      <c r="F1235" s="6">
        <f>IF(OR(C1235="",D1235=""),"",IFERROR(LOOKUP(2,1/(($C$1:C1234=C1235)*($D$1:D1234=D1235)*ISNUMBER($J$1:J1234)),$J$1:J1234),SUMIFS(Master!$G$2:$G$13,Master!$E$2:$E$13,C1235,Master!$F$2:$F$13,D1235)))</f>
        <v/>
      </c>
      <c r="G1235" s="5" t="n"/>
      <c r="H1235" s="5" t="n"/>
      <c r="I1235" s="5" t="n"/>
      <c r="J1235" s="6">
        <f>IF(OR(F1235="",COUNT(G1235:I1235)&lt;3),"",F1235+G1235-H1235-I1235)</f>
        <v/>
      </c>
      <c r="K1235" s="6">
        <f>IF(COUNTA(A1235:D1235,G1235:I1235)=0,"",IF(COUNTA(A1235:D1235,G1235:I1235)&lt;7,"LENGKAPI",IF(H1235+I1235&gt;N(F1235)+G1235,"ABNORMAL",IF(COUNTIFS($A$2:$A$2001,A1235,$B$2:$B$2001,B1235,$C$2:$C$2001,C1235,$D$2:$D$2001,D1235)&gt;1,"DUPLIKAT","OK"))))</f>
        <v/>
      </c>
    </row>
    <row r="1236">
      <c r="A1236" s="4" t="n"/>
      <c r="B1236" s="5" t="n"/>
      <c r="C1236" s="5" t="n"/>
      <c r="D1236" s="5" t="n"/>
      <c r="E1236" s="6">
        <f>IF(A1236="","","B"&amp;TEXT(COUNT($A$2:A1236),"00000"))</f>
        <v/>
      </c>
      <c r="F1236" s="6">
        <f>IF(OR(C1236="",D1236=""),"",IFERROR(LOOKUP(2,1/(($C$1:C1235=C1236)*($D$1:D1235=D1236)*ISNUMBER($J$1:J1235)),$J$1:J1235),SUMIFS(Master!$G$2:$G$13,Master!$E$2:$E$13,C1236,Master!$F$2:$F$13,D1236)))</f>
        <v/>
      </c>
      <c r="G1236" s="5" t="n"/>
      <c r="H1236" s="5" t="n"/>
      <c r="I1236" s="5" t="n"/>
      <c r="J1236" s="6">
        <f>IF(OR(F1236="",COUNT(G1236:I1236)&lt;3),"",F1236+G1236-H1236-I1236)</f>
        <v/>
      </c>
      <c r="K1236" s="6">
        <f>IF(COUNTA(A1236:D1236,G1236:I1236)=0,"",IF(COUNTA(A1236:D1236,G1236:I1236)&lt;7,"LENGKAPI",IF(H1236+I1236&gt;N(F1236)+G1236,"ABNORMAL",IF(COUNTIFS($A$2:$A$2001,A1236,$B$2:$B$2001,B1236,$C$2:$C$2001,C1236,$D$2:$D$2001,D1236)&gt;1,"DUPLIKAT","OK"))))</f>
        <v/>
      </c>
    </row>
    <row r="1237">
      <c r="A1237" s="4" t="n"/>
      <c r="B1237" s="5" t="n"/>
      <c r="C1237" s="5" t="n"/>
      <c r="D1237" s="5" t="n"/>
      <c r="E1237" s="6">
        <f>IF(A1237="","","B"&amp;TEXT(COUNT($A$2:A1237),"00000"))</f>
        <v/>
      </c>
      <c r="F1237" s="6">
        <f>IF(OR(C1237="",D1237=""),"",IFERROR(LOOKUP(2,1/(($C$1:C1236=C1237)*($D$1:D1236=D1237)*ISNUMBER($J$1:J1236)),$J$1:J1236),SUMIFS(Master!$G$2:$G$13,Master!$E$2:$E$13,C1237,Master!$F$2:$F$13,D1237)))</f>
        <v/>
      </c>
      <c r="G1237" s="5" t="n"/>
      <c r="H1237" s="5" t="n"/>
      <c r="I1237" s="5" t="n"/>
      <c r="J1237" s="6">
        <f>IF(OR(F1237="",COUNT(G1237:I1237)&lt;3),"",F1237+G1237-H1237-I1237)</f>
        <v/>
      </c>
      <c r="K1237" s="6">
        <f>IF(COUNTA(A1237:D1237,G1237:I1237)=0,"",IF(COUNTA(A1237:D1237,G1237:I1237)&lt;7,"LENGKAPI",IF(H1237+I1237&gt;N(F1237)+G1237,"ABNORMAL",IF(COUNTIFS($A$2:$A$2001,A1237,$B$2:$B$2001,B1237,$C$2:$C$2001,C1237,$D$2:$D$2001,D1237)&gt;1,"DUPLIKAT","OK"))))</f>
        <v/>
      </c>
    </row>
    <row r="1238">
      <c r="A1238" s="4" t="n"/>
      <c r="B1238" s="5" t="n"/>
      <c r="C1238" s="5" t="n"/>
      <c r="D1238" s="5" t="n"/>
      <c r="E1238" s="6">
        <f>IF(A1238="","","B"&amp;TEXT(COUNT($A$2:A1238),"00000"))</f>
        <v/>
      </c>
      <c r="F1238" s="6">
        <f>IF(OR(C1238="",D1238=""),"",IFERROR(LOOKUP(2,1/(($C$1:C1237=C1238)*($D$1:D1237=D1238)*ISNUMBER($J$1:J1237)),$J$1:J1237),SUMIFS(Master!$G$2:$G$13,Master!$E$2:$E$13,C1238,Master!$F$2:$F$13,D1238)))</f>
        <v/>
      </c>
      <c r="G1238" s="5" t="n"/>
      <c r="H1238" s="5" t="n"/>
      <c r="I1238" s="5" t="n"/>
      <c r="J1238" s="6">
        <f>IF(OR(F1238="",COUNT(G1238:I1238)&lt;3),"",F1238+G1238-H1238-I1238)</f>
        <v/>
      </c>
      <c r="K1238" s="6">
        <f>IF(COUNTA(A1238:D1238,G1238:I1238)=0,"",IF(COUNTA(A1238:D1238,G1238:I1238)&lt;7,"LENGKAPI",IF(H1238+I1238&gt;N(F1238)+G1238,"ABNORMAL",IF(COUNTIFS($A$2:$A$2001,A1238,$B$2:$B$2001,B1238,$C$2:$C$2001,C1238,$D$2:$D$2001,D1238)&gt;1,"DUPLIKAT","OK"))))</f>
        <v/>
      </c>
    </row>
    <row r="1239">
      <c r="A1239" s="4" t="n"/>
      <c r="B1239" s="5" t="n"/>
      <c r="C1239" s="5" t="n"/>
      <c r="D1239" s="5" t="n"/>
      <c r="E1239" s="6">
        <f>IF(A1239="","","B"&amp;TEXT(COUNT($A$2:A1239),"00000"))</f>
        <v/>
      </c>
      <c r="F1239" s="6">
        <f>IF(OR(C1239="",D1239=""),"",IFERROR(LOOKUP(2,1/(($C$1:C1238=C1239)*($D$1:D1238=D1239)*ISNUMBER($J$1:J1238)),$J$1:J1238),SUMIFS(Master!$G$2:$G$13,Master!$E$2:$E$13,C1239,Master!$F$2:$F$13,D1239)))</f>
        <v/>
      </c>
      <c r="G1239" s="5" t="n"/>
      <c r="H1239" s="5" t="n"/>
      <c r="I1239" s="5" t="n"/>
      <c r="J1239" s="6">
        <f>IF(OR(F1239="",COUNT(G1239:I1239)&lt;3),"",F1239+G1239-H1239-I1239)</f>
        <v/>
      </c>
      <c r="K1239" s="6">
        <f>IF(COUNTA(A1239:D1239,G1239:I1239)=0,"",IF(COUNTA(A1239:D1239,G1239:I1239)&lt;7,"LENGKAPI",IF(H1239+I1239&gt;N(F1239)+G1239,"ABNORMAL",IF(COUNTIFS($A$2:$A$2001,A1239,$B$2:$B$2001,B1239,$C$2:$C$2001,C1239,$D$2:$D$2001,D1239)&gt;1,"DUPLIKAT","OK"))))</f>
        <v/>
      </c>
    </row>
    <row r="1240">
      <c r="A1240" s="4" t="n"/>
      <c r="B1240" s="5" t="n"/>
      <c r="C1240" s="5" t="n"/>
      <c r="D1240" s="5" t="n"/>
      <c r="E1240" s="6">
        <f>IF(A1240="","","B"&amp;TEXT(COUNT($A$2:A1240),"00000"))</f>
        <v/>
      </c>
      <c r="F1240" s="6">
        <f>IF(OR(C1240="",D1240=""),"",IFERROR(LOOKUP(2,1/(($C$1:C1239=C1240)*($D$1:D1239=D1240)*ISNUMBER($J$1:J1239)),$J$1:J1239),SUMIFS(Master!$G$2:$G$13,Master!$E$2:$E$13,C1240,Master!$F$2:$F$13,D1240)))</f>
        <v/>
      </c>
      <c r="G1240" s="5" t="n"/>
      <c r="H1240" s="5" t="n"/>
      <c r="I1240" s="5" t="n"/>
      <c r="J1240" s="6">
        <f>IF(OR(F1240="",COUNT(G1240:I1240)&lt;3),"",F1240+G1240-H1240-I1240)</f>
        <v/>
      </c>
      <c r="K1240" s="6">
        <f>IF(COUNTA(A1240:D1240,G1240:I1240)=0,"",IF(COUNTA(A1240:D1240,G1240:I1240)&lt;7,"LENGKAPI",IF(H1240+I1240&gt;N(F1240)+G1240,"ABNORMAL",IF(COUNTIFS($A$2:$A$2001,A1240,$B$2:$B$2001,B1240,$C$2:$C$2001,C1240,$D$2:$D$2001,D1240)&gt;1,"DUPLIKAT","OK"))))</f>
        <v/>
      </c>
    </row>
    <row r="1241">
      <c r="A1241" s="4" t="n"/>
      <c r="B1241" s="5" t="n"/>
      <c r="C1241" s="5" t="n"/>
      <c r="D1241" s="5" t="n"/>
      <c r="E1241" s="6">
        <f>IF(A1241="","","B"&amp;TEXT(COUNT($A$2:A1241),"00000"))</f>
        <v/>
      </c>
      <c r="F1241" s="6">
        <f>IF(OR(C1241="",D1241=""),"",IFERROR(LOOKUP(2,1/(($C$1:C1240=C1241)*($D$1:D1240=D1241)*ISNUMBER($J$1:J1240)),$J$1:J1240),SUMIFS(Master!$G$2:$G$13,Master!$E$2:$E$13,C1241,Master!$F$2:$F$13,D1241)))</f>
        <v/>
      </c>
      <c r="G1241" s="5" t="n"/>
      <c r="H1241" s="5" t="n"/>
      <c r="I1241" s="5" t="n"/>
      <c r="J1241" s="6">
        <f>IF(OR(F1241="",COUNT(G1241:I1241)&lt;3),"",F1241+G1241-H1241-I1241)</f>
        <v/>
      </c>
      <c r="K1241" s="6">
        <f>IF(COUNTA(A1241:D1241,G1241:I1241)=0,"",IF(COUNTA(A1241:D1241,G1241:I1241)&lt;7,"LENGKAPI",IF(H1241+I1241&gt;N(F1241)+G1241,"ABNORMAL",IF(COUNTIFS($A$2:$A$2001,A1241,$B$2:$B$2001,B1241,$C$2:$C$2001,C1241,$D$2:$D$2001,D1241)&gt;1,"DUPLIKAT","OK"))))</f>
        <v/>
      </c>
    </row>
    <row r="1242">
      <c r="A1242" s="4" t="n"/>
      <c r="B1242" s="5" t="n"/>
      <c r="C1242" s="5" t="n"/>
      <c r="D1242" s="5" t="n"/>
      <c r="E1242" s="6">
        <f>IF(A1242="","","B"&amp;TEXT(COUNT($A$2:A1242),"00000"))</f>
        <v/>
      </c>
      <c r="F1242" s="6">
        <f>IF(OR(C1242="",D1242=""),"",IFERROR(LOOKUP(2,1/(($C$1:C1241=C1242)*($D$1:D1241=D1242)*ISNUMBER($J$1:J1241)),$J$1:J1241),SUMIFS(Master!$G$2:$G$13,Master!$E$2:$E$13,C1242,Master!$F$2:$F$13,D1242)))</f>
        <v/>
      </c>
      <c r="G1242" s="5" t="n"/>
      <c r="H1242" s="5" t="n"/>
      <c r="I1242" s="5" t="n"/>
      <c r="J1242" s="6">
        <f>IF(OR(F1242="",COUNT(G1242:I1242)&lt;3),"",F1242+G1242-H1242-I1242)</f>
        <v/>
      </c>
      <c r="K1242" s="6">
        <f>IF(COUNTA(A1242:D1242,G1242:I1242)=0,"",IF(COUNTA(A1242:D1242,G1242:I1242)&lt;7,"LENGKAPI",IF(H1242+I1242&gt;N(F1242)+G1242,"ABNORMAL",IF(COUNTIFS($A$2:$A$2001,A1242,$B$2:$B$2001,B1242,$C$2:$C$2001,C1242,$D$2:$D$2001,D1242)&gt;1,"DUPLIKAT","OK"))))</f>
        <v/>
      </c>
    </row>
    <row r="1243">
      <c r="A1243" s="4" t="n"/>
      <c r="B1243" s="5" t="n"/>
      <c r="C1243" s="5" t="n"/>
      <c r="D1243" s="5" t="n"/>
      <c r="E1243" s="6">
        <f>IF(A1243="","","B"&amp;TEXT(COUNT($A$2:A1243),"00000"))</f>
        <v/>
      </c>
      <c r="F1243" s="6">
        <f>IF(OR(C1243="",D1243=""),"",IFERROR(LOOKUP(2,1/(($C$1:C1242=C1243)*($D$1:D1242=D1243)*ISNUMBER($J$1:J1242)),$J$1:J1242),SUMIFS(Master!$G$2:$G$13,Master!$E$2:$E$13,C1243,Master!$F$2:$F$13,D1243)))</f>
        <v/>
      </c>
      <c r="G1243" s="5" t="n"/>
      <c r="H1243" s="5" t="n"/>
      <c r="I1243" s="5" t="n"/>
      <c r="J1243" s="6">
        <f>IF(OR(F1243="",COUNT(G1243:I1243)&lt;3),"",F1243+G1243-H1243-I1243)</f>
        <v/>
      </c>
      <c r="K1243" s="6">
        <f>IF(COUNTA(A1243:D1243,G1243:I1243)=0,"",IF(COUNTA(A1243:D1243,G1243:I1243)&lt;7,"LENGKAPI",IF(H1243+I1243&gt;N(F1243)+G1243,"ABNORMAL",IF(COUNTIFS($A$2:$A$2001,A1243,$B$2:$B$2001,B1243,$C$2:$C$2001,C1243,$D$2:$D$2001,D1243)&gt;1,"DUPLIKAT","OK"))))</f>
        <v/>
      </c>
    </row>
    <row r="1244">
      <c r="A1244" s="4" t="n"/>
      <c r="B1244" s="5" t="n"/>
      <c r="C1244" s="5" t="n"/>
      <c r="D1244" s="5" t="n"/>
      <c r="E1244" s="6">
        <f>IF(A1244="","","B"&amp;TEXT(COUNT($A$2:A1244),"00000"))</f>
        <v/>
      </c>
      <c r="F1244" s="6">
        <f>IF(OR(C1244="",D1244=""),"",IFERROR(LOOKUP(2,1/(($C$1:C1243=C1244)*($D$1:D1243=D1244)*ISNUMBER($J$1:J1243)),$J$1:J1243),SUMIFS(Master!$G$2:$G$13,Master!$E$2:$E$13,C1244,Master!$F$2:$F$13,D1244)))</f>
        <v/>
      </c>
      <c r="G1244" s="5" t="n"/>
      <c r="H1244" s="5" t="n"/>
      <c r="I1244" s="5" t="n"/>
      <c r="J1244" s="6">
        <f>IF(OR(F1244="",COUNT(G1244:I1244)&lt;3),"",F1244+G1244-H1244-I1244)</f>
        <v/>
      </c>
      <c r="K1244" s="6">
        <f>IF(COUNTA(A1244:D1244,G1244:I1244)=0,"",IF(COUNTA(A1244:D1244,G1244:I1244)&lt;7,"LENGKAPI",IF(H1244+I1244&gt;N(F1244)+G1244,"ABNORMAL",IF(COUNTIFS($A$2:$A$2001,A1244,$B$2:$B$2001,B1244,$C$2:$C$2001,C1244,$D$2:$D$2001,D1244)&gt;1,"DUPLIKAT","OK"))))</f>
        <v/>
      </c>
    </row>
    <row r="1245">
      <c r="A1245" s="4" t="n"/>
      <c r="B1245" s="5" t="n"/>
      <c r="C1245" s="5" t="n"/>
      <c r="D1245" s="5" t="n"/>
      <c r="E1245" s="6">
        <f>IF(A1245="","","B"&amp;TEXT(COUNT($A$2:A1245),"00000"))</f>
        <v/>
      </c>
      <c r="F1245" s="6">
        <f>IF(OR(C1245="",D1245=""),"",IFERROR(LOOKUP(2,1/(($C$1:C1244=C1245)*($D$1:D1244=D1245)*ISNUMBER($J$1:J1244)),$J$1:J1244),SUMIFS(Master!$G$2:$G$13,Master!$E$2:$E$13,C1245,Master!$F$2:$F$13,D1245)))</f>
        <v/>
      </c>
      <c r="G1245" s="5" t="n"/>
      <c r="H1245" s="5" t="n"/>
      <c r="I1245" s="5" t="n"/>
      <c r="J1245" s="6">
        <f>IF(OR(F1245="",COUNT(G1245:I1245)&lt;3),"",F1245+G1245-H1245-I1245)</f>
        <v/>
      </c>
      <c r="K1245" s="6">
        <f>IF(COUNTA(A1245:D1245,G1245:I1245)=0,"",IF(COUNTA(A1245:D1245,G1245:I1245)&lt;7,"LENGKAPI",IF(H1245+I1245&gt;N(F1245)+G1245,"ABNORMAL",IF(COUNTIFS($A$2:$A$2001,A1245,$B$2:$B$2001,B1245,$C$2:$C$2001,C1245,$D$2:$D$2001,D1245)&gt;1,"DUPLIKAT","OK"))))</f>
        <v/>
      </c>
    </row>
    <row r="1246">
      <c r="A1246" s="4" t="n"/>
      <c r="B1246" s="5" t="n"/>
      <c r="C1246" s="5" t="n"/>
      <c r="D1246" s="5" t="n"/>
      <c r="E1246" s="6">
        <f>IF(A1246="","","B"&amp;TEXT(COUNT($A$2:A1246),"00000"))</f>
        <v/>
      </c>
      <c r="F1246" s="6">
        <f>IF(OR(C1246="",D1246=""),"",IFERROR(LOOKUP(2,1/(($C$1:C1245=C1246)*($D$1:D1245=D1246)*ISNUMBER($J$1:J1245)),$J$1:J1245),SUMIFS(Master!$G$2:$G$13,Master!$E$2:$E$13,C1246,Master!$F$2:$F$13,D1246)))</f>
        <v/>
      </c>
      <c r="G1246" s="5" t="n"/>
      <c r="H1246" s="5" t="n"/>
      <c r="I1246" s="5" t="n"/>
      <c r="J1246" s="6">
        <f>IF(OR(F1246="",COUNT(G1246:I1246)&lt;3),"",F1246+G1246-H1246-I1246)</f>
        <v/>
      </c>
      <c r="K1246" s="6">
        <f>IF(COUNTA(A1246:D1246,G1246:I1246)=0,"",IF(COUNTA(A1246:D1246,G1246:I1246)&lt;7,"LENGKAPI",IF(H1246+I1246&gt;N(F1246)+G1246,"ABNORMAL",IF(COUNTIFS($A$2:$A$2001,A1246,$B$2:$B$2001,B1246,$C$2:$C$2001,C1246,$D$2:$D$2001,D1246)&gt;1,"DUPLIKAT","OK"))))</f>
        <v/>
      </c>
    </row>
    <row r="1247">
      <c r="A1247" s="4" t="n"/>
      <c r="B1247" s="5" t="n"/>
      <c r="C1247" s="5" t="n"/>
      <c r="D1247" s="5" t="n"/>
      <c r="E1247" s="6">
        <f>IF(A1247="","","B"&amp;TEXT(COUNT($A$2:A1247),"00000"))</f>
        <v/>
      </c>
      <c r="F1247" s="6">
        <f>IF(OR(C1247="",D1247=""),"",IFERROR(LOOKUP(2,1/(($C$1:C1246=C1247)*($D$1:D1246=D1247)*ISNUMBER($J$1:J1246)),$J$1:J1246),SUMIFS(Master!$G$2:$G$13,Master!$E$2:$E$13,C1247,Master!$F$2:$F$13,D1247)))</f>
        <v/>
      </c>
      <c r="G1247" s="5" t="n"/>
      <c r="H1247" s="5" t="n"/>
      <c r="I1247" s="5" t="n"/>
      <c r="J1247" s="6">
        <f>IF(OR(F1247="",COUNT(G1247:I1247)&lt;3),"",F1247+G1247-H1247-I1247)</f>
        <v/>
      </c>
      <c r="K1247" s="6">
        <f>IF(COUNTA(A1247:D1247,G1247:I1247)=0,"",IF(COUNTA(A1247:D1247,G1247:I1247)&lt;7,"LENGKAPI",IF(H1247+I1247&gt;N(F1247)+G1247,"ABNORMAL",IF(COUNTIFS($A$2:$A$2001,A1247,$B$2:$B$2001,B1247,$C$2:$C$2001,C1247,$D$2:$D$2001,D1247)&gt;1,"DUPLIKAT","OK"))))</f>
        <v/>
      </c>
    </row>
    <row r="1248">
      <c r="A1248" s="4" t="n"/>
      <c r="B1248" s="5" t="n"/>
      <c r="C1248" s="5" t="n"/>
      <c r="D1248" s="5" t="n"/>
      <c r="E1248" s="6">
        <f>IF(A1248="","","B"&amp;TEXT(COUNT($A$2:A1248),"00000"))</f>
        <v/>
      </c>
      <c r="F1248" s="6">
        <f>IF(OR(C1248="",D1248=""),"",IFERROR(LOOKUP(2,1/(($C$1:C1247=C1248)*($D$1:D1247=D1248)*ISNUMBER($J$1:J1247)),$J$1:J1247),SUMIFS(Master!$G$2:$G$13,Master!$E$2:$E$13,C1248,Master!$F$2:$F$13,D1248)))</f>
        <v/>
      </c>
      <c r="G1248" s="5" t="n"/>
      <c r="H1248" s="5" t="n"/>
      <c r="I1248" s="5" t="n"/>
      <c r="J1248" s="6">
        <f>IF(OR(F1248="",COUNT(G1248:I1248)&lt;3),"",F1248+G1248-H1248-I1248)</f>
        <v/>
      </c>
      <c r="K1248" s="6">
        <f>IF(COUNTA(A1248:D1248,G1248:I1248)=0,"",IF(COUNTA(A1248:D1248,G1248:I1248)&lt;7,"LENGKAPI",IF(H1248+I1248&gt;N(F1248)+G1248,"ABNORMAL",IF(COUNTIFS($A$2:$A$2001,A1248,$B$2:$B$2001,B1248,$C$2:$C$2001,C1248,$D$2:$D$2001,D1248)&gt;1,"DUPLIKAT","OK"))))</f>
        <v/>
      </c>
    </row>
    <row r="1249">
      <c r="A1249" s="4" t="n"/>
      <c r="B1249" s="5" t="n"/>
      <c r="C1249" s="5" t="n"/>
      <c r="D1249" s="5" t="n"/>
      <c r="E1249" s="6">
        <f>IF(A1249="","","B"&amp;TEXT(COUNT($A$2:A1249),"00000"))</f>
        <v/>
      </c>
      <c r="F1249" s="6">
        <f>IF(OR(C1249="",D1249=""),"",IFERROR(LOOKUP(2,1/(($C$1:C1248=C1249)*($D$1:D1248=D1249)*ISNUMBER($J$1:J1248)),$J$1:J1248),SUMIFS(Master!$G$2:$G$13,Master!$E$2:$E$13,C1249,Master!$F$2:$F$13,D1249)))</f>
        <v/>
      </c>
      <c r="G1249" s="5" t="n"/>
      <c r="H1249" s="5" t="n"/>
      <c r="I1249" s="5" t="n"/>
      <c r="J1249" s="6">
        <f>IF(OR(F1249="",COUNT(G1249:I1249)&lt;3),"",F1249+G1249-H1249-I1249)</f>
        <v/>
      </c>
      <c r="K1249" s="6">
        <f>IF(COUNTA(A1249:D1249,G1249:I1249)=0,"",IF(COUNTA(A1249:D1249,G1249:I1249)&lt;7,"LENGKAPI",IF(H1249+I1249&gt;N(F1249)+G1249,"ABNORMAL",IF(COUNTIFS($A$2:$A$2001,A1249,$B$2:$B$2001,B1249,$C$2:$C$2001,C1249,$D$2:$D$2001,D1249)&gt;1,"DUPLIKAT","OK"))))</f>
        <v/>
      </c>
    </row>
    <row r="1250">
      <c r="A1250" s="4" t="n"/>
      <c r="B1250" s="5" t="n"/>
      <c r="C1250" s="5" t="n"/>
      <c r="D1250" s="5" t="n"/>
      <c r="E1250" s="6">
        <f>IF(A1250="","","B"&amp;TEXT(COUNT($A$2:A1250),"00000"))</f>
        <v/>
      </c>
      <c r="F1250" s="6">
        <f>IF(OR(C1250="",D1250=""),"",IFERROR(LOOKUP(2,1/(($C$1:C1249=C1250)*($D$1:D1249=D1250)*ISNUMBER($J$1:J1249)),$J$1:J1249),SUMIFS(Master!$G$2:$G$13,Master!$E$2:$E$13,C1250,Master!$F$2:$F$13,D1250)))</f>
        <v/>
      </c>
      <c r="G1250" s="5" t="n"/>
      <c r="H1250" s="5" t="n"/>
      <c r="I1250" s="5" t="n"/>
      <c r="J1250" s="6">
        <f>IF(OR(F1250="",COUNT(G1250:I1250)&lt;3),"",F1250+G1250-H1250-I1250)</f>
        <v/>
      </c>
      <c r="K1250" s="6">
        <f>IF(COUNTA(A1250:D1250,G1250:I1250)=0,"",IF(COUNTA(A1250:D1250,G1250:I1250)&lt;7,"LENGKAPI",IF(H1250+I1250&gt;N(F1250)+G1250,"ABNORMAL",IF(COUNTIFS($A$2:$A$2001,A1250,$B$2:$B$2001,B1250,$C$2:$C$2001,C1250,$D$2:$D$2001,D1250)&gt;1,"DUPLIKAT","OK"))))</f>
        <v/>
      </c>
    </row>
    <row r="1251">
      <c r="A1251" s="4" t="n"/>
      <c r="B1251" s="5" t="n"/>
      <c r="C1251" s="5" t="n"/>
      <c r="D1251" s="5" t="n"/>
      <c r="E1251" s="6">
        <f>IF(A1251="","","B"&amp;TEXT(COUNT($A$2:A1251),"00000"))</f>
        <v/>
      </c>
      <c r="F1251" s="6">
        <f>IF(OR(C1251="",D1251=""),"",IFERROR(LOOKUP(2,1/(($C$1:C1250=C1251)*($D$1:D1250=D1251)*ISNUMBER($J$1:J1250)),$J$1:J1250),SUMIFS(Master!$G$2:$G$13,Master!$E$2:$E$13,C1251,Master!$F$2:$F$13,D1251)))</f>
        <v/>
      </c>
      <c r="G1251" s="5" t="n"/>
      <c r="H1251" s="5" t="n"/>
      <c r="I1251" s="5" t="n"/>
      <c r="J1251" s="6">
        <f>IF(OR(F1251="",COUNT(G1251:I1251)&lt;3),"",F1251+G1251-H1251-I1251)</f>
        <v/>
      </c>
      <c r="K1251" s="6">
        <f>IF(COUNTA(A1251:D1251,G1251:I1251)=0,"",IF(COUNTA(A1251:D1251,G1251:I1251)&lt;7,"LENGKAPI",IF(H1251+I1251&gt;N(F1251)+G1251,"ABNORMAL",IF(COUNTIFS($A$2:$A$2001,A1251,$B$2:$B$2001,B1251,$C$2:$C$2001,C1251,$D$2:$D$2001,D1251)&gt;1,"DUPLIKAT","OK"))))</f>
        <v/>
      </c>
    </row>
    <row r="1252">
      <c r="A1252" s="4" t="n"/>
      <c r="B1252" s="5" t="n"/>
      <c r="C1252" s="5" t="n"/>
      <c r="D1252" s="5" t="n"/>
      <c r="E1252" s="6">
        <f>IF(A1252="","","B"&amp;TEXT(COUNT($A$2:A1252),"00000"))</f>
        <v/>
      </c>
      <c r="F1252" s="6">
        <f>IF(OR(C1252="",D1252=""),"",IFERROR(LOOKUP(2,1/(($C$1:C1251=C1252)*($D$1:D1251=D1252)*ISNUMBER($J$1:J1251)),$J$1:J1251),SUMIFS(Master!$G$2:$G$13,Master!$E$2:$E$13,C1252,Master!$F$2:$F$13,D1252)))</f>
        <v/>
      </c>
      <c r="G1252" s="5" t="n"/>
      <c r="H1252" s="5" t="n"/>
      <c r="I1252" s="5" t="n"/>
      <c r="J1252" s="6">
        <f>IF(OR(F1252="",COUNT(G1252:I1252)&lt;3),"",F1252+G1252-H1252-I1252)</f>
        <v/>
      </c>
      <c r="K1252" s="6">
        <f>IF(COUNTA(A1252:D1252,G1252:I1252)=0,"",IF(COUNTA(A1252:D1252,G1252:I1252)&lt;7,"LENGKAPI",IF(H1252+I1252&gt;N(F1252)+G1252,"ABNORMAL",IF(COUNTIFS($A$2:$A$2001,A1252,$B$2:$B$2001,B1252,$C$2:$C$2001,C1252,$D$2:$D$2001,D1252)&gt;1,"DUPLIKAT","OK"))))</f>
        <v/>
      </c>
    </row>
    <row r="1253">
      <c r="A1253" s="4" t="n"/>
      <c r="B1253" s="5" t="n"/>
      <c r="C1253" s="5" t="n"/>
      <c r="D1253" s="5" t="n"/>
      <c r="E1253" s="6">
        <f>IF(A1253="","","B"&amp;TEXT(COUNT($A$2:A1253),"00000"))</f>
        <v/>
      </c>
      <c r="F1253" s="6">
        <f>IF(OR(C1253="",D1253=""),"",IFERROR(LOOKUP(2,1/(($C$1:C1252=C1253)*($D$1:D1252=D1253)*ISNUMBER($J$1:J1252)),$J$1:J1252),SUMIFS(Master!$G$2:$G$13,Master!$E$2:$E$13,C1253,Master!$F$2:$F$13,D1253)))</f>
        <v/>
      </c>
      <c r="G1253" s="5" t="n"/>
      <c r="H1253" s="5" t="n"/>
      <c r="I1253" s="5" t="n"/>
      <c r="J1253" s="6">
        <f>IF(OR(F1253="",COUNT(G1253:I1253)&lt;3),"",F1253+G1253-H1253-I1253)</f>
        <v/>
      </c>
      <c r="K1253" s="6">
        <f>IF(COUNTA(A1253:D1253,G1253:I1253)=0,"",IF(COUNTA(A1253:D1253,G1253:I1253)&lt;7,"LENGKAPI",IF(H1253+I1253&gt;N(F1253)+G1253,"ABNORMAL",IF(COUNTIFS($A$2:$A$2001,A1253,$B$2:$B$2001,B1253,$C$2:$C$2001,C1253,$D$2:$D$2001,D1253)&gt;1,"DUPLIKAT","OK"))))</f>
        <v/>
      </c>
    </row>
    <row r="1254">
      <c r="A1254" s="4" t="n"/>
      <c r="B1254" s="5" t="n"/>
      <c r="C1254" s="5" t="n"/>
      <c r="D1254" s="5" t="n"/>
      <c r="E1254" s="6">
        <f>IF(A1254="","","B"&amp;TEXT(COUNT($A$2:A1254),"00000"))</f>
        <v/>
      </c>
      <c r="F1254" s="6">
        <f>IF(OR(C1254="",D1254=""),"",IFERROR(LOOKUP(2,1/(($C$1:C1253=C1254)*($D$1:D1253=D1254)*ISNUMBER($J$1:J1253)),$J$1:J1253),SUMIFS(Master!$G$2:$G$13,Master!$E$2:$E$13,C1254,Master!$F$2:$F$13,D1254)))</f>
        <v/>
      </c>
      <c r="G1254" s="5" t="n"/>
      <c r="H1254" s="5" t="n"/>
      <c r="I1254" s="5" t="n"/>
      <c r="J1254" s="6">
        <f>IF(OR(F1254="",COUNT(G1254:I1254)&lt;3),"",F1254+G1254-H1254-I1254)</f>
        <v/>
      </c>
      <c r="K1254" s="6">
        <f>IF(COUNTA(A1254:D1254,G1254:I1254)=0,"",IF(COUNTA(A1254:D1254,G1254:I1254)&lt;7,"LENGKAPI",IF(H1254+I1254&gt;N(F1254)+G1254,"ABNORMAL",IF(COUNTIFS($A$2:$A$2001,A1254,$B$2:$B$2001,B1254,$C$2:$C$2001,C1254,$D$2:$D$2001,D1254)&gt;1,"DUPLIKAT","OK"))))</f>
        <v/>
      </c>
    </row>
    <row r="1255">
      <c r="A1255" s="4" t="n"/>
      <c r="B1255" s="5" t="n"/>
      <c r="C1255" s="5" t="n"/>
      <c r="D1255" s="5" t="n"/>
      <c r="E1255" s="6">
        <f>IF(A1255="","","B"&amp;TEXT(COUNT($A$2:A1255),"00000"))</f>
        <v/>
      </c>
      <c r="F1255" s="6">
        <f>IF(OR(C1255="",D1255=""),"",IFERROR(LOOKUP(2,1/(($C$1:C1254=C1255)*($D$1:D1254=D1255)*ISNUMBER($J$1:J1254)),$J$1:J1254),SUMIFS(Master!$G$2:$G$13,Master!$E$2:$E$13,C1255,Master!$F$2:$F$13,D1255)))</f>
        <v/>
      </c>
      <c r="G1255" s="5" t="n"/>
      <c r="H1255" s="5" t="n"/>
      <c r="I1255" s="5" t="n"/>
      <c r="J1255" s="6">
        <f>IF(OR(F1255="",COUNT(G1255:I1255)&lt;3),"",F1255+G1255-H1255-I1255)</f>
        <v/>
      </c>
      <c r="K1255" s="6">
        <f>IF(COUNTA(A1255:D1255,G1255:I1255)=0,"",IF(COUNTA(A1255:D1255,G1255:I1255)&lt;7,"LENGKAPI",IF(H1255+I1255&gt;N(F1255)+G1255,"ABNORMAL",IF(COUNTIFS($A$2:$A$2001,A1255,$B$2:$B$2001,B1255,$C$2:$C$2001,C1255,$D$2:$D$2001,D1255)&gt;1,"DUPLIKAT","OK"))))</f>
        <v/>
      </c>
    </row>
    <row r="1256">
      <c r="A1256" s="4" t="n"/>
      <c r="B1256" s="5" t="n"/>
      <c r="C1256" s="5" t="n"/>
      <c r="D1256" s="5" t="n"/>
      <c r="E1256" s="6">
        <f>IF(A1256="","","B"&amp;TEXT(COUNT($A$2:A1256),"00000"))</f>
        <v/>
      </c>
      <c r="F1256" s="6">
        <f>IF(OR(C1256="",D1256=""),"",IFERROR(LOOKUP(2,1/(($C$1:C1255=C1256)*($D$1:D1255=D1256)*ISNUMBER($J$1:J1255)),$J$1:J1255),SUMIFS(Master!$G$2:$G$13,Master!$E$2:$E$13,C1256,Master!$F$2:$F$13,D1256)))</f>
        <v/>
      </c>
      <c r="G1256" s="5" t="n"/>
      <c r="H1256" s="5" t="n"/>
      <c r="I1256" s="5" t="n"/>
      <c r="J1256" s="6">
        <f>IF(OR(F1256="",COUNT(G1256:I1256)&lt;3),"",F1256+G1256-H1256-I1256)</f>
        <v/>
      </c>
      <c r="K1256" s="6">
        <f>IF(COUNTA(A1256:D1256,G1256:I1256)=0,"",IF(COUNTA(A1256:D1256,G1256:I1256)&lt;7,"LENGKAPI",IF(H1256+I1256&gt;N(F1256)+G1256,"ABNORMAL",IF(COUNTIFS($A$2:$A$2001,A1256,$B$2:$B$2001,B1256,$C$2:$C$2001,C1256,$D$2:$D$2001,D1256)&gt;1,"DUPLIKAT","OK"))))</f>
        <v/>
      </c>
    </row>
    <row r="1257">
      <c r="A1257" s="4" t="n"/>
      <c r="B1257" s="5" t="n"/>
      <c r="C1257" s="5" t="n"/>
      <c r="D1257" s="5" t="n"/>
      <c r="E1257" s="6">
        <f>IF(A1257="","","B"&amp;TEXT(COUNT($A$2:A1257),"00000"))</f>
        <v/>
      </c>
      <c r="F1257" s="6">
        <f>IF(OR(C1257="",D1257=""),"",IFERROR(LOOKUP(2,1/(($C$1:C1256=C1257)*($D$1:D1256=D1257)*ISNUMBER($J$1:J1256)),$J$1:J1256),SUMIFS(Master!$G$2:$G$13,Master!$E$2:$E$13,C1257,Master!$F$2:$F$13,D1257)))</f>
        <v/>
      </c>
      <c r="G1257" s="5" t="n"/>
      <c r="H1257" s="5" t="n"/>
      <c r="I1257" s="5" t="n"/>
      <c r="J1257" s="6">
        <f>IF(OR(F1257="",COUNT(G1257:I1257)&lt;3),"",F1257+G1257-H1257-I1257)</f>
        <v/>
      </c>
      <c r="K1257" s="6">
        <f>IF(COUNTA(A1257:D1257,G1257:I1257)=0,"",IF(COUNTA(A1257:D1257,G1257:I1257)&lt;7,"LENGKAPI",IF(H1257+I1257&gt;N(F1257)+G1257,"ABNORMAL",IF(COUNTIFS($A$2:$A$2001,A1257,$B$2:$B$2001,B1257,$C$2:$C$2001,C1257,$D$2:$D$2001,D1257)&gt;1,"DUPLIKAT","OK"))))</f>
        <v/>
      </c>
    </row>
    <row r="1258">
      <c r="A1258" s="4" t="n"/>
      <c r="B1258" s="5" t="n"/>
      <c r="C1258" s="5" t="n"/>
      <c r="D1258" s="5" t="n"/>
      <c r="E1258" s="6">
        <f>IF(A1258="","","B"&amp;TEXT(COUNT($A$2:A1258),"00000"))</f>
        <v/>
      </c>
      <c r="F1258" s="6">
        <f>IF(OR(C1258="",D1258=""),"",IFERROR(LOOKUP(2,1/(($C$1:C1257=C1258)*($D$1:D1257=D1258)*ISNUMBER($J$1:J1257)),$J$1:J1257),SUMIFS(Master!$G$2:$G$13,Master!$E$2:$E$13,C1258,Master!$F$2:$F$13,D1258)))</f>
        <v/>
      </c>
      <c r="G1258" s="5" t="n"/>
      <c r="H1258" s="5" t="n"/>
      <c r="I1258" s="5" t="n"/>
      <c r="J1258" s="6">
        <f>IF(OR(F1258="",COUNT(G1258:I1258)&lt;3),"",F1258+G1258-H1258-I1258)</f>
        <v/>
      </c>
      <c r="K1258" s="6">
        <f>IF(COUNTA(A1258:D1258,G1258:I1258)=0,"",IF(COUNTA(A1258:D1258,G1258:I1258)&lt;7,"LENGKAPI",IF(H1258+I1258&gt;N(F1258)+G1258,"ABNORMAL",IF(COUNTIFS($A$2:$A$2001,A1258,$B$2:$B$2001,B1258,$C$2:$C$2001,C1258,$D$2:$D$2001,D1258)&gt;1,"DUPLIKAT","OK"))))</f>
        <v/>
      </c>
    </row>
    <row r="1259">
      <c r="A1259" s="4" t="n"/>
      <c r="B1259" s="5" t="n"/>
      <c r="C1259" s="5" t="n"/>
      <c r="D1259" s="5" t="n"/>
      <c r="E1259" s="6">
        <f>IF(A1259="","","B"&amp;TEXT(COUNT($A$2:A1259),"00000"))</f>
        <v/>
      </c>
      <c r="F1259" s="6">
        <f>IF(OR(C1259="",D1259=""),"",IFERROR(LOOKUP(2,1/(($C$1:C1258=C1259)*($D$1:D1258=D1259)*ISNUMBER($J$1:J1258)),$J$1:J1258),SUMIFS(Master!$G$2:$G$13,Master!$E$2:$E$13,C1259,Master!$F$2:$F$13,D1259)))</f>
        <v/>
      </c>
      <c r="G1259" s="5" t="n"/>
      <c r="H1259" s="5" t="n"/>
      <c r="I1259" s="5" t="n"/>
      <c r="J1259" s="6">
        <f>IF(OR(F1259="",COUNT(G1259:I1259)&lt;3),"",F1259+G1259-H1259-I1259)</f>
        <v/>
      </c>
      <c r="K1259" s="6">
        <f>IF(COUNTA(A1259:D1259,G1259:I1259)=0,"",IF(COUNTA(A1259:D1259,G1259:I1259)&lt;7,"LENGKAPI",IF(H1259+I1259&gt;N(F1259)+G1259,"ABNORMAL",IF(COUNTIFS($A$2:$A$2001,A1259,$B$2:$B$2001,B1259,$C$2:$C$2001,C1259,$D$2:$D$2001,D1259)&gt;1,"DUPLIKAT","OK"))))</f>
        <v/>
      </c>
    </row>
    <row r="1260">
      <c r="A1260" s="4" t="n"/>
      <c r="B1260" s="5" t="n"/>
      <c r="C1260" s="5" t="n"/>
      <c r="D1260" s="5" t="n"/>
      <c r="E1260" s="6">
        <f>IF(A1260="","","B"&amp;TEXT(COUNT($A$2:A1260),"00000"))</f>
        <v/>
      </c>
      <c r="F1260" s="6">
        <f>IF(OR(C1260="",D1260=""),"",IFERROR(LOOKUP(2,1/(($C$1:C1259=C1260)*($D$1:D1259=D1260)*ISNUMBER($J$1:J1259)),$J$1:J1259),SUMIFS(Master!$G$2:$G$13,Master!$E$2:$E$13,C1260,Master!$F$2:$F$13,D1260)))</f>
        <v/>
      </c>
      <c r="G1260" s="5" t="n"/>
      <c r="H1260" s="5" t="n"/>
      <c r="I1260" s="5" t="n"/>
      <c r="J1260" s="6">
        <f>IF(OR(F1260="",COUNT(G1260:I1260)&lt;3),"",F1260+G1260-H1260-I1260)</f>
        <v/>
      </c>
      <c r="K1260" s="6">
        <f>IF(COUNTA(A1260:D1260,G1260:I1260)=0,"",IF(COUNTA(A1260:D1260,G1260:I1260)&lt;7,"LENGKAPI",IF(H1260+I1260&gt;N(F1260)+G1260,"ABNORMAL",IF(COUNTIFS($A$2:$A$2001,A1260,$B$2:$B$2001,B1260,$C$2:$C$2001,C1260,$D$2:$D$2001,D1260)&gt;1,"DUPLIKAT","OK"))))</f>
        <v/>
      </c>
    </row>
    <row r="1261">
      <c r="A1261" s="4" t="n"/>
      <c r="B1261" s="5" t="n"/>
      <c r="C1261" s="5" t="n"/>
      <c r="D1261" s="5" t="n"/>
      <c r="E1261" s="6">
        <f>IF(A1261="","","B"&amp;TEXT(COUNT($A$2:A1261),"00000"))</f>
        <v/>
      </c>
      <c r="F1261" s="6">
        <f>IF(OR(C1261="",D1261=""),"",IFERROR(LOOKUP(2,1/(($C$1:C1260=C1261)*($D$1:D1260=D1261)*ISNUMBER($J$1:J1260)),$J$1:J1260),SUMIFS(Master!$G$2:$G$13,Master!$E$2:$E$13,C1261,Master!$F$2:$F$13,D1261)))</f>
        <v/>
      </c>
      <c r="G1261" s="5" t="n"/>
      <c r="H1261" s="5" t="n"/>
      <c r="I1261" s="5" t="n"/>
      <c r="J1261" s="6">
        <f>IF(OR(F1261="",COUNT(G1261:I1261)&lt;3),"",F1261+G1261-H1261-I1261)</f>
        <v/>
      </c>
      <c r="K1261" s="6">
        <f>IF(COUNTA(A1261:D1261,G1261:I1261)=0,"",IF(COUNTA(A1261:D1261,G1261:I1261)&lt;7,"LENGKAPI",IF(H1261+I1261&gt;N(F1261)+G1261,"ABNORMAL",IF(COUNTIFS($A$2:$A$2001,A1261,$B$2:$B$2001,B1261,$C$2:$C$2001,C1261,$D$2:$D$2001,D1261)&gt;1,"DUPLIKAT","OK"))))</f>
        <v/>
      </c>
    </row>
    <row r="1262">
      <c r="A1262" s="4" t="n"/>
      <c r="B1262" s="5" t="n"/>
      <c r="C1262" s="5" t="n"/>
      <c r="D1262" s="5" t="n"/>
      <c r="E1262" s="6">
        <f>IF(A1262="","","B"&amp;TEXT(COUNT($A$2:A1262),"00000"))</f>
        <v/>
      </c>
      <c r="F1262" s="6">
        <f>IF(OR(C1262="",D1262=""),"",IFERROR(LOOKUP(2,1/(($C$1:C1261=C1262)*($D$1:D1261=D1262)*ISNUMBER($J$1:J1261)),$J$1:J1261),SUMIFS(Master!$G$2:$G$13,Master!$E$2:$E$13,C1262,Master!$F$2:$F$13,D1262)))</f>
        <v/>
      </c>
      <c r="G1262" s="5" t="n"/>
      <c r="H1262" s="5" t="n"/>
      <c r="I1262" s="5" t="n"/>
      <c r="J1262" s="6">
        <f>IF(OR(F1262="",COUNT(G1262:I1262)&lt;3),"",F1262+G1262-H1262-I1262)</f>
        <v/>
      </c>
      <c r="K1262" s="6">
        <f>IF(COUNTA(A1262:D1262,G1262:I1262)=0,"",IF(COUNTA(A1262:D1262,G1262:I1262)&lt;7,"LENGKAPI",IF(H1262+I1262&gt;N(F1262)+G1262,"ABNORMAL",IF(COUNTIFS($A$2:$A$2001,A1262,$B$2:$B$2001,B1262,$C$2:$C$2001,C1262,$D$2:$D$2001,D1262)&gt;1,"DUPLIKAT","OK"))))</f>
        <v/>
      </c>
    </row>
    <row r="1263">
      <c r="A1263" s="4" t="n"/>
      <c r="B1263" s="5" t="n"/>
      <c r="C1263" s="5" t="n"/>
      <c r="D1263" s="5" t="n"/>
      <c r="E1263" s="6">
        <f>IF(A1263="","","B"&amp;TEXT(COUNT($A$2:A1263),"00000"))</f>
        <v/>
      </c>
      <c r="F1263" s="6">
        <f>IF(OR(C1263="",D1263=""),"",IFERROR(LOOKUP(2,1/(($C$1:C1262=C1263)*($D$1:D1262=D1263)*ISNUMBER($J$1:J1262)),$J$1:J1262),SUMIFS(Master!$G$2:$G$13,Master!$E$2:$E$13,C1263,Master!$F$2:$F$13,D1263)))</f>
        <v/>
      </c>
      <c r="G1263" s="5" t="n"/>
      <c r="H1263" s="5" t="n"/>
      <c r="I1263" s="5" t="n"/>
      <c r="J1263" s="6">
        <f>IF(OR(F1263="",COUNT(G1263:I1263)&lt;3),"",F1263+G1263-H1263-I1263)</f>
        <v/>
      </c>
      <c r="K1263" s="6">
        <f>IF(COUNTA(A1263:D1263,G1263:I1263)=0,"",IF(COUNTA(A1263:D1263,G1263:I1263)&lt;7,"LENGKAPI",IF(H1263+I1263&gt;N(F1263)+G1263,"ABNORMAL",IF(COUNTIFS($A$2:$A$2001,A1263,$B$2:$B$2001,B1263,$C$2:$C$2001,C1263,$D$2:$D$2001,D1263)&gt;1,"DUPLIKAT","OK"))))</f>
        <v/>
      </c>
    </row>
    <row r="1264">
      <c r="A1264" s="4" t="n"/>
      <c r="B1264" s="5" t="n"/>
      <c r="C1264" s="5" t="n"/>
      <c r="D1264" s="5" t="n"/>
      <c r="E1264" s="6">
        <f>IF(A1264="","","B"&amp;TEXT(COUNT($A$2:A1264),"00000"))</f>
        <v/>
      </c>
      <c r="F1264" s="6">
        <f>IF(OR(C1264="",D1264=""),"",IFERROR(LOOKUP(2,1/(($C$1:C1263=C1264)*($D$1:D1263=D1264)*ISNUMBER($J$1:J1263)),$J$1:J1263),SUMIFS(Master!$G$2:$G$13,Master!$E$2:$E$13,C1264,Master!$F$2:$F$13,D1264)))</f>
        <v/>
      </c>
      <c r="G1264" s="5" t="n"/>
      <c r="H1264" s="5" t="n"/>
      <c r="I1264" s="5" t="n"/>
      <c r="J1264" s="6">
        <f>IF(OR(F1264="",COUNT(G1264:I1264)&lt;3),"",F1264+G1264-H1264-I1264)</f>
        <v/>
      </c>
      <c r="K1264" s="6">
        <f>IF(COUNTA(A1264:D1264,G1264:I1264)=0,"",IF(COUNTA(A1264:D1264,G1264:I1264)&lt;7,"LENGKAPI",IF(H1264+I1264&gt;N(F1264)+G1264,"ABNORMAL",IF(COUNTIFS($A$2:$A$2001,A1264,$B$2:$B$2001,B1264,$C$2:$C$2001,C1264,$D$2:$D$2001,D1264)&gt;1,"DUPLIKAT","OK"))))</f>
        <v/>
      </c>
    </row>
    <row r="1265">
      <c r="A1265" s="4" t="n"/>
      <c r="B1265" s="5" t="n"/>
      <c r="C1265" s="5" t="n"/>
      <c r="D1265" s="5" t="n"/>
      <c r="E1265" s="6">
        <f>IF(A1265="","","B"&amp;TEXT(COUNT($A$2:A1265),"00000"))</f>
        <v/>
      </c>
      <c r="F1265" s="6">
        <f>IF(OR(C1265="",D1265=""),"",IFERROR(LOOKUP(2,1/(($C$1:C1264=C1265)*($D$1:D1264=D1265)*ISNUMBER($J$1:J1264)),$J$1:J1264),SUMIFS(Master!$G$2:$G$13,Master!$E$2:$E$13,C1265,Master!$F$2:$F$13,D1265)))</f>
        <v/>
      </c>
      <c r="G1265" s="5" t="n"/>
      <c r="H1265" s="5" t="n"/>
      <c r="I1265" s="5" t="n"/>
      <c r="J1265" s="6">
        <f>IF(OR(F1265="",COUNT(G1265:I1265)&lt;3),"",F1265+G1265-H1265-I1265)</f>
        <v/>
      </c>
      <c r="K1265" s="6">
        <f>IF(COUNTA(A1265:D1265,G1265:I1265)=0,"",IF(COUNTA(A1265:D1265,G1265:I1265)&lt;7,"LENGKAPI",IF(H1265+I1265&gt;N(F1265)+G1265,"ABNORMAL",IF(COUNTIFS($A$2:$A$2001,A1265,$B$2:$B$2001,B1265,$C$2:$C$2001,C1265,$D$2:$D$2001,D1265)&gt;1,"DUPLIKAT","OK"))))</f>
        <v/>
      </c>
    </row>
    <row r="1266">
      <c r="A1266" s="4" t="n"/>
      <c r="B1266" s="5" t="n"/>
      <c r="C1266" s="5" t="n"/>
      <c r="D1266" s="5" t="n"/>
      <c r="E1266" s="6">
        <f>IF(A1266="","","B"&amp;TEXT(COUNT($A$2:A1266),"00000"))</f>
        <v/>
      </c>
      <c r="F1266" s="6">
        <f>IF(OR(C1266="",D1266=""),"",IFERROR(LOOKUP(2,1/(($C$1:C1265=C1266)*($D$1:D1265=D1266)*ISNUMBER($J$1:J1265)),$J$1:J1265),SUMIFS(Master!$G$2:$G$13,Master!$E$2:$E$13,C1266,Master!$F$2:$F$13,D1266)))</f>
        <v/>
      </c>
      <c r="G1266" s="5" t="n"/>
      <c r="H1266" s="5" t="n"/>
      <c r="I1266" s="5" t="n"/>
      <c r="J1266" s="6">
        <f>IF(OR(F1266="",COUNT(G1266:I1266)&lt;3),"",F1266+G1266-H1266-I1266)</f>
        <v/>
      </c>
      <c r="K1266" s="6">
        <f>IF(COUNTA(A1266:D1266,G1266:I1266)=0,"",IF(COUNTA(A1266:D1266,G1266:I1266)&lt;7,"LENGKAPI",IF(H1266+I1266&gt;N(F1266)+G1266,"ABNORMAL",IF(COUNTIFS($A$2:$A$2001,A1266,$B$2:$B$2001,B1266,$C$2:$C$2001,C1266,$D$2:$D$2001,D1266)&gt;1,"DUPLIKAT","OK"))))</f>
        <v/>
      </c>
    </row>
    <row r="1267">
      <c r="A1267" s="4" t="n"/>
      <c r="B1267" s="5" t="n"/>
      <c r="C1267" s="5" t="n"/>
      <c r="D1267" s="5" t="n"/>
      <c r="E1267" s="6">
        <f>IF(A1267="","","B"&amp;TEXT(COUNT($A$2:A1267),"00000"))</f>
        <v/>
      </c>
      <c r="F1267" s="6">
        <f>IF(OR(C1267="",D1267=""),"",IFERROR(LOOKUP(2,1/(($C$1:C1266=C1267)*($D$1:D1266=D1267)*ISNUMBER($J$1:J1266)),$J$1:J1266),SUMIFS(Master!$G$2:$G$13,Master!$E$2:$E$13,C1267,Master!$F$2:$F$13,D1267)))</f>
        <v/>
      </c>
      <c r="G1267" s="5" t="n"/>
      <c r="H1267" s="5" t="n"/>
      <c r="I1267" s="5" t="n"/>
      <c r="J1267" s="6">
        <f>IF(OR(F1267="",COUNT(G1267:I1267)&lt;3),"",F1267+G1267-H1267-I1267)</f>
        <v/>
      </c>
      <c r="K1267" s="6">
        <f>IF(COUNTA(A1267:D1267,G1267:I1267)=0,"",IF(COUNTA(A1267:D1267,G1267:I1267)&lt;7,"LENGKAPI",IF(H1267+I1267&gt;N(F1267)+G1267,"ABNORMAL",IF(COUNTIFS($A$2:$A$2001,A1267,$B$2:$B$2001,B1267,$C$2:$C$2001,C1267,$D$2:$D$2001,D1267)&gt;1,"DUPLIKAT","OK"))))</f>
        <v/>
      </c>
    </row>
    <row r="1268">
      <c r="A1268" s="4" t="n"/>
      <c r="B1268" s="5" t="n"/>
      <c r="C1268" s="5" t="n"/>
      <c r="D1268" s="5" t="n"/>
      <c r="E1268" s="6">
        <f>IF(A1268="","","B"&amp;TEXT(COUNT($A$2:A1268),"00000"))</f>
        <v/>
      </c>
      <c r="F1268" s="6">
        <f>IF(OR(C1268="",D1268=""),"",IFERROR(LOOKUP(2,1/(($C$1:C1267=C1268)*($D$1:D1267=D1268)*ISNUMBER($J$1:J1267)),$J$1:J1267),SUMIFS(Master!$G$2:$G$13,Master!$E$2:$E$13,C1268,Master!$F$2:$F$13,D1268)))</f>
        <v/>
      </c>
      <c r="G1268" s="5" t="n"/>
      <c r="H1268" s="5" t="n"/>
      <c r="I1268" s="5" t="n"/>
      <c r="J1268" s="6">
        <f>IF(OR(F1268="",COUNT(G1268:I1268)&lt;3),"",F1268+G1268-H1268-I1268)</f>
        <v/>
      </c>
      <c r="K1268" s="6">
        <f>IF(COUNTA(A1268:D1268,G1268:I1268)=0,"",IF(COUNTA(A1268:D1268,G1268:I1268)&lt;7,"LENGKAPI",IF(H1268+I1268&gt;N(F1268)+G1268,"ABNORMAL",IF(COUNTIFS($A$2:$A$2001,A1268,$B$2:$B$2001,B1268,$C$2:$C$2001,C1268,$D$2:$D$2001,D1268)&gt;1,"DUPLIKAT","OK"))))</f>
        <v/>
      </c>
    </row>
    <row r="1269">
      <c r="A1269" s="4" t="n"/>
      <c r="B1269" s="5" t="n"/>
      <c r="C1269" s="5" t="n"/>
      <c r="D1269" s="5" t="n"/>
      <c r="E1269" s="6">
        <f>IF(A1269="","","B"&amp;TEXT(COUNT($A$2:A1269),"00000"))</f>
        <v/>
      </c>
      <c r="F1269" s="6">
        <f>IF(OR(C1269="",D1269=""),"",IFERROR(LOOKUP(2,1/(($C$1:C1268=C1269)*($D$1:D1268=D1269)*ISNUMBER($J$1:J1268)),$J$1:J1268),SUMIFS(Master!$G$2:$G$13,Master!$E$2:$E$13,C1269,Master!$F$2:$F$13,D1269)))</f>
        <v/>
      </c>
      <c r="G1269" s="5" t="n"/>
      <c r="H1269" s="5" t="n"/>
      <c r="I1269" s="5" t="n"/>
      <c r="J1269" s="6">
        <f>IF(OR(F1269="",COUNT(G1269:I1269)&lt;3),"",F1269+G1269-H1269-I1269)</f>
        <v/>
      </c>
      <c r="K1269" s="6">
        <f>IF(COUNTA(A1269:D1269,G1269:I1269)=0,"",IF(COUNTA(A1269:D1269,G1269:I1269)&lt;7,"LENGKAPI",IF(H1269+I1269&gt;N(F1269)+G1269,"ABNORMAL",IF(COUNTIFS($A$2:$A$2001,A1269,$B$2:$B$2001,B1269,$C$2:$C$2001,C1269,$D$2:$D$2001,D1269)&gt;1,"DUPLIKAT","OK"))))</f>
        <v/>
      </c>
    </row>
    <row r="1270">
      <c r="A1270" s="4" t="n"/>
      <c r="B1270" s="5" t="n"/>
      <c r="C1270" s="5" t="n"/>
      <c r="D1270" s="5" t="n"/>
      <c r="E1270" s="6">
        <f>IF(A1270="","","B"&amp;TEXT(COUNT($A$2:A1270),"00000"))</f>
        <v/>
      </c>
      <c r="F1270" s="6">
        <f>IF(OR(C1270="",D1270=""),"",IFERROR(LOOKUP(2,1/(($C$1:C1269=C1270)*($D$1:D1269=D1270)*ISNUMBER($J$1:J1269)),$J$1:J1269),SUMIFS(Master!$G$2:$G$13,Master!$E$2:$E$13,C1270,Master!$F$2:$F$13,D1270)))</f>
        <v/>
      </c>
      <c r="G1270" s="5" t="n"/>
      <c r="H1270" s="5" t="n"/>
      <c r="I1270" s="5" t="n"/>
      <c r="J1270" s="6">
        <f>IF(OR(F1270="",COUNT(G1270:I1270)&lt;3),"",F1270+G1270-H1270-I1270)</f>
        <v/>
      </c>
      <c r="K1270" s="6">
        <f>IF(COUNTA(A1270:D1270,G1270:I1270)=0,"",IF(COUNTA(A1270:D1270,G1270:I1270)&lt;7,"LENGKAPI",IF(H1270+I1270&gt;N(F1270)+G1270,"ABNORMAL",IF(COUNTIFS($A$2:$A$2001,A1270,$B$2:$B$2001,B1270,$C$2:$C$2001,C1270,$D$2:$D$2001,D1270)&gt;1,"DUPLIKAT","OK"))))</f>
        <v/>
      </c>
    </row>
    <row r="1271">
      <c r="A1271" s="4" t="n"/>
      <c r="B1271" s="5" t="n"/>
      <c r="C1271" s="5" t="n"/>
      <c r="D1271" s="5" t="n"/>
      <c r="E1271" s="6">
        <f>IF(A1271="","","B"&amp;TEXT(COUNT($A$2:A1271),"00000"))</f>
        <v/>
      </c>
      <c r="F1271" s="6">
        <f>IF(OR(C1271="",D1271=""),"",IFERROR(LOOKUP(2,1/(($C$1:C1270=C1271)*($D$1:D1270=D1271)*ISNUMBER($J$1:J1270)),$J$1:J1270),SUMIFS(Master!$G$2:$G$13,Master!$E$2:$E$13,C1271,Master!$F$2:$F$13,D1271)))</f>
        <v/>
      </c>
      <c r="G1271" s="5" t="n"/>
      <c r="H1271" s="5" t="n"/>
      <c r="I1271" s="5" t="n"/>
      <c r="J1271" s="6">
        <f>IF(OR(F1271="",COUNT(G1271:I1271)&lt;3),"",F1271+G1271-H1271-I1271)</f>
        <v/>
      </c>
      <c r="K1271" s="6">
        <f>IF(COUNTA(A1271:D1271,G1271:I1271)=0,"",IF(COUNTA(A1271:D1271,G1271:I1271)&lt;7,"LENGKAPI",IF(H1271+I1271&gt;N(F1271)+G1271,"ABNORMAL",IF(COUNTIFS($A$2:$A$2001,A1271,$B$2:$B$2001,B1271,$C$2:$C$2001,C1271,$D$2:$D$2001,D1271)&gt;1,"DUPLIKAT","OK"))))</f>
        <v/>
      </c>
    </row>
    <row r="1272">
      <c r="A1272" s="4" t="n"/>
      <c r="B1272" s="5" t="n"/>
      <c r="C1272" s="5" t="n"/>
      <c r="D1272" s="5" t="n"/>
      <c r="E1272" s="6">
        <f>IF(A1272="","","B"&amp;TEXT(COUNT($A$2:A1272),"00000"))</f>
        <v/>
      </c>
      <c r="F1272" s="6">
        <f>IF(OR(C1272="",D1272=""),"",IFERROR(LOOKUP(2,1/(($C$1:C1271=C1272)*($D$1:D1271=D1272)*ISNUMBER($J$1:J1271)),$J$1:J1271),SUMIFS(Master!$G$2:$G$13,Master!$E$2:$E$13,C1272,Master!$F$2:$F$13,D1272)))</f>
        <v/>
      </c>
      <c r="G1272" s="5" t="n"/>
      <c r="H1272" s="5" t="n"/>
      <c r="I1272" s="5" t="n"/>
      <c r="J1272" s="6">
        <f>IF(OR(F1272="",COUNT(G1272:I1272)&lt;3),"",F1272+G1272-H1272-I1272)</f>
        <v/>
      </c>
      <c r="K1272" s="6">
        <f>IF(COUNTA(A1272:D1272,G1272:I1272)=0,"",IF(COUNTA(A1272:D1272,G1272:I1272)&lt;7,"LENGKAPI",IF(H1272+I1272&gt;N(F1272)+G1272,"ABNORMAL",IF(COUNTIFS($A$2:$A$2001,A1272,$B$2:$B$2001,B1272,$C$2:$C$2001,C1272,$D$2:$D$2001,D1272)&gt;1,"DUPLIKAT","OK"))))</f>
        <v/>
      </c>
    </row>
    <row r="1273">
      <c r="A1273" s="4" t="n"/>
      <c r="B1273" s="5" t="n"/>
      <c r="C1273" s="5" t="n"/>
      <c r="D1273" s="5" t="n"/>
      <c r="E1273" s="6">
        <f>IF(A1273="","","B"&amp;TEXT(COUNT($A$2:A1273),"00000"))</f>
        <v/>
      </c>
      <c r="F1273" s="6">
        <f>IF(OR(C1273="",D1273=""),"",IFERROR(LOOKUP(2,1/(($C$1:C1272=C1273)*($D$1:D1272=D1273)*ISNUMBER($J$1:J1272)),$J$1:J1272),SUMIFS(Master!$G$2:$G$13,Master!$E$2:$E$13,C1273,Master!$F$2:$F$13,D1273)))</f>
        <v/>
      </c>
      <c r="G1273" s="5" t="n"/>
      <c r="H1273" s="5" t="n"/>
      <c r="I1273" s="5" t="n"/>
      <c r="J1273" s="6">
        <f>IF(OR(F1273="",COUNT(G1273:I1273)&lt;3),"",F1273+G1273-H1273-I1273)</f>
        <v/>
      </c>
      <c r="K1273" s="6">
        <f>IF(COUNTA(A1273:D1273,G1273:I1273)=0,"",IF(COUNTA(A1273:D1273,G1273:I1273)&lt;7,"LENGKAPI",IF(H1273+I1273&gt;N(F1273)+G1273,"ABNORMAL",IF(COUNTIFS($A$2:$A$2001,A1273,$B$2:$B$2001,B1273,$C$2:$C$2001,C1273,$D$2:$D$2001,D1273)&gt;1,"DUPLIKAT","OK"))))</f>
        <v/>
      </c>
    </row>
    <row r="1274">
      <c r="A1274" s="4" t="n"/>
      <c r="B1274" s="5" t="n"/>
      <c r="C1274" s="5" t="n"/>
      <c r="D1274" s="5" t="n"/>
      <c r="E1274" s="6">
        <f>IF(A1274="","","B"&amp;TEXT(COUNT($A$2:A1274),"00000"))</f>
        <v/>
      </c>
      <c r="F1274" s="6">
        <f>IF(OR(C1274="",D1274=""),"",IFERROR(LOOKUP(2,1/(($C$1:C1273=C1274)*($D$1:D1273=D1274)*ISNUMBER($J$1:J1273)),$J$1:J1273),SUMIFS(Master!$G$2:$G$13,Master!$E$2:$E$13,C1274,Master!$F$2:$F$13,D1274)))</f>
        <v/>
      </c>
      <c r="G1274" s="5" t="n"/>
      <c r="H1274" s="5" t="n"/>
      <c r="I1274" s="5" t="n"/>
      <c r="J1274" s="6">
        <f>IF(OR(F1274="",COUNT(G1274:I1274)&lt;3),"",F1274+G1274-H1274-I1274)</f>
        <v/>
      </c>
      <c r="K1274" s="6">
        <f>IF(COUNTA(A1274:D1274,G1274:I1274)=0,"",IF(COUNTA(A1274:D1274,G1274:I1274)&lt;7,"LENGKAPI",IF(H1274+I1274&gt;N(F1274)+G1274,"ABNORMAL",IF(COUNTIFS($A$2:$A$2001,A1274,$B$2:$B$2001,B1274,$C$2:$C$2001,C1274,$D$2:$D$2001,D1274)&gt;1,"DUPLIKAT","OK"))))</f>
        <v/>
      </c>
    </row>
    <row r="1275">
      <c r="A1275" s="4" t="n"/>
      <c r="B1275" s="5" t="n"/>
      <c r="C1275" s="5" t="n"/>
      <c r="D1275" s="5" t="n"/>
      <c r="E1275" s="6">
        <f>IF(A1275="","","B"&amp;TEXT(COUNT($A$2:A1275),"00000"))</f>
        <v/>
      </c>
      <c r="F1275" s="6">
        <f>IF(OR(C1275="",D1275=""),"",IFERROR(LOOKUP(2,1/(($C$1:C1274=C1275)*($D$1:D1274=D1275)*ISNUMBER($J$1:J1274)),$J$1:J1274),SUMIFS(Master!$G$2:$G$13,Master!$E$2:$E$13,C1275,Master!$F$2:$F$13,D1275)))</f>
        <v/>
      </c>
      <c r="G1275" s="5" t="n"/>
      <c r="H1275" s="5" t="n"/>
      <c r="I1275" s="5" t="n"/>
      <c r="J1275" s="6">
        <f>IF(OR(F1275="",COUNT(G1275:I1275)&lt;3),"",F1275+G1275-H1275-I1275)</f>
        <v/>
      </c>
      <c r="K1275" s="6">
        <f>IF(COUNTA(A1275:D1275,G1275:I1275)=0,"",IF(COUNTA(A1275:D1275,G1275:I1275)&lt;7,"LENGKAPI",IF(H1275+I1275&gt;N(F1275)+G1275,"ABNORMAL",IF(COUNTIFS($A$2:$A$2001,A1275,$B$2:$B$2001,B1275,$C$2:$C$2001,C1275,$D$2:$D$2001,D1275)&gt;1,"DUPLIKAT","OK"))))</f>
        <v/>
      </c>
    </row>
    <row r="1276">
      <c r="A1276" s="4" t="n"/>
      <c r="B1276" s="5" t="n"/>
      <c r="C1276" s="5" t="n"/>
      <c r="D1276" s="5" t="n"/>
      <c r="E1276" s="6">
        <f>IF(A1276="","","B"&amp;TEXT(COUNT($A$2:A1276),"00000"))</f>
        <v/>
      </c>
      <c r="F1276" s="6">
        <f>IF(OR(C1276="",D1276=""),"",IFERROR(LOOKUP(2,1/(($C$1:C1275=C1276)*($D$1:D1275=D1276)*ISNUMBER($J$1:J1275)),$J$1:J1275),SUMIFS(Master!$G$2:$G$13,Master!$E$2:$E$13,C1276,Master!$F$2:$F$13,D1276)))</f>
        <v/>
      </c>
      <c r="G1276" s="5" t="n"/>
      <c r="H1276" s="5" t="n"/>
      <c r="I1276" s="5" t="n"/>
      <c r="J1276" s="6">
        <f>IF(OR(F1276="",COUNT(G1276:I1276)&lt;3),"",F1276+G1276-H1276-I1276)</f>
        <v/>
      </c>
      <c r="K1276" s="6">
        <f>IF(COUNTA(A1276:D1276,G1276:I1276)=0,"",IF(COUNTA(A1276:D1276,G1276:I1276)&lt;7,"LENGKAPI",IF(H1276+I1276&gt;N(F1276)+G1276,"ABNORMAL",IF(COUNTIFS($A$2:$A$2001,A1276,$B$2:$B$2001,B1276,$C$2:$C$2001,C1276,$D$2:$D$2001,D1276)&gt;1,"DUPLIKAT","OK"))))</f>
        <v/>
      </c>
    </row>
    <row r="1277">
      <c r="A1277" s="4" t="n"/>
      <c r="B1277" s="5" t="n"/>
      <c r="C1277" s="5" t="n"/>
      <c r="D1277" s="5" t="n"/>
      <c r="E1277" s="6">
        <f>IF(A1277="","","B"&amp;TEXT(COUNT($A$2:A1277),"00000"))</f>
        <v/>
      </c>
      <c r="F1277" s="6">
        <f>IF(OR(C1277="",D1277=""),"",IFERROR(LOOKUP(2,1/(($C$1:C1276=C1277)*($D$1:D1276=D1277)*ISNUMBER($J$1:J1276)),$J$1:J1276),SUMIFS(Master!$G$2:$G$13,Master!$E$2:$E$13,C1277,Master!$F$2:$F$13,D1277)))</f>
        <v/>
      </c>
      <c r="G1277" s="5" t="n"/>
      <c r="H1277" s="5" t="n"/>
      <c r="I1277" s="5" t="n"/>
      <c r="J1277" s="6">
        <f>IF(OR(F1277="",COUNT(G1277:I1277)&lt;3),"",F1277+G1277-H1277-I1277)</f>
        <v/>
      </c>
      <c r="K1277" s="6">
        <f>IF(COUNTA(A1277:D1277,G1277:I1277)=0,"",IF(COUNTA(A1277:D1277,G1277:I1277)&lt;7,"LENGKAPI",IF(H1277+I1277&gt;N(F1277)+G1277,"ABNORMAL",IF(COUNTIFS($A$2:$A$2001,A1277,$B$2:$B$2001,B1277,$C$2:$C$2001,C1277,$D$2:$D$2001,D1277)&gt;1,"DUPLIKAT","OK"))))</f>
        <v/>
      </c>
    </row>
    <row r="1278">
      <c r="A1278" s="4" t="n"/>
      <c r="B1278" s="5" t="n"/>
      <c r="C1278" s="5" t="n"/>
      <c r="D1278" s="5" t="n"/>
      <c r="E1278" s="6">
        <f>IF(A1278="","","B"&amp;TEXT(COUNT($A$2:A1278),"00000"))</f>
        <v/>
      </c>
      <c r="F1278" s="6">
        <f>IF(OR(C1278="",D1278=""),"",IFERROR(LOOKUP(2,1/(($C$1:C1277=C1278)*($D$1:D1277=D1278)*ISNUMBER($J$1:J1277)),$J$1:J1277),SUMIFS(Master!$G$2:$G$13,Master!$E$2:$E$13,C1278,Master!$F$2:$F$13,D1278)))</f>
        <v/>
      </c>
      <c r="G1278" s="5" t="n"/>
      <c r="H1278" s="5" t="n"/>
      <c r="I1278" s="5" t="n"/>
      <c r="J1278" s="6">
        <f>IF(OR(F1278="",COUNT(G1278:I1278)&lt;3),"",F1278+G1278-H1278-I1278)</f>
        <v/>
      </c>
      <c r="K1278" s="6">
        <f>IF(COUNTA(A1278:D1278,G1278:I1278)=0,"",IF(COUNTA(A1278:D1278,G1278:I1278)&lt;7,"LENGKAPI",IF(H1278+I1278&gt;N(F1278)+G1278,"ABNORMAL",IF(COUNTIFS($A$2:$A$2001,A1278,$B$2:$B$2001,B1278,$C$2:$C$2001,C1278,$D$2:$D$2001,D1278)&gt;1,"DUPLIKAT","OK"))))</f>
        <v/>
      </c>
    </row>
    <row r="1279">
      <c r="A1279" s="4" t="n"/>
      <c r="B1279" s="5" t="n"/>
      <c r="C1279" s="5" t="n"/>
      <c r="D1279" s="5" t="n"/>
      <c r="E1279" s="6">
        <f>IF(A1279="","","B"&amp;TEXT(COUNT($A$2:A1279),"00000"))</f>
        <v/>
      </c>
      <c r="F1279" s="6">
        <f>IF(OR(C1279="",D1279=""),"",IFERROR(LOOKUP(2,1/(($C$1:C1278=C1279)*($D$1:D1278=D1279)*ISNUMBER($J$1:J1278)),$J$1:J1278),SUMIFS(Master!$G$2:$G$13,Master!$E$2:$E$13,C1279,Master!$F$2:$F$13,D1279)))</f>
        <v/>
      </c>
      <c r="G1279" s="5" t="n"/>
      <c r="H1279" s="5" t="n"/>
      <c r="I1279" s="5" t="n"/>
      <c r="J1279" s="6">
        <f>IF(OR(F1279="",COUNT(G1279:I1279)&lt;3),"",F1279+G1279-H1279-I1279)</f>
        <v/>
      </c>
      <c r="K1279" s="6">
        <f>IF(COUNTA(A1279:D1279,G1279:I1279)=0,"",IF(COUNTA(A1279:D1279,G1279:I1279)&lt;7,"LENGKAPI",IF(H1279+I1279&gt;N(F1279)+G1279,"ABNORMAL",IF(COUNTIFS($A$2:$A$2001,A1279,$B$2:$B$2001,B1279,$C$2:$C$2001,C1279,$D$2:$D$2001,D1279)&gt;1,"DUPLIKAT","OK"))))</f>
        <v/>
      </c>
    </row>
    <row r="1280">
      <c r="A1280" s="4" t="n"/>
      <c r="B1280" s="5" t="n"/>
      <c r="C1280" s="5" t="n"/>
      <c r="D1280" s="5" t="n"/>
      <c r="E1280" s="6">
        <f>IF(A1280="","","B"&amp;TEXT(COUNT($A$2:A1280),"00000"))</f>
        <v/>
      </c>
      <c r="F1280" s="6">
        <f>IF(OR(C1280="",D1280=""),"",IFERROR(LOOKUP(2,1/(($C$1:C1279=C1280)*($D$1:D1279=D1280)*ISNUMBER($J$1:J1279)),$J$1:J1279),SUMIFS(Master!$G$2:$G$13,Master!$E$2:$E$13,C1280,Master!$F$2:$F$13,D1280)))</f>
        <v/>
      </c>
      <c r="G1280" s="5" t="n"/>
      <c r="H1280" s="5" t="n"/>
      <c r="I1280" s="5" t="n"/>
      <c r="J1280" s="6">
        <f>IF(OR(F1280="",COUNT(G1280:I1280)&lt;3),"",F1280+G1280-H1280-I1280)</f>
        <v/>
      </c>
      <c r="K1280" s="6">
        <f>IF(COUNTA(A1280:D1280,G1280:I1280)=0,"",IF(COUNTA(A1280:D1280,G1280:I1280)&lt;7,"LENGKAPI",IF(H1280+I1280&gt;N(F1280)+G1280,"ABNORMAL",IF(COUNTIFS($A$2:$A$2001,A1280,$B$2:$B$2001,B1280,$C$2:$C$2001,C1280,$D$2:$D$2001,D1280)&gt;1,"DUPLIKAT","OK"))))</f>
        <v/>
      </c>
    </row>
    <row r="1281">
      <c r="A1281" s="4" t="n"/>
      <c r="B1281" s="5" t="n"/>
      <c r="C1281" s="5" t="n"/>
      <c r="D1281" s="5" t="n"/>
      <c r="E1281" s="6">
        <f>IF(A1281="","","B"&amp;TEXT(COUNT($A$2:A1281),"00000"))</f>
        <v/>
      </c>
      <c r="F1281" s="6">
        <f>IF(OR(C1281="",D1281=""),"",IFERROR(LOOKUP(2,1/(($C$1:C1280=C1281)*($D$1:D1280=D1281)*ISNUMBER($J$1:J1280)),$J$1:J1280),SUMIFS(Master!$G$2:$G$13,Master!$E$2:$E$13,C1281,Master!$F$2:$F$13,D1281)))</f>
        <v/>
      </c>
      <c r="G1281" s="5" t="n"/>
      <c r="H1281" s="5" t="n"/>
      <c r="I1281" s="5" t="n"/>
      <c r="J1281" s="6">
        <f>IF(OR(F1281="",COUNT(G1281:I1281)&lt;3),"",F1281+G1281-H1281-I1281)</f>
        <v/>
      </c>
      <c r="K1281" s="6">
        <f>IF(COUNTA(A1281:D1281,G1281:I1281)=0,"",IF(COUNTA(A1281:D1281,G1281:I1281)&lt;7,"LENGKAPI",IF(H1281+I1281&gt;N(F1281)+G1281,"ABNORMAL",IF(COUNTIFS($A$2:$A$2001,A1281,$B$2:$B$2001,B1281,$C$2:$C$2001,C1281,$D$2:$D$2001,D1281)&gt;1,"DUPLIKAT","OK"))))</f>
        <v/>
      </c>
    </row>
    <row r="1282">
      <c r="A1282" s="4" t="n"/>
      <c r="B1282" s="5" t="n"/>
      <c r="C1282" s="5" t="n"/>
      <c r="D1282" s="5" t="n"/>
      <c r="E1282" s="6">
        <f>IF(A1282="","","B"&amp;TEXT(COUNT($A$2:A1282),"00000"))</f>
        <v/>
      </c>
      <c r="F1282" s="6">
        <f>IF(OR(C1282="",D1282=""),"",IFERROR(LOOKUP(2,1/(($C$1:C1281=C1282)*($D$1:D1281=D1282)*ISNUMBER($J$1:J1281)),$J$1:J1281),SUMIFS(Master!$G$2:$G$13,Master!$E$2:$E$13,C1282,Master!$F$2:$F$13,D1282)))</f>
        <v/>
      </c>
      <c r="G1282" s="5" t="n"/>
      <c r="H1282" s="5" t="n"/>
      <c r="I1282" s="5" t="n"/>
      <c r="J1282" s="6">
        <f>IF(OR(F1282="",COUNT(G1282:I1282)&lt;3),"",F1282+G1282-H1282-I1282)</f>
        <v/>
      </c>
      <c r="K1282" s="6">
        <f>IF(COUNTA(A1282:D1282,G1282:I1282)=0,"",IF(COUNTA(A1282:D1282,G1282:I1282)&lt;7,"LENGKAPI",IF(H1282+I1282&gt;N(F1282)+G1282,"ABNORMAL",IF(COUNTIFS($A$2:$A$2001,A1282,$B$2:$B$2001,B1282,$C$2:$C$2001,C1282,$D$2:$D$2001,D1282)&gt;1,"DUPLIKAT","OK"))))</f>
        <v/>
      </c>
    </row>
    <row r="1283">
      <c r="A1283" s="4" t="n"/>
      <c r="B1283" s="5" t="n"/>
      <c r="C1283" s="5" t="n"/>
      <c r="D1283" s="5" t="n"/>
      <c r="E1283" s="6">
        <f>IF(A1283="","","B"&amp;TEXT(COUNT($A$2:A1283),"00000"))</f>
        <v/>
      </c>
      <c r="F1283" s="6">
        <f>IF(OR(C1283="",D1283=""),"",IFERROR(LOOKUP(2,1/(($C$1:C1282=C1283)*($D$1:D1282=D1283)*ISNUMBER($J$1:J1282)),$J$1:J1282),SUMIFS(Master!$G$2:$G$13,Master!$E$2:$E$13,C1283,Master!$F$2:$F$13,D1283)))</f>
        <v/>
      </c>
      <c r="G1283" s="5" t="n"/>
      <c r="H1283" s="5" t="n"/>
      <c r="I1283" s="5" t="n"/>
      <c r="J1283" s="6">
        <f>IF(OR(F1283="",COUNT(G1283:I1283)&lt;3),"",F1283+G1283-H1283-I1283)</f>
        <v/>
      </c>
      <c r="K1283" s="6">
        <f>IF(COUNTA(A1283:D1283,G1283:I1283)=0,"",IF(COUNTA(A1283:D1283,G1283:I1283)&lt;7,"LENGKAPI",IF(H1283+I1283&gt;N(F1283)+G1283,"ABNORMAL",IF(COUNTIFS($A$2:$A$2001,A1283,$B$2:$B$2001,B1283,$C$2:$C$2001,C1283,$D$2:$D$2001,D1283)&gt;1,"DUPLIKAT","OK"))))</f>
        <v/>
      </c>
    </row>
    <row r="1284">
      <c r="A1284" s="4" t="n"/>
      <c r="B1284" s="5" t="n"/>
      <c r="C1284" s="5" t="n"/>
      <c r="D1284" s="5" t="n"/>
      <c r="E1284" s="6">
        <f>IF(A1284="","","B"&amp;TEXT(COUNT($A$2:A1284),"00000"))</f>
        <v/>
      </c>
      <c r="F1284" s="6">
        <f>IF(OR(C1284="",D1284=""),"",IFERROR(LOOKUP(2,1/(($C$1:C1283=C1284)*($D$1:D1283=D1284)*ISNUMBER($J$1:J1283)),$J$1:J1283),SUMIFS(Master!$G$2:$G$13,Master!$E$2:$E$13,C1284,Master!$F$2:$F$13,D1284)))</f>
        <v/>
      </c>
      <c r="G1284" s="5" t="n"/>
      <c r="H1284" s="5" t="n"/>
      <c r="I1284" s="5" t="n"/>
      <c r="J1284" s="6">
        <f>IF(OR(F1284="",COUNT(G1284:I1284)&lt;3),"",F1284+G1284-H1284-I1284)</f>
        <v/>
      </c>
      <c r="K1284" s="6">
        <f>IF(COUNTA(A1284:D1284,G1284:I1284)=0,"",IF(COUNTA(A1284:D1284,G1284:I1284)&lt;7,"LENGKAPI",IF(H1284+I1284&gt;N(F1284)+G1284,"ABNORMAL",IF(COUNTIFS($A$2:$A$2001,A1284,$B$2:$B$2001,B1284,$C$2:$C$2001,C1284,$D$2:$D$2001,D1284)&gt;1,"DUPLIKAT","OK"))))</f>
        <v/>
      </c>
    </row>
    <row r="1285">
      <c r="A1285" s="4" t="n"/>
      <c r="B1285" s="5" t="n"/>
      <c r="C1285" s="5" t="n"/>
      <c r="D1285" s="5" t="n"/>
      <c r="E1285" s="6">
        <f>IF(A1285="","","B"&amp;TEXT(COUNT($A$2:A1285),"00000"))</f>
        <v/>
      </c>
      <c r="F1285" s="6">
        <f>IF(OR(C1285="",D1285=""),"",IFERROR(LOOKUP(2,1/(($C$1:C1284=C1285)*($D$1:D1284=D1285)*ISNUMBER($J$1:J1284)),$J$1:J1284),SUMIFS(Master!$G$2:$G$13,Master!$E$2:$E$13,C1285,Master!$F$2:$F$13,D1285)))</f>
        <v/>
      </c>
      <c r="G1285" s="5" t="n"/>
      <c r="H1285" s="5" t="n"/>
      <c r="I1285" s="5" t="n"/>
      <c r="J1285" s="6">
        <f>IF(OR(F1285="",COUNT(G1285:I1285)&lt;3),"",F1285+G1285-H1285-I1285)</f>
        <v/>
      </c>
      <c r="K1285" s="6">
        <f>IF(COUNTA(A1285:D1285,G1285:I1285)=0,"",IF(COUNTA(A1285:D1285,G1285:I1285)&lt;7,"LENGKAPI",IF(H1285+I1285&gt;N(F1285)+G1285,"ABNORMAL",IF(COUNTIFS($A$2:$A$2001,A1285,$B$2:$B$2001,B1285,$C$2:$C$2001,C1285,$D$2:$D$2001,D1285)&gt;1,"DUPLIKAT","OK"))))</f>
        <v/>
      </c>
    </row>
    <row r="1286">
      <c r="A1286" s="4" t="n"/>
      <c r="B1286" s="5" t="n"/>
      <c r="C1286" s="5" t="n"/>
      <c r="D1286" s="5" t="n"/>
      <c r="E1286" s="6">
        <f>IF(A1286="","","B"&amp;TEXT(COUNT($A$2:A1286),"00000"))</f>
        <v/>
      </c>
      <c r="F1286" s="6">
        <f>IF(OR(C1286="",D1286=""),"",IFERROR(LOOKUP(2,1/(($C$1:C1285=C1286)*($D$1:D1285=D1286)*ISNUMBER($J$1:J1285)),$J$1:J1285),SUMIFS(Master!$G$2:$G$13,Master!$E$2:$E$13,C1286,Master!$F$2:$F$13,D1286)))</f>
        <v/>
      </c>
      <c r="G1286" s="5" t="n"/>
      <c r="H1286" s="5" t="n"/>
      <c r="I1286" s="5" t="n"/>
      <c r="J1286" s="6">
        <f>IF(OR(F1286="",COUNT(G1286:I1286)&lt;3),"",F1286+G1286-H1286-I1286)</f>
        <v/>
      </c>
      <c r="K1286" s="6">
        <f>IF(COUNTA(A1286:D1286,G1286:I1286)=0,"",IF(COUNTA(A1286:D1286,G1286:I1286)&lt;7,"LENGKAPI",IF(H1286+I1286&gt;N(F1286)+G1286,"ABNORMAL",IF(COUNTIFS($A$2:$A$2001,A1286,$B$2:$B$2001,B1286,$C$2:$C$2001,C1286,$D$2:$D$2001,D1286)&gt;1,"DUPLIKAT","OK"))))</f>
        <v/>
      </c>
    </row>
    <row r="1287">
      <c r="A1287" s="4" t="n"/>
      <c r="B1287" s="5" t="n"/>
      <c r="C1287" s="5" t="n"/>
      <c r="D1287" s="5" t="n"/>
      <c r="E1287" s="6">
        <f>IF(A1287="","","B"&amp;TEXT(COUNT($A$2:A1287),"00000"))</f>
        <v/>
      </c>
      <c r="F1287" s="6">
        <f>IF(OR(C1287="",D1287=""),"",IFERROR(LOOKUP(2,1/(($C$1:C1286=C1287)*($D$1:D1286=D1287)*ISNUMBER($J$1:J1286)),$J$1:J1286),SUMIFS(Master!$G$2:$G$13,Master!$E$2:$E$13,C1287,Master!$F$2:$F$13,D1287)))</f>
        <v/>
      </c>
      <c r="G1287" s="5" t="n"/>
      <c r="H1287" s="5" t="n"/>
      <c r="I1287" s="5" t="n"/>
      <c r="J1287" s="6">
        <f>IF(OR(F1287="",COUNT(G1287:I1287)&lt;3),"",F1287+G1287-H1287-I1287)</f>
        <v/>
      </c>
      <c r="K1287" s="6">
        <f>IF(COUNTA(A1287:D1287,G1287:I1287)=0,"",IF(COUNTA(A1287:D1287,G1287:I1287)&lt;7,"LENGKAPI",IF(H1287+I1287&gt;N(F1287)+G1287,"ABNORMAL",IF(COUNTIFS($A$2:$A$2001,A1287,$B$2:$B$2001,B1287,$C$2:$C$2001,C1287,$D$2:$D$2001,D1287)&gt;1,"DUPLIKAT","OK"))))</f>
        <v/>
      </c>
    </row>
    <row r="1288">
      <c r="A1288" s="4" t="n"/>
      <c r="B1288" s="5" t="n"/>
      <c r="C1288" s="5" t="n"/>
      <c r="D1288" s="5" t="n"/>
      <c r="E1288" s="6">
        <f>IF(A1288="","","B"&amp;TEXT(COUNT($A$2:A1288),"00000"))</f>
        <v/>
      </c>
      <c r="F1288" s="6">
        <f>IF(OR(C1288="",D1288=""),"",IFERROR(LOOKUP(2,1/(($C$1:C1287=C1288)*($D$1:D1287=D1288)*ISNUMBER($J$1:J1287)),$J$1:J1287),SUMIFS(Master!$G$2:$G$13,Master!$E$2:$E$13,C1288,Master!$F$2:$F$13,D1288)))</f>
        <v/>
      </c>
      <c r="G1288" s="5" t="n"/>
      <c r="H1288" s="5" t="n"/>
      <c r="I1288" s="5" t="n"/>
      <c r="J1288" s="6">
        <f>IF(OR(F1288="",COUNT(G1288:I1288)&lt;3),"",F1288+G1288-H1288-I1288)</f>
        <v/>
      </c>
      <c r="K1288" s="6">
        <f>IF(COUNTA(A1288:D1288,G1288:I1288)=0,"",IF(COUNTA(A1288:D1288,G1288:I1288)&lt;7,"LENGKAPI",IF(H1288+I1288&gt;N(F1288)+G1288,"ABNORMAL",IF(COUNTIFS($A$2:$A$2001,A1288,$B$2:$B$2001,B1288,$C$2:$C$2001,C1288,$D$2:$D$2001,D1288)&gt;1,"DUPLIKAT","OK"))))</f>
        <v/>
      </c>
    </row>
    <row r="1289">
      <c r="A1289" s="4" t="n"/>
      <c r="B1289" s="5" t="n"/>
      <c r="C1289" s="5" t="n"/>
      <c r="D1289" s="5" t="n"/>
      <c r="E1289" s="6">
        <f>IF(A1289="","","B"&amp;TEXT(COUNT($A$2:A1289),"00000"))</f>
        <v/>
      </c>
      <c r="F1289" s="6">
        <f>IF(OR(C1289="",D1289=""),"",IFERROR(LOOKUP(2,1/(($C$1:C1288=C1289)*($D$1:D1288=D1289)*ISNUMBER($J$1:J1288)),$J$1:J1288),SUMIFS(Master!$G$2:$G$13,Master!$E$2:$E$13,C1289,Master!$F$2:$F$13,D1289)))</f>
        <v/>
      </c>
      <c r="G1289" s="5" t="n"/>
      <c r="H1289" s="5" t="n"/>
      <c r="I1289" s="5" t="n"/>
      <c r="J1289" s="6">
        <f>IF(OR(F1289="",COUNT(G1289:I1289)&lt;3),"",F1289+G1289-H1289-I1289)</f>
        <v/>
      </c>
      <c r="K1289" s="6">
        <f>IF(COUNTA(A1289:D1289,G1289:I1289)=0,"",IF(COUNTA(A1289:D1289,G1289:I1289)&lt;7,"LENGKAPI",IF(H1289+I1289&gt;N(F1289)+G1289,"ABNORMAL",IF(COUNTIFS($A$2:$A$2001,A1289,$B$2:$B$2001,B1289,$C$2:$C$2001,C1289,$D$2:$D$2001,D1289)&gt;1,"DUPLIKAT","OK"))))</f>
        <v/>
      </c>
    </row>
    <row r="1290">
      <c r="A1290" s="4" t="n"/>
      <c r="B1290" s="5" t="n"/>
      <c r="C1290" s="5" t="n"/>
      <c r="D1290" s="5" t="n"/>
      <c r="E1290" s="6">
        <f>IF(A1290="","","B"&amp;TEXT(COUNT($A$2:A1290),"00000"))</f>
        <v/>
      </c>
      <c r="F1290" s="6">
        <f>IF(OR(C1290="",D1290=""),"",IFERROR(LOOKUP(2,1/(($C$1:C1289=C1290)*($D$1:D1289=D1290)*ISNUMBER($J$1:J1289)),$J$1:J1289),SUMIFS(Master!$G$2:$G$13,Master!$E$2:$E$13,C1290,Master!$F$2:$F$13,D1290)))</f>
        <v/>
      </c>
      <c r="G1290" s="5" t="n"/>
      <c r="H1290" s="5" t="n"/>
      <c r="I1290" s="5" t="n"/>
      <c r="J1290" s="6">
        <f>IF(OR(F1290="",COUNT(G1290:I1290)&lt;3),"",F1290+G1290-H1290-I1290)</f>
        <v/>
      </c>
      <c r="K1290" s="6">
        <f>IF(COUNTA(A1290:D1290,G1290:I1290)=0,"",IF(COUNTA(A1290:D1290,G1290:I1290)&lt;7,"LENGKAPI",IF(H1290+I1290&gt;N(F1290)+G1290,"ABNORMAL",IF(COUNTIFS($A$2:$A$2001,A1290,$B$2:$B$2001,B1290,$C$2:$C$2001,C1290,$D$2:$D$2001,D1290)&gt;1,"DUPLIKAT","OK"))))</f>
        <v/>
      </c>
    </row>
    <row r="1291">
      <c r="A1291" s="4" t="n"/>
      <c r="B1291" s="5" t="n"/>
      <c r="C1291" s="5" t="n"/>
      <c r="D1291" s="5" t="n"/>
      <c r="E1291" s="6">
        <f>IF(A1291="","","B"&amp;TEXT(COUNT($A$2:A1291),"00000"))</f>
        <v/>
      </c>
      <c r="F1291" s="6">
        <f>IF(OR(C1291="",D1291=""),"",IFERROR(LOOKUP(2,1/(($C$1:C1290=C1291)*($D$1:D1290=D1291)*ISNUMBER($J$1:J1290)),$J$1:J1290),SUMIFS(Master!$G$2:$G$13,Master!$E$2:$E$13,C1291,Master!$F$2:$F$13,D1291)))</f>
        <v/>
      </c>
      <c r="G1291" s="5" t="n"/>
      <c r="H1291" s="5" t="n"/>
      <c r="I1291" s="5" t="n"/>
      <c r="J1291" s="6">
        <f>IF(OR(F1291="",COUNT(G1291:I1291)&lt;3),"",F1291+G1291-H1291-I1291)</f>
        <v/>
      </c>
      <c r="K1291" s="6">
        <f>IF(COUNTA(A1291:D1291,G1291:I1291)=0,"",IF(COUNTA(A1291:D1291,G1291:I1291)&lt;7,"LENGKAPI",IF(H1291+I1291&gt;N(F1291)+G1291,"ABNORMAL",IF(COUNTIFS($A$2:$A$2001,A1291,$B$2:$B$2001,B1291,$C$2:$C$2001,C1291,$D$2:$D$2001,D1291)&gt;1,"DUPLIKAT","OK"))))</f>
        <v/>
      </c>
    </row>
    <row r="1292">
      <c r="A1292" s="4" t="n"/>
      <c r="B1292" s="5" t="n"/>
      <c r="C1292" s="5" t="n"/>
      <c r="D1292" s="5" t="n"/>
      <c r="E1292" s="6">
        <f>IF(A1292="","","B"&amp;TEXT(COUNT($A$2:A1292),"00000"))</f>
        <v/>
      </c>
      <c r="F1292" s="6">
        <f>IF(OR(C1292="",D1292=""),"",IFERROR(LOOKUP(2,1/(($C$1:C1291=C1292)*($D$1:D1291=D1292)*ISNUMBER($J$1:J1291)),$J$1:J1291),SUMIFS(Master!$G$2:$G$13,Master!$E$2:$E$13,C1292,Master!$F$2:$F$13,D1292)))</f>
        <v/>
      </c>
      <c r="G1292" s="5" t="n"/>
      <c r="H1292" s="5" t="n"/>
      <c r="I1292" s="5" t="n"/>
      <c r="J1292" s="6">
        <f>IF(OR(F1292="",COUNT(G1292:I1292)&lt;3),"",F1292+G1292-H1292-I1292)</f>
        <v/>
      </c>
      <c r="K1292" s="6">
        <f>IF(COUNTA(A1292:D1292,G1292:I1292)=0,"",IF(COUNTA(A1292:D1292,G1292:I1292)&lt;7,"LENGKAPI",IF(H1292+I1292&gt;N(F1292)+G1292,"ABNORMAL",IF(COUNTIFS($A$2:$A$2001,A1292,$B$2:$B$2001,B1292,$C$2:$C$2001,C1292,$D$2:$D$2001,D1292)&gt;1,"DUPLIKAT","OK"))))</f>
        <v/>
      </c>
    </row>
    <row r="1293">
      <c r="A1293" s="4" t="n"/>
      <c r="B1293" s="5" t="n"/>
      <c r="C1293" s="5" t="n"/>
      <c r="D1293" s="5" t="n"/>
      <c r="E1293" s="6">
        <f>IF(A1293="","","B"&amp;TEXT(COUNT($A$2:A1293),"00000"))</f>
        <v/>
      </c>
      <c r="F1293" s="6">
        <f>IF(OR(C1293="",D1293=""),"",IFERROR(LOOKUP(2,1/(($C$1:C1292=C1293)*($D$1:D1292=D1293)*ISNUMBER($J$1:J1292)),$J$1:J1292),SUMIFS(Master!$G$2:$G$13,Master!$E$2:$E$13,C1293,Master!$F$2:$F$13,D1293)))</f>
        <v/>
      </c>
      <c r="G1293" s="5" t="n"/>
      <c r="H1293" s="5" t="n"/>
      <c r="I1293" s="5" t="n"/>
      <c r="J1293" s="6">
        <f>IF(OR(F1293="",COUNT(G1293:I1293)&lt;3),"",F1293+G1293-H1293-I1293)</f>
        <v/>
      </c>
      <c r="K1293" s="6">
        <f>IF(COUNTA(A1293:D1293,G1293:I1293)=0,"",IF(COUNTA(A1293:D1293,G1293:I1293)&lt;7,"LENGKAPI",IF(H1293+I1293&gt;N(F1293)+G1293,"ABNORMAL",IF(COUNTIFS($A$2:$A$2001,A1293,$B$2:$B$2001,B1293,$C$2:$C$2001,C1293,$D$2:$D$2001,D1293)&gt;1,"DUPLIKAT","OK"))))</f>
        <v/>
      </c>
    </row>
    <row r="1294">
      <c r="A1294" s="4" t="n"/>
      <c r="B1294" s="5" t="n"/>
      <c r="C1294" s="5" t="n"/>
      <c r="D1294" s="5" t="n"/>
      <c r="E1294" s="6">
        <f>IF(A1294="","","B"&amp;TEXT(COUNT($A$2:A1294),"00000"))</f>
        <v/>
      </c>
      <c r="F1294" s="6">
        <f>IF(OR(C1294="",D1294=""),"",IFERROR(LOOKUP(2,1/(($C$1:C1293=C1294)*($D$1:D1293=D1294)*ISNUMBER($J$1:J1293)),$J$1:J1293),SUMIFS(Master!$G$2:$G$13,Master!$E$2:$E$13,C1294,Master!$F$2:$F$13,D1294)))</f>
        <v/>
      </c>
      <c r="G1294" s="5" t="n"/>
      <c r="H1294" s="5" t="n"/>
      <c r="I1294" s="5" t="n"/>
      <c r="J1294" s="6">
        <f>IF(OR(F1294="",COUNT(G1294:I1294)&lt;3),"",F1294+G1294-H1294-I1294)</f>
        <v/>
      </c>
      <c r="K1294" s="6">
        <f>IF(COUNTA(A1294:D1294,G1294:I1294)=0,"",IF(COUNTA(A1294:D1294,G1294:I1294)&lt;7,"LENGKAPI",IF(H1294+I1294&gt;N(F1294)+G1294,"ABNORMAL",IF(COUNTIFS($A$2:$A$2001,A1294,$B$2:$B$2001,B1294,$C$2:$C$2001,C1294,$D$2:$D$2001,D1294)&gt;1,"DUPLIKAT","OK"))))</f>
        <v/>
      </c>
    </row>
    <row r="1295">
      <c r="A1295" s="4" t="n"/>
      <c r="B1295" s="5" t="n"/>
      <c r="C1295" s="5" t="n"/>
      <c r="D1295" s="5" t="n"/>
      <c r="E1295" s="6">
        <f>IF(A1295="","","B"&amp;TEXT(COUNT($A$2:A1295),"00000"))</f>
        <v/>
      </c>
      <c r="F1295" s="6">
        <f>IF(OR(C1295="",D1295=""),"",IFERROR(LOOKUP(2,1/(($C$1:C1294=C1295)*($D$1:D1294=D1295)*ISNUMBER($J$1:J1294)),$J$1:J1294),SUMIFS(Master!$G$2:$G$13,Master!$E$2:$E$13,C1295,Master!$F$2:$F$13,D1295)))</f>
        <v/>
      </c>
      <c r="G1295" s="5" t="n"/>
      <c r="H1295" s="5" t="n"/>
      <c r="I1295" s="5" t="n"/>
      <c r="J1295" s="6">
        <f>IF(OR(F1295="",COUNT(G1295:I1295)&lt;3),"",F1295+G1295-H1295-I1295)</f>
        <v/>
      </c>
      <c r="K1295" s="6">
        <f>IF(COUNTA(A1295:D1295,G1295:I1295)=0,"",IF(COUNTA(A1295:D1295,G1295:I1295)&lt;7,"LENGKAPI",IF(H1295+I1295&gt;N(F1295)+G1295,"ABNORMAL",IF(COUNTIFS($A$2:$A$2001,A1295,$B$2:$B$2001,B1295,$C$2:$C$2001,C1295,$D$2:$D$2001,D1295)&gt;1,"DUPLIKAT","OK"))))</f>
        <v/>
      </c>
    </row>
    <row r="1296">
      <c r="A1296" s="4" t="n"/>
      <c r="B1296" s="5" t="n"/>
      <c r="C1296" s="5" t="n"/>
      <c r="D1296" s="5" t="n"/>
      <c r="E1296" s="6">
        <f>IF(A1296="","","B"&amp;TEXT(COUNT($A$2:A1296),"00000"))</f>
        <v/>
      </c>
      <c r="F1296" s="6">
        <f>IF(OR(C1296="",D1296=""),"",IFERROR(LOOKUP(2,1/(($C$1:C1295=C1296)*($D$1:D1295=D1296)*ISNUMBER($J$1:J1295)),$J$1:J1295),SUMIFS(Master!$G$2:$G$13,Master!$E$2:$E$13,C1296,Master!$F$2:$F$13,D1296)))</f>
        <v/>
      </c>
      <c r="G1296" s="5" t="n"/>
      <c r="H1296" s="5" t="n"/>
      <c r="I1296" s="5" t="n"/>
      <c r="J1296" s="6">
        <f>IF(OR(F1296="",COUNT(G1296:I1296)&lt;3),"",F1296+G1296-H1296-I1296)</f>
        <v/>
      </c>
      <c r="K1296" s="6">
        <f>IF(COUNTA(A1296:D1296,G1296:I1296)=0,"",IF(COUNTA(A1296:D1296,G1296:I1296)&lt;7,"LENGKAPI",IF(H1296+I1296&gt;N(F1296)+G1296,"ABNORMAL",IF(COUNTIFS($A$2:$A$2001,A1296,$B$2:$B$2001,B1296,$C$2:$C$2001,C1296,$D$2:$D$2001,D1296)&gt;1,"DUPLIKAT","OK"))))</f>
        <v/>
      </c>
    </row>
    <row r="1297">
      <c r="A1297" s="4" t="n"/>
      <c r="B1297" s="5" t="n"/>
      <c r="C1297" s="5" t="n"/>
      <c r="D1297" s="5" t="n"/>
      <c r="E1297" s="6">
        <f>IF(A1297="","","B"&amp;TEXT(COUNT($A$2:A1297),"00000"))</f>
        <v/>
      </c>
      <c r="F1297" s="6">
        <f>IF(OR(C1297="",D1297=""),"",IFERROR(LOOKUP(2,1/(($C$1:C1296=C1297)*($D$1:D1296=D1297)*ISNUMBER($J$1:J1296)),$J$1:J1296),SUMIFS(Master!$G$2:$G$13,Master!$E$2:$E$13,C1297,Master!$F$2:$F$13,D1297)))</f>
        <v/>
      </c>
      <c r="G1297" s="5" t="n"/>
      <c r="H1297" s="5" t="n"/>
      <c r="I1297" s="5" t="n"/>
      <c r="J1297" s="6">
        <f>IF(OR(F1297="",COUNT(G1297:I1297)&lt;3),"",F1297+G1297-H1297-I1297)</f>
        <v/>
      </c>
      <c r="K1297" s="6">
        <f>IF(COUNTA(A1297:D1297,G1297:I1297)=0,"",IF(COUNTA(A1297:D1297,G1297:I1297)&lt;7,"LENGKAPI",IF(H1297+I1297&gt;N(F1297)+G1297,"ABNORMAL",IF(COUNTIFS($A$2:$A$2001,A1297,$B$2:$B$2001,B1297,$C$2:$C$2001,C1297,$D$2:$D$2001,D1297)&gt;1,"DUPLIKAT","OK"))))</f>
        <v/>
      </c>
    </row>
    <row r="1298">
      <c r="A1298" s="4" t="n"/>
      <c r="B1298" s="5" t="n"/>
      <c r="C1298" s="5" t="n"/>
      <c r="D1298" s="5" t="n"/>
      <c r="E1298" s="6">
        <f>IF(A1298="","","B"&amp;TEXT(COUNT($A$2:A1298),"00000"))</f>
        <v/>
      </c>
      <c r="F1298" s="6">
        <f>IF(OR(C1298="",D1298=""),"",IFERROR(LOOKUP(2,1/(($C$1:C1297=C1298)*($D$1:D1297=D1298)*ISNUMBER($J$1:J1297)),$J$1:J1297),SUMIFS(Master!$G$2:$G$13,Master!$E$2:$E$13,C1298,Master!$F$2:$F$13,D1298)))</f>
        <v/>
      </c>
      <c r="G1298" s="5" t="n"/>
      <c r="H1298" s="5" t="n"/>
      <c r="I1298" s="5" t="n"/>
      <c r="J1298" s="6">
        <f>IF(OR(F1298="",COUNT(G1298:I1298)&lt;3),"",F1298+G1298-H1298-I1298)</f>
        <v/>
      </c>
      <c r="K1298" s="6">
        <f>IF(COUNTA(A1298:D1298,G1298:I1298)=0,"",IF(COUNTA(A1298:D1298,G1298:I1298)&lt;7,"LENGKAPI",IF(H1298+I1298&gt;N(F1298)+G1298,"ABNORMAL",IF(COUNTIFS($A$2:$A$2001,A1298,$B$2:$B$2001,B1298,$C$2:$C$2001,C1298,$D$2:$D$2001,D1298)&gt;1,"DUPLIKAT","OK"))))</f>
        <v/>
      </c>
    </row>
    <row r="1299">
      <c r="A1299" s="4" t="n"/>
      <c r="B1299" s="5" t="n"/>
      <c r="C1299" s="5" t="n"/>
      <c r="D1299" s="5" t="n"/>
      <c r="E1299" s="6">
        <f>IF(A1299="","","B"&amp;TEXT(COUNT($A$2:A1299),"00000"))</f>
        <v/>
      </c>
      <c r="F1299" s="6">
        <f>IF(OR(C1299="",D1299=""),"",IFERROR(LOOKUP(2,1/(($C$1:C1298=C1299)*($D$1:D1298=D1299)*ISNUMBER($J$1:J1298)),$J$1:J1298),SUMIFS(Master!$G$2:$G$13,Master!$E$2:$E$13,C1299,Master!$F$2:$F$13,D1299)))</f>
        <v/>
      </c>
      <c r="G1299" s="5" t="n"/>
      <c r="H1299" s="5" t="n"/>
      <c r="I1299" s="5" t="n"/>
      <c r="J1299" s="6">
        <f>IF(OR(F1299="",COUNT(G1299:I1299)&lt;3),"",F1299+G1299-H1299-I1299)</f>
        <v/>
      </c>
      <c r="K1299" s="6">
        <f>IF(COUNTA(A1299:D1299,G1299:I1299)=0,"",IF(COUNTA(A1299:D1299,G1299:I1299)&lt;7,"LENGKAPI",IF(H1299+I1299&gt;N(F1299)+G1299,"ABNORMAL",IF(COUNTIFS($A$2:$A$2001,A1299,$B$2:$B$2001,B1299,$C$2:$C$2001,C1299,$D$2:$D$2001,D1299)&gt;1,"DUPLIKAT","OK"))))</f>
        <v/>
      </c>
    </row>
    <row r="1300">
      <c r="A1300" s="4" t="n"/>
      <c r="B1300" s="5" t="n"/>
      <c r="C1300" s="5" t="n"/>
      <c r="D1300" s="5" t="n"/>
      <c r="E1300" s="6">
        <f>IF(A1300="","","B"&amp;TEXT(COUNT($A$2:A1300),"00000"))</f>
        <v/>
      </c>
      <c r="F1300" s="6">
        <f>IF(OR(C1300="",D1300=""),"",IFERROR(LOOKUP(2,1/(($C$1:C1299=C1300)*($D$1:D1299=D1300)*ISNUMBER($J$1:J1299)),$J$1:J1299),SUMIFS(Master!$G$2:$G$13,Master!$E$2:$E$13,C1300,Master!$F$2:$F$13,D1300)))</f>
        <v/>
      </c>
      <c r="G1300" s="5" t="n"/>
      <c r="H1300" s="5" t="n"/>
      <c r="I1300" s="5" t="n"/>
      <c r="J1300" s="6">
        <f>IF(OR(F1300="",COUNT(G1300:I1300)&lt;3),"",F1300+G1300-H1300-I1300)</f>
        <v/>
      </c>
      <c r="K1300" s="6">
        <f>IF(COUNTA(A1300:D1300,G1300:I1300)=0,"",IF(COUNTA(A1300:D1300,G1300:I1300)&lt;7,"LENGKAPI",IF(H1300+I1300&gt;N(F1300)+G1300,"ABNORMAL",IF(COUNTIFS($A$2:$A$2001,A1300,$B$2:$B$2001,B1300,$C$2:$C$2001,C1300,$D$2:$D$2001,D1300)&gt;1,"DUPLIKAT","OK"))))</f>
        <v/>
      </c>
    </row>
    <row r="1301">
      <c r="A1301" s="4" t="n"/>
      <c r="B1301" s="5" t="n"/>
      <c r="C1301" s="5" t="n"/>
      <c r="D1301" s="5" t="n"/>
      <c r="E1301" s="6">
        <f>IF(A1301="","","B"&amp;TEXT(COUNT($A$2:A1301),"00000"))</f>
        <v/>
      </c>
      <c r="F1301" s="6">
        <f>IF(OR(C1301="",D1301=""),"",IFERROR(LOOKUP(2,1/(($C$1:C1300=C1301)*($D$1:D1300=D1301)*ISNUMBER($J$1:J1300)),$J$1:J1300),SUMIFS(Master!$G$2:$G$13,Master!$E$2:$E$13,C1301,Master!$F$2:$F$13,D1301)))</f>
        <v/>
      </c>
      <c r="G1301" s="5" t="n"/>
      <c r="H1301" s="5" t="n"/>
      <c r="I1301" s="5" t="n"/>
      <c r="J1301" s="6">
        <f>IF(OR(F1301="",COUNT(G1301:I1301)&lt;3),"",F1301+G1301-H1301-I1301)</f>
        <v/>
      </c>
      <c r="K1301" s="6">
        <f>IF(COUNTA(A1301:D1301,G1301:I1301)=0,"",IF(COUNTA(A1301:D1301,G1301:I1301)&lt;7,"LENGKAPI",IF(H1301+I1301&gt;N(F1301)+G1301,"ABNORMAL",IF(COUNTIFS($A$2:$A$2001,A1301,$B$2:$B$2001,B1301,$C$2:$C$2001,C1301,$D$2:$D$2001,D1301)&gt;1,"DUPLIKAT","OK"))))</f>
        <v/>
      </c>
    </row>
    <row r="1302">
      <c r="A1302" s="4" t="n"/>
      <c r="B1302" s="5" t="n"/>
      <c r="C1302" s="5" t="n"/>
      <c r="D1302" s="5" t="n"/>
      <c r="E1302" s="6">
        <f>IF(A1302="","","B"&amp;TEXT(COUNT($A$2:A1302),"00000"))</f>
        <v/>
      </c>
      <c r="F1302" s="6">
        <f>IF(OR(C1302="",D1302=""),"",IFERROR(LOOKUP(2,1/(($C$1:C1301=C1302)*($D$1:D1301=D1302)*ISNUMBER($J$1:J1301)),$J$1:J1301),SUMIFS(Master!$G$2:$G$13,Master!$E$2:$E$13,C1302,Master!$F$2:$F$13,D1302)))</f>
        <v/>
      </c>
      <c r="G1302" s="5" t="n"/>
      <c r="H1302" s="5" t="n"/>
      <c r="I1302" s="5" t="n"/>
      <c r="J1302" s="6">
        <f>IF(OR(F1302="",COUNT(G1302:I1302)&lt;3),"",F1302+G1302-H1302-I1302)</f>
        <v/>
      </c>
      <c r="K1302" s="6">
        <f>IF(COUNTA(A1302:D1302,G1302:I1302)=0,"",IF(COUNTA(A1302:D1302,G1302:I1302)&lt;7,"LENGKAPI",IF(H1302+I1302&gt;N(F1302)+G1302,"ABNORMAL",IF(COUNTIFS($A$2:$A$2001,A1302,$B$2:$B$2001,B1302,$C$2:$C$2001,C1302,$D$2:$D$2001,D1302)&gt;1,"DUPLIKAT","OK"))))</f>
        <v/>
      </c>
    </row>
    <row r="1303">
      <c r="A1303" s="4" t="n"/>
      <c r="B1303" s="5" t="n"/>
      <c r="C1303" s="5" t="n"/>
      <c r="D1303" s="5" t="n"/>
      <c r="E1303" s="6">
        <f>IF(A1303="","","B"&amp;TEXT(COUNT($A$2:A1303),"00000"))</f>
        <v/>
      </c>
      <c r="F1303" s="6">
        <f>IF(OR(C1303="",D1303=""),"",IFERROR(LOOKUP(2,1/(($C$1:C1302=C1303)*($D$1:D1302=D1303)*ISNUMBER($J$1:J1302)),$J$1:J1302),SUMIFS(Master!$G$2:$G$13,Master!$E$2:$E$13,C1303,Master!$F$2:$F$13,D1303)))</f>
        <v/>
      </c>
      <c r="G1303" s="5" t="n"/>
      <c r="H1303" s="5" t="n"/>
      <c r="I1303" s="5" t="n"/>
      <c r="J1303" s="6">
        <f>IF(OR(F1303="",COUNT(G1303:I1303)&lt;3),"",F1303+G1303-H1303-I1303)</f>
        <v/>
      </c>
      <c r="K1303" s="6">
        <f>IF(COUNTA(A1303:D1303,G1303:I1303)=0,"",IF(COUNTA(A1303:D1303,G1303:I1303)&lt;7,"LENGKAPI",IF(H1303+I1303&gt;N(F1303)+G1303,"ABNORMAL",IF(COUNTIFS($A$2:$A$2001,A1303,$B$2:$B$2001,B1303,$C$2:$C$2001,C1303,$D$2:$D$2001,D1303)&gt;1,"DUPLIKAT","OK"))))</f>
        <v/>
      </c>
    </row>
    <row r="1304">
      <c r="A1304" s="4" t="n"/>
      <c r="B1304" s="5" t="n"/>
      <c r="C1304" s="5" t="n"/>
      <c r="D1304" s="5" t="n"/>
      <c r="E1304" s="6">
        <f>IF(A1304="","","B"&amp;TEXT(COUNT($A$2:A1304),"00000"))</f>
        <v/>
      </c>
      <c r="F1304" s="6">
        <f>IF(OR(C1304="",D1304=""),"",IFERROR(LOOKUP(2,1/(($C$1:C1303=C1304)*($D$1:D1303=D1304)*ISNUMBER($J$1:J1303)),$J$1:J1303),SUMIFS(Master!$G$2:$G$13,Master!$E$2:$E$13,C1304,Master!$F$2:$F$13,D1304)))</f>
        <v/>
      </c>
      <c r="G1304" s="5" t="n"/>
      <c r="H1304" s="5" t="n"/>
      <c r="I1304" s="5" t="n"/>
      <c r="J1304" s="6">
        <f>IF(OR(F1304="",COUNT(G1304:I1304)&lt;3),"",F1304+G1304-H1304-I1304)</f>
        <v/>
      </c>
      <c r="K1304" s="6">
        <f>IF(COUNTA(A1304:D1304,G1304:I1304)=0,"",IF(COUNTA(A1304:D1304,G1304:I1304)&lt;7,"LENGKAPI",IF(H1304+I1304&gt;N(F1304)+G1304,"ABNORMAL",IF(COUNTIFS($A$2:$A$2001,A1304,$B$2:$B$2001,B1304,$C$2:$C$2001,C1304,$D$2:$D$2001,D1304)&gt;1,"DUPLIKAT","OK"))))</f>
        <v/>
      </c>
    </row>
    <row r="1305">
      <c r="A1305" s="4" t="n"/>
      <c r="B1305" s="5" t="n"/>
      <c r="C1305" s="5" t="n"/>
      <c r="D1305" s="5" t="n"/>
      <c r="E1305" s="6">
        <f>IF(A1305="","","B"&amp;TEXT(COUNT($A$2:A1305),"00000"))</f>
        <v/>
      </c>
      <c r="F1305" s="6">
        <f>IF(OR(C1305="",D1305=""),"",IFERROR(LOOKUP(2,1/(($C$1:C1304=C1305)*($D$1:D1304=D1305)*ISNUMBER($J$1:J1304)),$J$1:J1304),SUMIFS(Master!$G$2:$G$13,Master!$E$2:$E$13,C1305,Master!$F$2:$F$13,D1305)))</f>
        <v/>
      </c>
      <c r="G1305" s="5" t="n"/>
      <c r="H1305" s="5" t="n"/>
      <c r="I1305" s="5" t="n"/>
      <c r="J1305" s="6">
        <f>IF(OR(F1305="",COUNT(G1305:I1305)&lt;3),"",F1305+G1305-H1305-I1305)</f>
        <v/>
      </c>
      <c r="K1305" s="6">
        <f>IF(COUNTA(A1305:D1305,G1305:I1305)=0,"",IF(COUNTA(A1305:D1305,G1305:I1305)&lt;7,"LENGKAPI",IF(H1305+I1305&gt;N(F1305)+G1305,"ABNORMAL",IF(COUNTIFS($A$2:$A$2001,A1305,$B$2:$B$2001,B1305,$C$2:$C$2001,C1305,$D$2:$D$2001,D1305)&gt;1,"DUPLIKAT","OK"))))</f>
        <v/>
      </c>
    </row>
    <row r="1306">
      <c r="A1306" s="4" t="n"/>
      <c r="B1306" s="5" t="n"/>
      <c r="C1306" s="5" t="n"/>
      <c r="D1306" s="5" t="n"/>
      <c r="E1306" s="6">
        <f>IF(A1306="","","B"&amp;TEXT(COUNT($A$2:A1306),"00000"))</f>
        <v/>
      </c>
      <c r="F1306" s="6">
        <f>IF(OR(C1306="",D1306=""),"",IFERROR(LOOKUP(2,1/(($C$1:C1305=C1306)*($D$1:D1305=D1306)*ISNUMBER($J$1:J1305)),$J$1:J1305),SUMIFS(Master!$G$2:$G$13,Master!$E$2:$E$13,C1306,Master!$F$2:$F$13,D1306)))</f>
        <v/>
      </c>
      <c r="G1306" s="5" t="n"/>
      <c r="H1306" s="5" t="n"/>
      <c r="I1306" s="5" t="n"/>
      <c r="J1306" s="6">
        <f>IF(OR(F1306="",COUNT(G1306:I1306)&lt;3),"",F1306+G1306-H1306-I1306)</f>
        <v/>
      </c>
      <c r="K1306" s="6">
        <f>IF(COUNTA(A1306:D1306,G1306:I1306)=0,"",IF(COUNTA(A1306:D1306,G1306:I1306)&lt;7,"LENGKAPI",IF(H1306+I1306&gt;N(F1306)+G1306,"ABNORMAL",IF(COUNTIFS($A$2:$A$2001,A1306,$B$2:$B$2001,B1306,$C$2:$C$2001,C1306,$D$2:$D$2001,D1306)&gt;1,"DUPLIKAT","OK"))))</f>
        <v/>
      </c>
    </row>
    <row r="1307">
      <c r="A1307" s="4" t="n"/>
      <c r="B1307" s="5" t="n"/>
      <c r="C1307" s="5" t="n"/>
      <c r="D1307" s="5" t="n"/>
      <c r="E1307" s="6">
        <f>IF(A1307="","","B"&amp;TEXT(COUNT($A$2:A1307),"00000"))</f>
        <v/>
      </c>
      <c r="F1307" s="6">
        <f>IF(OR(C1307="",D1307=""),"",IFERROR(LOOKUP(2,1/(($C$1:C1306=C1307)*($D$1:D1306=D1307)*ISNUMBER($J$1:J1306)),$J$1:J1306),SUMIFS(Master!$G$2:$G$13,Master!$E$2:$E$13,C1307,Master!$F$2:$F$13,D1307)))</f>
        <v/>
      </c>
      <c r="G1307" s="5" t="n"/>
      <c r="H1307" s="5" t="n"/>
      <c r="I1307" s="5" t="n"/>
      <c r="J1307" s="6">
        <f>IF(OR(F1307="",COUNT(G1307:I1307)&lt;3),"",F1307+G1307-H1307-I1307)</f>
        <v/>
      </c>
      <c r="K1307" s="6">
        <f>IF(COUNTA(A1307:D1307,G1307:I1307)=0,"",IF(COUNTA(A1307:D1307,G1307:I1307)&lt;7,"LENGKAPI",IF(H1307+I1307&gt;N(F1307)+G1307,"ABNORMAL",IF(COUNTIFS($A$2:$A$2001,A1307,$B$2:$B$2001,B1307,$C$2:$C$2001,C1307,$D$2:$D$2001,D1307)&gt;1,"DUPLIKAT","OK"))))</f>
        <v/>
      </c>
    </row>
    <row r="1308">
      <c r="A1308" s="4" t="n"/>
      <c r="B1308" s="5" t="n"/>
      <c r="C1308" s="5" t="n"/>
      <c r="D1308" s="5" t="n"/>
      <c r="E1308" s="6">
        <f>IF(A1308="","","B"&amp;TEXT(COUNT($A$2:A1308),"00000"))</f>
        <v/>
      </c>
      <c r="F1308" s="6">
        <f>IF(OR(C1308="",D1308=""),"",IFERROR(LOOKUP(2,1/(($C$1:C1307=C1308)*($D$1:D1307=D1308)*ISNUMBER($J$1:J1307)),$J$1:J1307),SUMIFS(Master!$G$2:$G$13,Master!$E$2:$E$13,C1308,Master!$F$2:$F$13,D1308)))</f>
        <v/>
      </c>
      <c r="G1308" s="5" t="n"/>
      <c r="H1308" s="5" t="n"/>
      <c r="I1308" s="5" t="n"/>
      <c r="J1308" s="6">
        <f>IF(OR(F1308="",COUNT(G1308:I1308)&lt;3),"",F1308+G1308-H1308-I1308)</f>
        <v/>
      </c>
      <c r="K1308" s="6">
        <f>IF(COUNTA(A1308:D1308,G1308:I1308)=0,"",IF(COUNTA(A1308:D1308,G1308:I1308)&lt;7,"LENGKAPI",IF(H1308+I1308&gt;N(F1308)+G1308,"ABNORMAL",IF(COUNTIFS($A$2:$A$2001,A1308,$B$2:$B$2001,B1308,$C$2:$C$2001,C1308,$D$2:$D$2001,D1308)&gt;1,"DUPLIKAT","OK"))))</f>
        <v/>
      </c>
    </row>
    <row r="1309">
      <c r="A1309" s="4" t="n"/>
      <c r="B1309" s="5" t="n"/>
      <c r="C1309" s="5" t="n"/>
      <c r="D1309" s="5" t="n"/>
      <c r="E1309" s="6">
        <f>IF(A1309="","","B"&amp;TEXT(COUNT($A$2:A1309),"00000"))</f>
        <v/>
      </c>
      <c r="F1309" s="6">
        <f>IF(OR(C1309="",D1309=""),"",IFERROR(LOOKUP(2,1/(($C$1:C1308=C1309)*($D$1:D1308=D1309)*ISNUMBER($J$1:J1308)),$J$1:J1308),SUMIFS(Master!$G$2:$G$13,Master!$E$2:$E$13,C1309,Master!$F$2:$F$13,D1309)))</f>
        <v/>
      </c>
      <c r="G1309" s="5" t="n"/>
      <c r="H1309" s="5" t="n"/>
      <c r="I1309" s="5" t="n"/>
      <c r="J1309" s="6">
        <f>IF(OR(F1309="",COUNT(G1309:I1309)&lt;3),"",F1309+G1309-H1309-I1309)</f>
        <v/>
      </c>
      <c r="K1309" s="6">
        <f>IF(COUNTA(A1309:D1309,G1309:I1309)=0,"",IF(COUNTA(A1309:D1309,G1309:I1309)&lt;7,"LENGKAPI",IF(H1309+I1309&gt;N(F1309)+G1309,"ABNORMAL",IF(COUNTIFS($A$2:$A$2001,A1309,$B$2:$B$2001,B1309,$C$2:$C$2001,C1309,$D$2:$D$2001,D1309)&gt;1,"DUPLIKAT","OK"))))</f>
        <v/>
      </c>
    </row>
    <row r="1310">
      <c r="A1310" s="4" t="n"/>
      <c r="B1310" s="5" t="n"/>
      <c r="C1310" s="5" t="n"/>
      <c r="D1310" s="5" t="n"/>
      <c r="E1310" s="6">
        <f>IF(A1310="","","B"&amp;TEXT(COUNT($A$2:A1310),"00000"))</f>
        <v/>
      </c>
      <c r="F1310" s="6">
        <f>IF(OR(C1310="",D1310=""),"",IFERROR(LOOKUP(2,1/(($C$1:C1309=C1310)*($D$1:D1309=D1310)*ISNUMBER($J$1:J1309)),$J$1:J1309),SUMIFS(Master!$G$2:$G$13,Master!$E$2:$E$13,C1310,Master!$F$2:$F$13,D1310)))</f>
        <v/>
      </c>
      <c r="G1310" s="5" t="n"/>
      <c r="H1310" s="5" t="n"/>
      <c r="I1310" s="5" t="n"/>
      <c r="J1310" s="6">
        <f>IF(OR(F1310="",COUNT(G1310:I1310)&lt;3),"",F1310+G1310-H1310-I1310)</f>
        <v/>
      </c>
      <c r="K1310" s="6">
        <f>IF(COUNTA(A1310:D1310,G1310:I1310)=0,"",IF(COUNTA(A1310:D1310,G1310:I1310)&lt;7,"LENGKAPI",IF(H1310+I1310&gt;N(F1310)+G1310,"ABNORMAL",IF(COUNTIFS($A$2:$A$2001,A1310,$B$2:$B$2001,B1310,$C$2:$C$2001,C1310,$D$2:$D$2001,D1310)&gt;1,"DUPLIKAT","OK"))))</f>
        <v/>
      </c>
    </row>
    <row r="1311">
      <c r="A1311" s="4" t="n"/>
      <c r="B1311" s="5" t="n"/>
      <c r="C1311" s="5" t="n"/>
      <c r="D1311" s="5" t="n"/>
      <c r="E1311" s="6">
        <f>IF(A1311="","","B"&amp;TEXT(COUNT($A$2:A1311),"00000"))</f>
        <v/>
      </c>
      <c r="F1311" s="6">
        <f>IF(OR(C1311="",D1311=""),"",IFERROR(LOOKUP(2,1/(($C$1:C1310=C1311)*($D$1:D1310=D1311)*ISNUMBER($J$1:J1310)),$J$1:J1310),SUMIFS(Master!$G$2:$G$13,Master!$E$2:$E$13,C1311,Master!$F$2:$F$13,D1311)))</f>
        <v/>
      </c>
      <c r="G1311" s="5" t="n"/>
      <c r="H1311" s="5" t="n"/>
      <c r="I1311" s="5" t="n"/>
      <c r="J1311" s="6">
        <f>IF(OR(F1311="",COUNT(G1311:I1311)&lt;3),"",F1311+G1311-H1311-I1311)</f>
        <v/>
      </c>
      <c r="K1311" s="6">
        <f>IF(COUNTA(A1311:D1311,G1311:I1311)=0,"",IF(COUNTA(A1311:D1311,G1311:I1311)&lt;7,"LENGKAPI",IF(H1311+I1311&gt;N(F1311)+G1311,"ABNORMAL",IF(COUNTIFS($A$2:$A$2001,A1311,$B$2:$B$2001,B1311,$C$2:$C$2001,C1311,$D$2:$D$2001,D1311)&gt;1,"DUPLIKAT","OK"))))</f>
        <v/>
      </c>
    </row>
    <row r="1312">
      <c r="A1312" s="4" t="n"/>
      <c r="B1312" s="5" t="n"/>
      <c r="C1312" s="5" t="n"/>
      <c r="D1312" s="5" t="n"/>
      <c r="E1312" s="6">
        <f>IF(A1312="","","B"&amp;TEXT(COUNT($A$2:A1312),"00000"))</f>
        <v/>
      </c>
      <c r="F1312" s="6">
        <f>IF(OR(C1312="",D1312=""),"",IFERROR(LOOKUP(2,1/(($C$1:C1311=C1312)*($D$1:D1311=D1312)*ISNUMBER($J$1:J1311)),$J$1:J1311),SUMIFS(Master!$G$2:$G$13,Master!$E$2:$E$13,C1312,Master!$F$2:$F$13,D1312)))</f>
        <v/>
      </c>
      <c r="G1312" s="5" t="n"/>
      <c r="H1312" s="5" t="n"/>
      <c r="I1312" s="5" t="n"/>
      <c r="J1312" s="6">
        <f>IF(OR(F1312="",COUNT(G1312:I1312)&lt;3),"",F1312+G1312-H1312-I1312)</f>
        <v/>
      </c>
      <c r="K1312" s="6">
        <f>IF(COUNTA(A1312:D1312,G1312:I1312)=0,"",IF(COUNTA(A1312:D1312,G1312:I1312)&lt;7,"LENGKAPI",IF(H1312+I1312&gt;N(F1312)+G1312,"ABNORMAL",IF(COUNTIFS($A$2:$A$2001,A1312,$B$2:$B$2001,B1312,$C$2:$C$2001,C1312,$D$2:$D$2001,D1312)&gt;1,"DUPLIKAT","OK"))))</f>
        <v/>
      </c>
    </row>
    <row r="1313">
      <c r="A1313" s="4" t="n"/>
      <c r="B1313" s="5" t="n"/>
      <c r="C1313" s="5" t="n"/>
      <c r="D1313" s="5" t="n"/>
      <c r="E1313" s="6">
        <f>IF(A1313="","","B"&amp;TEXT(COUNT($A$2:A1313),"00000"))</f>
        <v/>
      </c>
      <c r="F1313" s="6">
        <f>IF(OR(C1313="",D1313=""),"",IFERROR(LOOKUP(2,1/(($C$1:C1312=C1313)*($D$1:D1312=D1313)*ISNUMBER($J$1:J1312)),$J$1:J1312),SUMIFS(Master!$G$2:$G$13,Master!$E$2:$E$13,C1313,Master!$F$2:$F$13,D1313)))</f>
        <v/>
      </c>
      <c r="G1313" s="5" t="n"/>
      <c r="H1313" s="5" t="n"/>
      <c r="I1313" s="5" t="n"/>
      <c r="J1313" s="6">
        <f>IF(OR(F1313="",COUNT(G1313:I1313)&lt;3),"",F1313+G1313-H1313-I1313)</f>
        <v/>
      </c>
      <c r="K1313" s="6">
        <f>IF(COUNTA(A1313:D1313,G1313:I1313)=0,"",IF(COUNTA(A1313:D1313,G1313:I1313)&lt;7,"LENGKAPI",IF(H1313+I1313&gt;N(F1313)+G1313,"ABNORMAL",IF(COUNTIFS($A$2:$A$2001,A1313,$B$2:$B$2001,B1313,$C$2:$C$2001,C1313,$D$2:$D$2001,D1313)&gt;1,"DUPLIKAT","OK"))))</f>
        <v/>
      </c>
    </row>
    <row r="1314">
      <c r="A1314" s="4" t="n"/>
      <c r="B1314" s="5" t="n"/>
      <c r="C1314" s="5" t="n"/>
      <c r="D1314" s="5" t="n"/>
      <c r="E1314" s="6">
        <f>IF(A1314="","","B"&amp;TEXT(COUNT($A$2:A1314),"00000"))</f>
        <v/>
      </c>
      <c r="F1314" s="6">
        <f>IF(OR(C1314="",D1314=""),"",IFERROR(LOOKUP(2,1/(($C$1:C1313=C1314)*($D$1:D1313=D1314)*ISNUMBER($J$1:J1313)),$J$1:J1313),SUMIFS(Master!$G$2:$G$13,Master!$E$2:$E$13,C1314,Master!$F$2:$F$13,D1314)))</f>
        <v/>
      </c>
      <c r="G1314" s="5" t="n"/>
      <c r="H1314" s="5" t="n"/>
      <c r="I1314" s="5" t="n"/>
      <c r="J1314" s="6">
        <f>IF(OR(F1314="",COUNT(G1314:I1314)&lt;3),"",F1314+G1314-H1314-I1314)</f>
        <v/>
      </c>
      <c r="K1314" s="6">
        <f>IF(COUNTA(A1314:D1314,G1314:I1314)=0,"",IF(COUNTA(A1314:D1314,G1314:I1314)&lt;7,"LENGKAPI",IF(H1314+I1314&gt;N(F1314)+G1314,"ABNORMAL",IF(COUNTIFS($A$2:$A$2001,A1314,$B$2:$B$2001,B1314,$C$2:$C$2001,C1314,$D$2:$D$2001,D1314)&gt;1,"DUPLIKAT","OK"))))</f>
        <v/>
      </c>
    </row>
    <row r="1315">
      <c r="A1315" s="4" t="n"/>
      <c r="B1315" s="5" t="n"/>
      <c r="C1315" s="5" t="n"/>
      <c r="D1315" s="5" t="n"/>
      <c r="E1315" s="6">
        <f>IF(A1315="","","B"&amp;TEXT(COUNT($A$2:A1315),"00000"))</f>
        <v/>
      </c>
      <c r="F1315" s="6">
        <f>IF(OR(C1315="",D1315=""),"",IFERROR(LOOKUP(2,1/(($C$1:C1314=C1315)*($D$1:D1314=D1315)*ISNUMBER($J$1:J1314)),$J$1:J1314),SUMIFS(Master!$G$2:$G$13,Master!$E$2:$E$13,C1315,Master!$F$2:$F$13,D1315)))</f>
        <v/>
      </c>
      <c r="G1315" s="5" t="n"/>
      <c r="H1315" s="5" t="n"/>
      <c r="I1315" s="5" t="n"/>
      <c r="J1315" s="6">
        <f>IF(OR(F1315="",COUNT(G1315:I1315)&lt;3),"",F1315+G1315-H1315-I1315)</f>
        <v/>
      </c>
      <c r="K1315" s="6">
        <f>IF(COUNTA(A1315:D1315,G1315:I1315)=0,"",IF(COUNTA(A1315:D1315,G1315:I1315)&lt;7,"LENGKAPI",IF(H1315+I1315&gt;N(F1315)+G1315,"ABNORMAL",IF(COUNTIFS($A$2:$A$2001,A1315,$B$2:$B$2001,B1315,$C$2:$C$2001,C1315,$D$2:$D$2001,D1315)&gt;1,"DUPLIKAT","OK"))))</f>
        <v/>
      </c>
    </row>
    <row r="1316">
      <c r="A1316" s="4" t="n"/>
      <c r="B1316" s="5" t="n"/>
      <c r="C1316" s="5" t="n"/>
      <c r="D1316" s="5" t="n"/>
      <c r="E1316" s="6">
        <f>IF(A1316="","","B"&amp;TEXT(COUNT($A$2:A1316),"00000"))</f>
        <v/>
      </c>
      <c r="F1316" s="6">
        <f>IF(OR(C1316="",D1316=""),"",IFERROR(LOOKUP(2,1/(($C$1:C1315=C1316)*($D$1:D1315=D1316)*ISNUMBER($J$1:J1315)),$J$1:J1315),SUMIFS(Master!$G$2:$G$13,Master!$E$2:$E$13,C1316,Master!$F$2:$F$13,D1316)))</f>
        <v/>
      </c>
      <c r="G1316" s="5" t="n"/>
      <c r="H1316" s="5" t="n"/>
      <c r="I1316" s="5" t="n"/>
      <c r="J1316" s="6">
        <f>IF(OR(F1316="",COUNT(G1316:I1316)&lt;3),"",F1316+G1316-H1316-I1316)</f>
        <v/>
      </c>
      <c r="K1316" s="6">
        <f>IF(COUNTA(A1316:D1316,G1316:I1316)=0,"",IF(COUNTA(A1316:D1316,G1316:I1316)&lt;7,"LENGKAPI",IF(H1316+I1316&gt;N(F1316)+G1316,"ABNORMAL",IF(COUNTIFS($A$2:$A$2001,A1316,$B$2:$B$2001,B1316,$C$2:$C$2001,C1316,$D$2:$D$2001,D1316)&gt;1,"DUPLIKAT","OK"))))</f>
        <v/>
      </c>
    </row>
    <row r="1317">
      <c r="A1317" s="4" t="n"/>
      <c r="B1317" s="5" t="n"/>
      <c r="C1317" s="5" t="n"/>
      <c r="D1317" s="5" t="n"/>
      <c r="E1317" s="6">
        <f>IF(A1317="","","B"&amp;TEXT(COUNT($A$2:A1317),"00000"))</f>
        <v/>
      </c>
      <c r="F1317" s="6">
        <f>IF(OR(C1317="",D1317=""),"",IFERROR(LOOKUP(2,1/(($C$1:C1316=C1317)*($D$1:D1316=D1317)*ISNUMBER($J$1:J1316)),$J$1:J1316),SUMIFS(Master!$G$2:$G$13,Master!$E$2:$E$13,C1317,Master!$F$2:$F$13,D1317)))</f>
        <v/>
      </c>
      <c r="G1317" s="5" t="n"/>
      <c r="H1317" s="5" t="n"/>
      <c r="I1317" s="5" t="n"/>
      <c r="J1317" s="6">
        <f>IF(OR(F1317="",COUNT(G1317:I1317)&lt;3),"",F1317+G1317-H1317-I1317)</f>
        <v/>
      </c>
      <c r="K1317" s="6">
        <f>IF(COUNTA(A1317:D1317,G1317:I1317)=0,"",IF(COUNTA(A1317:D1317,G1317:I1317)&lt;7,"LENGKAPI",IF(H1317+I1317&gt;N(F1317)+G1317,"ABNORMAL",IF(COUNTIFS($A$2:$A$2001,A1317,$B$2:$B$2001,B1317,$C$2:$C$2001,C1317,$D$2:$D$2001,D1317)&gt;1,"DUPLIKAT","OK"))))</f>
        <v/>
      </c>
    </row>
    <row r="1318">
      <c r="A1318" s="4" t="n"/>
      <c r="B1318" s="5" t="n"/>
      <c r="C1318" s="5" t="n"/>
      <c r="D1318" s="5" t="n"/>
      <c r="E1318" s="6">
        <f>IF(A1318="","","B"&amp;TEXT(COUNT($A$2:A1318),"00000"))</f>
        <v/>
      </c>
      <c r="F1318" s="6">
        <f>IF(OR(C1318="",D1318=""),"",IFERROR(LOOKUP(2,1/(($C$1:C1317=C1318)*($D$1:D1317=D1318)*ISNUMBER($J$1:J1317)),$J$1:J1317),SUMIFS(Master!$G$2:$G$13,Master!$E$2:$E$13,C1318,Master!$F$2:$F$13,D1318)))</f>
        <v/>
      </c>
      <c r="G1318" s="5" t="n"/>
      <c r="H1318" s="5" t="n"/>
      <c r="I1318" s="5" t="n"/>
      <c r="J1318" s="6">
        <f>IF(OR(F1318="",COUNT(G1318:I1318)&lt;3),"",F1318+G1318-H1318-I1318)</f>
        <v/>
      </c>
      <c r="K1318" s="6">
        <f>IF(COUNTA(A1318:D1318,G1318:I1318)=0,"",IF(COUNTA(A1318:D1318,G1318:I1318)&lt;7,"LENGKAPI",IF(H1318+I1318&gt;N(F1318)+G1318,"ABNORMAL",IF(COUNTIFS($A$2:$A$2001,A1318,$B$2:$B$2001,B1318,$C$2:$C$2001,C1318,$D$2:$D$2001,D1318)&gt;1,"DUPLIKAT","OK"))))</f>
        <v/>
      </c>
    </row>
    <row r="1319">
      <c r="A1319" s="4" t="n"/>
      <c r="B1319" s="5" t="n"/>
      <c r="C1319" s="5" t="n"/>
      <c r="D1319" s="5" t="n"/>
      <c r="E1319" s="6">
        <f>IF(A1319="","","B"&amp;TEXT(COUNT($A$2:A1319),"00000"))</f>
        <v/>
      </c>
      <c r="F1319" s="6">
        <f>IF(OR(C1319="",D1319=""),"",IFERROR(LOOKUP(2,1/(($C$1:C1318=C1319)*($D$1:D1318=D1319)*ISNUMBER($J$1:J1318)),$J$1:J1318),SUMIFS(Master!$G$2:$G$13,Master!$E$2:$E$13,C1319,Master!$F$2:$F$13,D1319)))</f>
        <v/>
      </c>
      <c r="G1319" s="5" t="n"/>
      <c r="H1319" s="5" t="n"/>
      <c r="I1319" s="5" t="n"/>
      <c r="J1319" s="6">
        <f>IF(OR(F1319="",COUNT(G1319:I1319)&lt;3),"",F1319+G1319-H1319-I1319)</f>
        <v/>
      </c>
      <c r="K1319" s="6">
        <f>IF(COUNTA(A1319:D1319,G1319:I1319)=0,"",IF(COUNTA(A1319:D1319,G1319:I1319)&lt;7,"LENGKAPI",IF(H1319+I1319&gt;N(F1319)+G1319,"ABNORMAL",IF(COUNTIFS($A$2:$A$2001,A1319,$B$2:$B$2001,B1319,$C$2:$C$2001,C1319,$D$2:$D$2001,D1319)&gt;1,"DUPLIKAT","OK"))))</f>
        <v/>
      </c>
    </row>
    <row r="1320">
      <c r="A1320" s="4" t="n"/>
      <c r="B1320" s="5" t="n"/>
      <c r="C1320" s="5" t="n"/>
      <c r="D1320" s="5" t="n"/>
      <c r="E1320" s="6">
        <f>IF(A1320="","","B"&amp;TEXT(COUNT($A$2:A1320),"00000"))</f>
        <v/>
      </c>
      <c r="F1320" s="6">
        <f>IF(OR(C1320="",D1320=""),"",IFERROR(LOOKUP(2,1/(($C$1:C1319=C1320)*($D$1:D1319=D1320)*ISNUMBER($J$1:J1319)),$J$1:J1319),SUMIFS(Master!$G$2:$G$13,Master!$E$2:$E$13,C1320,Master!$F$2:$F$13,D1320)))</f>
        <v/>
      </c>
      <c r="G1320" s="5" t="n"/>
      <c r="H1320" s="5" t="n"/>
      <c r="I1320" s="5" t="n"/>
      <c r="J1320" s="6">
        <f>IF(OR(F1320="",COUNT(G1320:I1320)&lt;3),"",F1320+G1320-H1320-I1320)</f>
        <v/>
      </c>
      <c r="K1320" s="6">
        <f>IF(COUNTA(A1320:D1320,G1320:I1320)=0,"",IF(COUNTA(A1320:D1320,G1320:I1320)&lt;7,"LENGKAPI",IF(H1320+I1320&gt;N(F1320)+G1320,"ABNORMAL",IF(COUNTIFS($A$2:$A$2001,A1320,$B$2:$B$2001,B1320,$C$2:$C$2001,C1320,$D$2:$D$2001,D1320)&gt;1,"DUPLIKAT","OK"))))</f>
        <v/>
      </c>
    </row>
    <row r="1321">
      <c r="A1321" s="4" t="n"/>
      <c r="B1321" s="5" t="n"/>
      <c r="C1321" s="5" t="n"/>
      <c r="D1321" s="5" t="n"/>
      <c r="E1321" s="6">
        <f>IF(A1321="","","B"&amp;TEXT(COUNT($A$2:A1321),"00000"))</f>
        <v/>
      </c>
      <c r="F1321" s="6">
        <f>IF(OR(C1321="",D1321=""),"",IFERROR(LOOKUP(2,1/(($C$1:C1320=C1321)*($D$1:D1320=D1321)*ISNUMBER($J$1:J1320)),$J$1:J1320),SUMIFS(Master!$G$2:$G$13,Master!$E$2:$E$13,C1321,Master!$F$2:$F$13,D1321)))</f>
        <v/>
      </c>
      <c r="G1321" s="5" t="n"/>
      <c r="H1321" s="5" t="n"/>
      <c r="I1321" s="5" t="n"/>
      <c r="J1321" s="6">
        <f>IF(OR(F1321="",COUNT(G1321:I1321)&lt;3),"",F1321+G1321-H1321-I1321)</f>
        <v/>
      </c>
      <c r="K1321" s="6">
        <f>IF(COUNTA(A1321:D1321,G1321:I1321)=0,"",IF(COUNTA(A1321:D1321,G1321:I1321)&lt;7,"LENGKAPI",IF(H1321+I1321&gt;N(F1321)+G1321,"ABNORMAL",IF(COUNTIFS($A$2:$A$2001,A1321,$B$2:$B$2001,B1321,$C$2:$C$2001,C1321,$D$2:$D$2001,D1321)&gt;1,"DUPLIKAT","OK"))))</f>
        <v/>
      </c>
    </row>
    <row r="1322">
      <c r="A1322" s="4" t="n"/>
      <c r="B1322" s="5" t="n"/>
      <c r="C1322" s="5" t="n"/>
      <c r="D1322" s="5" t="n"/>
      <c r="E1322" s="6">
        <f>IF(A1322="","","B"&amp;TEXT(COUNT($A$2:A1322),"00000"))</f>
        <v/>
      </c>
      <c r="F1322" s="6">
        <f>IF(OR(C1322="",D1322=""),"",IFERROR(LOOKUP(2,1/(($C$1:C1321=C1322)*($D$1:D1321=D1322)*ISNUMBER($J$1:J1321)),$J$1:J1321),SUMIFS(Master!$G$2:$G$13,Master!$E$2:$E$13,C1322,Master!$F$2:$F$13,D1322)))</f>
        <v/>
      </c>
      <c r="G1322" s="5" t="n"/>
      <c r="H1322" s="5" t="n"/>
      <c r="I1322" s="5" t="n"/>
      <c r="J1322" s="6">
        <f>IF(OR(F1322="",COUNT(G1322:I1322)&lt;3),"",F1322+G1322-H1322-I1322)</f>
        <v/>
      </c>
      <c r="K1322" s="6">
        <f>IF(COUNTA(A1322:D1322,G1322:I1322)=0,"",IF(COUNTA(A1322:D1322,G1322:I1322)&lt;7,"LENGKAPI",IF(H1322+I1322&gt;N(F1322)+G1322,"ABNORMAL",IF(COUNTIFS($A$2:$A$2001,A1322,$B$2:$B$2001,B1322,$C$2:$C$2001,C1322,$D$2:$D$2001,D1322)&gt;1,"DUPLIKAT","OK"))))</f>
        <v/>
      </c>
    </row>
    <row r="1323">
      <c r="A1323" s="4" t="n"/>
      <c r="B1323" s="5" t="n"/>
      <c r="C1323" s="5" t="n"/>
      <c r="D1323" s="5" t="n"/>
      <c r="E1323" s="6">
        <f>IF(A1323="","","B"&amp;TEXT(COUNT($A$2:A1323),"00000"))</f>
        <v/>
      </c>
      <c r="F1323" s="6">
        <f>IF(OR(C1323="",D1323=""),"",IFERROR(LOOKUP(2,1/(($C$1:C1322=C1323)*($D$1:D1322=D1323)*ISNUMBER($J$1:J1322)),$J$1:J1322),SUMIFS(Master!$G$2:$G$13,Master!$E$2:$E$13,C1323,Master!$F$2:$F$13,D1323)))</f>
        <v/>
      </c>
      <c r="G1323" s="5" t="n"/>
      <c r="H1323" s="5" t="n"/>
      <c r="I1323" s="5" t="n"/>
      <c r="J1323" s="6">
        <f>IF(OR(F1323="",COUNT(G1323:I1323)&lt;3),"",F1323+G1323-H1323-I1323)</f>
        <v/>
      </c>
      <c r="K1323" s="6">
        <f>IF(COUNTA(A1323:D1323,G1323:I1323)=0,"",IF(COUNTA(A1323:D1323,G1323:I1323)&lt;7,"LENGKAPI",IF(H1323+I1323&gt;N(F1323)+G1323,"ABNORMAL",IF(COUNTIFS($A$2:$A$2001,A1323,$B$2:$B$2001,B1323,$C$2:$C$2001,C1323,$D$2:$D$2001,D1323)&gt;1,"DUPLIKAT","OK"))))</f>
        <v/>
      </c>
    </row>
    <row r="1324">
      <c r="A1324" s="4" t="n"/>
      <c r="B1324" s="5" t="n"/>
      <c r="C1324" s="5" t="n"/>
      <c r="D1324" s="5" t="n"/>
      <c r="E1324" s="6">
        <f>IF(A1324="","","B"&amp;TEXT(COUNT($A$2:A1324),"00000"))</f>
        <v/>
      </c>
      <c r="F1324" s="6">
        <f>IF(OR(C1324="",D1324=""),"",IFERROR(LOOKUP(2,1/(($C$1:C1323=C1324)*($D$1:D1323=D1324)*ISNUMBER($J$1:J1323)),$J$1:J1323),SUMIFS(Master!$G$2:$G$13,Master!$E$2:$E$13,C1324,Master!$F$2:$F$13,D1324)))</f>
        <v/>
      </c>
      <c r="G1324" s="5" t="n"/>
      <c r="H1324" s="5" t="n"/>
      <c r="I1324" s="5" t="n"/>
      <c r="J1324" s="6">
        <f>IF(OR(F1324="",COUNT(G1324:I1324)&lt;3),"",F1324+G1324-H1324-I1324)</f>
        <v/>
      </c>
      <c r="K1324" s="6">
        <f>IF(COUNTA(A1324:D1324,G1324:I1324)=0,"",IF(COUNTA(A1324:D1324,G1324:I1324)&lt;7,"LENGKAPI",IF(H1324+I1324&gt;N(F1324)+G1324,"ABNORMAL",IF(COUNTIFS($A$2:$A$2001,A1324,$B$2:$B$2001,B1324,$C$2:$C$2001,C1324,$D$2:$D$2001,D1324)&gt;1,"DUPLIKAT","OK"))))</f>
        <v/>
      </c>
    </row>
    <row r="1325">
      <c r="A1325" s="4" t="n"/>
      <c r="B1325" s="5" t="n"/>
      <c r="C1325" s="5" t="n"/>
      <c r="D1325" s="5" t="n"/>
      <c r="E1325" s="6">
        <f>IF(A1325="","","B"&amp;TEXT(COUNT($A$2:A1325),"00000"))</f>
        <v/>
      </c>
      <c r="F1325" s="6">
        <f>IF(OR(C1325="",D1325=""),"",IFERROR(LOOKUP(2,1/(($C$1:C1324=C1325)*($D$1:D1324=D1325)*ISNUMBER($J$1:J1324)),$J$1:J1324),SUMIFS(Master!$G$2:$G$13,Master!$E$2:$E$13,C1325,Master!$F$2:$F$13,D1325)))</f>
        <v/>
      </c>
      <c r="G1325" s="5" t="n"/>
      <c r="H1325" s="5" t="n"/>
      <c r="I1325" s="5" t="n"/>
      <c r="J1325" s="6">
        <f>IF(OR(F1325="",COUNT(G1325:I1325)&lt;3),"",F1325+G1325-H1325-I1325)</f>
        <v/>
      </c>
      <c r="K1325" s="6">
        <f>IF(COUNTA(A1325:D1325,G1325:I1325)=0,"",IF(COUNTA(A1325:D1325,G1325:I1325)&lt;7,"LENGKAPI",IF(H1325+I1325&gt;N(F1325)+G1325,"ABNORMAL",IF(COUNTIFS($A$2:$A$2001,A1325,$B$2:$B$2001,B1325,$C$2:$C$2001,C1325,$D$2:$D$2001,D1325)&gt;1,"DUPLIKAT","OK"))))</f>
        <v/>
      </c>
    </row>
    <row r="1326">
      <c r="A1326" s="4" t="n"/>
      <c r="B1326" s="5" t="n"/>
      <c r="C1326" s="5" t="n"/>
      <c r="D1326" s="5" t="n"/>
      <c r="E1326" s="6">
        <f>IF(A1326="","","B"&amp;TEXT(COUNT($A$2:A1326),"00000"))</f>
        <v/>
      </c>
      <c r="F1326" s="6">
        <f>IF(OR(C1326="",D1326=""),"",IFERROR(LOOKUP(2,1/(($C$1:C1325=C1326)*($D$1:D1325=D1326)*ISNUMBER($J$1:J1325)),$J$1:J1325),SUMIFS(Master!$G$2:$G$13,Master!$E$2:$E$13,C1326,Master!$F$2:$F$13,D1326)))</f>
        <v/>
      </c>
      <c r="G1326" s="5" t="n"/>
      <c r="H1326" s="5" t="n"/>
      <c r="I1326" s="5" t="n"/>
      <c r="J1326" s="6">
        <f>IF(OR(F1326="",COUNT(G1326:I1326)&lt;3),"",F1326+G1326-H1326-I1326)</f>
        <v/>
      </c>
      <c r="K1326" s="6">
        <f>IF(COUNTA(A1326:D1326,G1326:I1326)=0,"",IF(COUNTA(A1326:D1326,G1326:I1326)&lt;7,"LENGKAPI",IF(H1326+I1326&gt;N(F1326)+G1326,"ABNORMAL",IF(COUNTIFS($A$2:$A$2001,A1326,$B$2:$B$2001,B1326,$C$2:$C$2001,C1326,$D$2:$D$2001,D1326)&gt;1,"DUPLIKAT","OK"))))</f>
        <v/>
      </c>
    </row>
    <row r="1327">
      <c r="A1327" s="4" t="n"/>
      <c r="B1327" s="5" t="n"/>
      <c r="C1327" s="5" t="n"/>
      <c r="D1327" s="5" t="n"/>
      <c r="E1327" s="6">
        <f>IF(A1327="","","B"&amp;TEXT(COUNT($A$2:A1327),"00000"))</f>
        <v/>
      </c>
      <c r="F1327" s="6">
        <f>IF(OR(C1327="",D1327=""),"",IFERROR(LOOKUP(2,1/(($C$1:C1326=C1327)*($D$1:D1326=D1327)*ISNUMBER($J$1:J1326)),$J$1:J1326),SUMIFS(Master!$G$2:$G$13,Master!$E$2:$E$13,C1327,Master!$F$2:$F$13,D1327)))</f>
        <v/>
      </c>
      <c r="G1327" s="5" t="n"/>
      <c r="H1327" s="5" t="n"/>
      <c r="I1327" s="5" t="n"/>
      <c r="J1327" s="6">
        <f>IF(OR(F1327="",COUNT(G1327:I1327)&lt;3),"",F1327+G1327-H1327-I1327)</f>
        <v/>
      </c>
      <c r="K1327" s="6">
        <f>IF(COUNTA(A1327:D1327,G1327:I1327)=0,"",IF(COUNTA(A1327:D1327,G1327:I1327)&lt;7,"LENGKAPI",IF(H1327+I1327&gt;N(F1327)+G1327,"ABNORMAL",IF(COUNTIFS($A$2:$A$2001,A1327,$B$2:$B$2001,B1327,$C$2:$C$2001,C1327,$D$2:$D$2001,D1327)&gt;1,"DUPLIKAT","OK"))))</f>
        <v/>
      </c>
    </row>
    <row r="1328">
      <c r="A1328" s="4" t="n"/>
      <c r="B1328" s="5" t="n"/>
      <c r="C1328" s="5" t="n"/>
      <c r="D1328" s="5" t="n"/>
      <c r="E1328" s="6">
        <f>IF(A1328="","","B"&amp;TEXT(COUNT($A$2:A1328),"00000"))</f>
        <v/>
      </c>
      <c r="F1328" s="6">
        <f>IF(OR(C1328="",D1328=""),"",IFERROR(LOOKUP(2,1/(($C$1:C1327=C1328)*($D$1:D1327=D1328)*ISNUMBER($J$1:J1327)),$J$1:J1327),SUMIFS(Master!$G$2:$G$13,Master!$E$2:$E$13,C1328,Master!$F$2:$F$13,D1328)))</f>
        <v/>
      </c>
      <c r="G1328" s="5" t="n"/>
      <c r="H1328" s="5" t="n"/>
      <c r="I1328" s="5" t="n"/>
      <c r="J1328" s="6">
        <f>IF(OR(F1328="",COUNT(G1328:I1328)&lt;3),"",F1328+G1328-H1328-I1328)</f>
        <v/>
      </c>
      <c r="K1328" s="6">
        <f>IF(COUNTA(A1328:D1328,G1328:I1328)=0,"",IF(COUNTA(A1328:D1328,G1328:I1328)&lt;7,"LENGKAPI",IF(H1328+I1328&gt;N(F1328)+G1328,"ABNORMAL",IF(COUNTIFS($A$2:$A$2001,A1328,$B$2:$B$2001,B1328,$C$2:$C$2001,C1328,$D$2:$D$2001,D1328)&gt;1,"DUPLIKAT","OK"))))</f>
        <v/>
      </c>
    </row>
    <row r="1329">
      <c r="A1329" s="4" t="n"/>
      <c r="B1329" s="5" t="n"/>
      <c r="C1329" s="5" t="n"/>
      <c r="D1329" s="5" t="n"/>
      <c r="E1329" s="6">
        <f>IF(A1329="","","B"&amp;TEXT(COUNT($A$2:A1329),"00000"))</f>
        <v/>
      </c>
      <c r="F1329" s="6">
        <f>IF(OR(C1329="",D1329=""),"",IFERROR(LOOKUP(2,1/(($C$1:C1328=C1329)*($D$1:D1328=D1329)*ISNUMBER($J$1:J1328)),$J$1:J1328),SUMIFS(Master!$G$2:$G$13,Master!$E$2:$E$13,C1329,Master!$F$2:$F$13,D1329)))</f>
        <v/>
      </c>
      <c r="G1329" s="5" t="n"/>
      <c r="H1329" s="5" t="n"/>
      <c r="I1329" s="5" t="n"/>
      <c r="J1329" s="6">
        <f>IF(OR(F1329="",COUNT(G1329:I1329)&lt;3),"",F1329+G1329-H1329-I1329)</f>
        <v/>
      </c>
      <c r="K1329" s="6">
        <f>IF(COUNTA(A1329:D1329,G1329:I1329)=0,"",IF(COUNTA(A1329:D1329,G1329:I1329)&lt;7,"LENGKAPI",IF(H1329+I1329&gt;N(F1329)+G1329,"ABNORMAL",IF(COUNTIFS($A$2:$A$2001,A1329,$B$2:$B$2001,B1329,$C$2:$C$2001,C1329,$D$2:$D$2001,D1329)&gt;1,"DUPLIKAT","OK"))))</f>
        <v/>
      </c>
    </row>
    <row r="1330">
      <c r="A1330" s="4" t="n"/>
      <c r="B1330" s="5" t="n"/>
      <c r="C1330" s="5" t="n"/>
      <c r="D1330" s="5" t="n"/>
      <c r="E1330" s="6">
        <f>IF(A1330="","","B"&amp;TEXT(COUNT($A$2:A1330),"00000"))</f>
        <v/>
      </c>
      <c r="F1330" s="6">
        <f>IF(OR(C1330="",D1330=""),"",IFERROR(LOOKUP(2,1/(($C$1:C1329=C1330)*($D$1:D1329=D1330)*ISNUMBER($J$1:J1329)),$J$1:J1329),SUMIFS(Master!$G$2:$G$13,Master!$E$2:$E$13,C1330,Master!$F$2:$F$13,D1330)))</f>
        <v/>
      </c>
      <c r="G1330" s="5" t="n"/>
      <c r="H1330" s="5" t="n"/>
      <c r="I1330" s="5" t="n"/>
      <c r="J1330" s="6">
        <f>IF(OR(F1330="",COUNT(G1330:I1330)&lt;3),"",F1330+G1330-H1330-I1330)</f>
        <v/>
      </c>
      <c r="K1330" s="6">
        <f>IF(COUNTA(A1330:D1330,G1330:I1330)=0,"",IF(COUNTA(A1330:D1330,G1330:I1330)&lt;7,"LENGKAPI",IF(H1330+I1330&gt;N(F1330)+G1330,"ABNORMAL",IF(COUNTIFS($A$2:$A$2001,A1330,$B$2:$B$2001,B1330,$C$2:$C$2001,C1330,$D$2:$D$2001,D1330)&gt;1,"DUPLIKAT","OK"))))</f>
        <v/>
      </c>
    </row>
    <row r="1331">
      <c r="A1331" s="4" t="n"/>
      <c r="B1331" s="5" t="n"/>
      <c r="C1331" s="5" t="n"/>
      <c r="D1331" s="5" t="n"/>
      <c r="E1331" s="6">
        <f>IF(A1331="","","B"&amp;TEXT(COUNT($A$2:A1331),"00000"))</f>
        <v/>
      </c>
      <c r="F1331" s="6">
        <f>IF(OR(C1331="",D1331=""),"",IFERROR(LOOKUP(2,1/(($C$1:C1330=C1331)*($D$1:D1330=D1331)*ISNUMBER($J$1:J1330)),$J$1:J1330),SUMIFS(Master!$G$2:$G$13,Master!$E$2:$E$13,C1331,Master!$F$2:$F$13,D1331)))</f>
        <v/>
      </c>
      <c r="G1331" s="5" t="n"/>
      <c r="H1331" s="5" t="n"/>
      <c r="I1331" s="5" t="n"/>
      <c r="J1331" s="6">
        <f>IF(OR(F1331="",COUNT(G1331:I1331)&lt;3),"",F1331+G1331-H1331-I1331)</f>
        <v/>
      </c>
      <c r="K1331" s="6">
        <f>IF(COUNTA(A1331:D1331,G1331:I1331)=0,"",IF(COUNTA(A1331:D1331,G1331:I1331)&lt;7,"LENGKAPI",IF(H1331+I1331&gt;N(F1331)+G1331,"ABNORMAL",IF(COUNTIFS($A$2:$A$2001,A1331,$B$2:$B$2001,B1331,$C$2:$C$2001,C1331,$D$2:$D$2001,D1331)&gt;1,"DUPLIKAT","OK"))))</f>
        <v/>
      </c>
    </row>
    <row r="1332">
      <c r="A1332" s="4" t="n"/>
      <c r="B1332" s="5" t="n"/>
      <c r="C1332" s="5" t="n"/>
      <c r="D1332" s="5" t="n"/>
      <c r="E1332" s="6">
        <f>IF(A1332="","","B"&amp;TEXT(COUNT($A$2:A1332),"00000"))</f>
        <v/>
      </c>
      <c r="F1332" s="6">
        <f>IF(OR(C1332="",D1332=""),"",IFERROR(LOOKUP(2,1/(($C$1:C1331=C1332)*($D$1:D1331=D1332)*ISNUMBER($J$1:J1331)),$J$1:J1331),SUMIFS(Master!$G$2:$G$13,Master!$E$2:$E$13,C1332,Master!$F$2:$F$13,D1332)))</f>
        <v/>
      </c>
      <c r="G1332" s="5" t="n"/>
      <c r="H1332" s="5" t="n"/>
      <c r="I1332" s="5" t="n"/>
      <c r="J1332" s="6">
        <f>IF(OR(F1332="",COUNT(G1332:I1332)&lt;3),"",F1332+G1332-H1332-I1332)</f>
        <v/>
      </c>
      <c r="K1332" s="6">
        <f>IF(COUNTA(A1332:D1332,G1332:I1332)=0,"",IF(COUNTA(A1332:D1332,G1332:I1332)&lt;7,"LENGKAPI",IF(H1332+I1332&gt;N(F1332)+G1332,"ABNORMAL",IF(COUNTIFS($A$2:$A$2001,A1332,$B$2:$B$2001,B1332,$C$2:$C$2001,C1332,$D$2:$D$2001,D1332)&gt;1,"DUPLIKAT","OK"))))</f>
        <v/>
      </c>
    </row>
    <row r="1333">
      <c r="A1333" s="4" t="n"/>
      <c r="B1333" s="5" t="n"/>
      <c r="C1333" s="5" t="n"/>
      <c r="D1333" s="5" t="n"/>
      <c r="E1333" s="6">
        <f>IF(A1333="","","B"&amp;TEXT(COUNT($A$2:A1333),"00000"))</f>
        <v/>
      </c>
      <c r="F1333" s="6">
        <f>IF(OR(C1333="",D1333=""),"",IFERROR(LOOKUP(2,1/(($C$1:C1332=C1333)*($D$1:D1332=D1333)*ISNUMBER($J$1:J1332)),$J$1:J1332),SUMIFS(Master!$G$2:$G$13,Master!$E$2:$E$13,C1333,Master!$F$2:$F$13,D1333)))</f>
        <v/>
      </c>
      <c r="G1333" s="5" t="n"/>
      <c r="H1333" s="5" t="n"/>
      <c r="I1333" s="5" t="n"/>
      <c r="J1333" s="6">
        <f>IF(OR(F1333="",COUNT(G1333:I1333)&lt;3),"",F1333+G1333-H1333-I1333)</f>
        <v/>
      </c>
      <c r="K1333" s="6">
        <f>IF(COUNTA(A1333:D1333,G1333:I1333)=0,"",IF(COUNTA(A1333:D1333,G1333:I1333)&lt;7,"LENGKAPI",IF(H1333+I1333&gt;N(F1333)+G1333,"ABNORMAL",IF(COUNTIFS($A$2:$A$2001,A1333,$B$2:$B$2001,B1333,$C$2:$C$2001,C1333,$D$2:$D$2001,D1333)&gt;1,"DUPLIKAT","OK"))))</f>
        <v/>
      </c>
    </row>
    <row r="1334">
      <c r="A1334" s="4" t="n"/>
      <c r="B1334" s="5" t="n"/>
      <c r="C1334" s="5" t="n"/>
      <c r="D1334" s="5" t="n"/>
      <c r="E1334" s="6">
        <f>IF(A1334="","","B"&amp;TEXT(COUNT($A$2:A1334),"00000"))</f>
        <v/>
      </c>
      <c r="F1334" s="6">
        <f>IF(OR(C1334="",D1334=""),"",IFERROR(LOOKUP(2,1/(($C$1:C1333=C1334)*($D$1:D1333=D1334)*ISNUMBER($J$1:J1333)),$J$1:J1333),SUMIFS(Master!$G$2:$G$13,Master!$E$2:$E$13,C1334,Master!$F$2:$F$13,D1334)))</f>
        <v/>
      </c>
      <c r="G1334" s="5" t="n"/>
      <c r="H1334" s="5" t="n"/>
      <c r="I1334" s="5" t="n"/>
      <c r="J1334" s="6">
        <f>IF(OR(F1334="",COUNT(G1334:I1334)&lt;3),"",F1334+G1334-H1334-I1334)</f>
        <v/>
      </c>
      <c r="K1334" s="6">
        <f>IF(COUNTA(A1334:D1334,G1334:I1334)=0,"",IF(COUNTA(A1334:D1334,G1334:I1334)&lt;7,"LENGKAPI",IF(H1334+I1334&gt;N(F1334)+G1334,"ABNORMAL",IF(COUNTIFS($A$2:$A$2001,A1334,$B$2:$B$2001,B1334,$C$2:$C$2001,C1334,$D$2:$D$2001,D1334)&gt;1,"DUPLIKAT","OK"))))</f>
        <v/>
      </c>
    </row>
    <row r="1335">
      <c r="A1335" s="4" t="n"/>
      <c r="B1335" s="5" t="n"/>
      <c r="C1335" s="5" t="n"/>
      <c r="D1335" s="5" t="n"/>
      <c r="E1335" s="6">
        <f>IF(A1335="","","B"&amp;TEXT(COUNT($A$2:A1335),"00000"))</f>
        <v/>
      </c>
      <c r="F1335" s="6">
        <f>IF(OR(C1335="",D1335=""),"",IFERROR(LOOKUP(2,1/(($C$1:C1334=C1335)*($D$1:D1334=D1335)*ISNUMBER($J$1:J1334)),$J$1:J1334),SUMIFS(Master!$G$2:$G$13,Master!$E$2:$E$13,C1335,Master!$F$2:$F$13,D1335)))</f>
        <v/>
      </c>
      <c r="G1335" s="5" t="n"/>
      <c r="H1335" s="5" t="n"/>
      <c r="I1335" s="5" t="n"/>
      <c r="J1335" s="6">
        <f>IF(OR(F1335="",COUNT(G1335:I1335)&lt;3),"",F1335+G1335-H1335-I1335)</f>
        <v/>
      </c>
      <c r="K1335" s="6">
        <f>IF(COUNTA(A1335:D1335,G1335:I1335)=0,"",IF(COUNTA(A1335:D1335,G1335:I1335)&lt;7,"LENGKAPI",IF(H1335+I1335&gt;N(F1335)+G1335,"ABNORMAL",IF(COUNTIFS($A$2:$A$2001,A1335,$B$2:$B$2001,B1335,$C$2:$C$2001,C1335,$D$2:$D$2001,D1335)&gt;1,"DUPLIKAT","OK"))))</f>
        <v/>
      </c>
    </row>
    <row r="1336">
      <c r="A1336" s="4" t="n"/>
      <c r="B1336" s="5" t="n"/>
      <c r="C1336" s="5" t="n"/>
      <c r="D1336" s="5" t="n"/>
      <c r="E1336" s="6">
        <f>IF(A1336="","","B"&amp;TEXT(COUNT($A$2:A1336),"00000"))</f>
        <v/>
      </c>
      <c r="F1336" s="6">
        <f>IF(OR(C1336="",D1336=""),"",IFERROR(LOOKUP(2,1/(($C$1:C1335=C1336)*($D$1:D1335=D1336)*ISNUMBER($J$1:J1335)),$J$1:J1335),SUMIFS(Master!$G$2:$G$13,Master!$E$2:$E$13,C1336,Master!$F$2:$F$13,D1336)))</f>
        <v/>
      </c>
      <c r="G1336" s="5" t="n"/>
      <c r="H1336" s="5" t="n"/>
      <c r="I1336" s="5" t="n"/>
      <c r="J1336" s="6">
        <f>IF(OR(F1336="",COUNT(G1336:I1336)&lt;3),"",F1336+G1336-H1336-I1336)</f>
        <v/>
      </c>
      <c r="K1336" s="6">
        <f>IF(COUNTA(A1336:D1336,G1336:I1336)=0,"",IF(COUNTA(A1336:D1336,G1336:I1336)&lt;7,"LENGKAPI",IF(H1336+I1336&gt;N(F1336)+G1336,"ABNORMAL",IF(COUNTIFS($A$2:$A$2001,A1336,$B$2:$B$2001,B1336,$C$2:$C$2001,C1336,$D$2:$D$2001,D1336)&gt;1,"DUPLIKAT","OK"))))</f>
        <v/>
      </c>
    </row>
    <row r="1337">
      <c r="A1337" s="4" t="n"/>
      <c r="B1337" s="5" t="n"/>
      <c r="C1337" s="5" t="n"/>
      <c r="D1337" s="5" t="n"/>
      <c r="E1337" s="6">
        <f>IF(A1337="","","B"&amp;TEXT(COUNT($A$2:A1337),"00000"))</f>
        <v/>
      </c>
      <c r="F1337" s="6">
        <f>IF(OR(C1337="",D1337=""),"",IFERROR(LOOKUP(2,1/(($C$1:C1336=C1337)*($D$1:D1336=D1337)*ISNUMBER($J$1:J1336)),$J$1:J1336),SUMIFS(Master!$G$2:$G$13,Master!$E$2:$E$13,C1337,Master!$F$2:$F$13,D1337)))</f>
        <v/>
      </c>
      <c r="G1337" s="5" t="n"/>
      <c r="H1337" s="5" t="n"/>
      <c r="I1337" s="5" t="n"/>
      <c r="J1337" s="6">
        <f>IF(OR(F1337="",COUNT(G1337:I1337)&lt;3),"",F1337+G1337-H1337-I1337)</f>
        <v/>
      </c>
      <c r="K1337" s="6">
        <f>IF(COUNTA(A1337:D1337,G1337:I1337)=0,"",IF(COUNTA(A1337:D1337,G1337:I1337)&lt;7,"LENGKAPI",IF(H1337+I1337&gt;N(F1337)+G1337,"ABNORMAL",IF(COUNTIFS($A$2:$A$2001,A1337,$B$2:$B$2001,B1337,$C$2:$C$2001,C1337,$D$2:$D$2001,D1337)&gt;1,"DUPLIKAT","OK"))))</f>
        <v/>
      </c>
    </row>
    <row r="1338">
      <c r="A1338" s="4" t="n"/>
      <c r="B1338" s="5" t="n"/>
      <c r="C1338" s="5" t="n"/>
      <c r="D1338" s="5" t="n"/>
      <c r="E1338" s="6">
        <f>IF(A1338="","","B"&amp;TEXT(COUNT($A$2:A1338),"00000"))</f>
        <v/>
      </c>
      <c r="F1338" s="6">
        <f>IF(OR(C1338="",D1338=""),"",IFERROR(LOOKUP(2,1/(($C$1:C1337=C1338)*($D$1:D1337=D1338)*ISNUMBER($J$1:J1337)),$J$1:J1337),SUMIFS(Master!$G$2:$G$13,Master!$E$2:$E$13,C1338,Master!$F$2:$F$13,D1338)))</f>
        <v/>
      </c>
      <c r="G1338" s="5" t="n"/>
      <c r="H1338" s="5" t="n"/>
      <c r="I1338" s="5" t="n"/>
      <c r="J1338" s="6">
        <f>IF(OR(F1338="",COUNT(G1338:I1338)&lt;3),"",F1338+G1338-H1338-I1338)</f>
        <v/>
      </c>
      <c r="K1338" s="6">
        <f>IF(COUNTA(A1338:D1338,G1338:I1338)=0,"",IF(COUNTA(A1338:D1338,G1338:I1338)&lt;7,"LENGKAPI",IF(H1338+I1338&gt;N(F1338)+G1338,"ABNORMAL",IF(COUNTIFS($A$2:$A$2001,A1338,$B$2:$B$2001,B1338,$C$2:$C$2001,C1338,$D$2:$D$2001,D1338)&gt;1,"DUPLIKAT","OK"))))</f>
        <v/>
      </c>
    </row>
    <row r="1339">
      <c r="A1339" s="4" t="n"/>
      <c r="B1339" s="5" t="n"/>
      <c r="C1339" s="5" t="n"/>
      <c r="D1339" s="5" t="n"/>
      <c r="E1339" s="6">
        <f>IF(A1339="","","B"&amp;TEXT(COUNT($A$2:A1339),"00000"))</f>
        <v/>
      </c>
      <c r="F1339" s="6">
        <f>IF(OR(C1339="",D1339=""),"",IFERROR(LOOKUP(2,1/(($C$1:C1338=C1339)*($D$1:D1338=D1339)*ISNUMBER($J$1:J1338)),$J$1:J1338),SUMIFS(Master!$G$2:$G$13,Master!$E$2:$E$13,C1339,Master!$F$2:$F$13,D1339)))</f>
        <v/>
      </c>
      <c r="G1339" s="5" t="n"/>
      <c r="H1339" s="5" t="n"/>
      <c r="I1339" s="5" t="n"/>
      <c r="J1339" s="6">
        <f>IF(OR(F1339="",COUNT(G1339:I1339)&lt;3),"",F1339+G1339-H1339-I1339)</f>
        <v/>
      </c>
      <c r="K1339" s="6">
        <f>IF(COUNTA(A1339:D1339,G1339:I1339)=0,"",IF(COUNTA(A1339:D1339,G1339:I1339)&lt;7,"LENGKAPI",IF(H1339+I1339&gt;N(F1339)+G1339,"ABNORMAL",IF(COUNTIFS($A$2:$A$2001,A1339,$B$2:$B$2001,B1339,$C$2:$C$2001,C1339,$D$2:$D$2001,D1339)&gt;1,"DUPLIKAT","OK"))))</f>
        <v/>
      </c>
    </row>
    <row r="1340">
      <c r="A1340" s="4" t="n"/>
      <c r="B1340" s="5" t="n"/>
      <c r="C1340" s="5" t="n"/>
      <c r="D1340" s="5" t="n"/>
      <c r="E1340" s="6">
        <f>IF(A1340="","","B"&amp;TEXT(COUNT($A$2:A1340),"00000"))</f>
        <v/>
      </c>
      <c r="F1340" s="6">
        <f>IF(OR(C1340="",D1340=""),"",IFERROR(LOOKUP(2,1/(($C$1:C1339=C1340)*($D$1:D1339=D1340)*ISNUMBER($J$1:J1339)),$J$1:J1339),SUMIFS(Master!$G$2:$G$13,Master!$E$2:$E$13,C1340,Master!$F$2:$F$13,D1340)))</f>
        <v/>
      </c>
      <c r="G1340" s="5" t="n"/>
      <c r="H1340" s="5" t="n"/>
      <c r="I1340" s="5" t="n"/>
      <c r="J1340" s="6">
        <f>IF(OR(F1340="",COUNT(G1340:I1340)&lt;3),"",F1340+G1340-H1340-I1340)</f>
        <v/>
      </c>
      <c r="K1340" s="6">
        <f>IF(COUNTA(A1340:D1340,G1340:I1340)=0,"",IF(COUNTA(A1340:D1340,G1340:I1340)&lt;7,"LENGKAPI",IF(H1340+I1340&gt;N(F1340)+G1340,"ABNORMAL",IF(COUNTIFS($A$2:$A$2001,A1340,$B$2:$B$2001,B1340,$C$2:$C$2001,C1340,$D$2:$D$2001,D1340)&gt;1,"DUPLIKAT","OK"))))</f>
        <v/>
      </c>
    </row>
    <row r="1341">
      <c r="A1341" s="4" t="n"/>
      <c r="B1341" s="5" t="n"/>
      <c r="C1341" s="5" t="n"/>
      <c r="D1341" s="5" t="n"/>
      <c r="E1341" s="6">
        <f>IF(A1341="","","B"&amp;TEXT(COUNT($A$2:A1341),"00000"))</f>
        <v/>
      </c>
      <c r="F1341" s="6">
        <f>IF(OR(C1341="",D1341=""),"",IFERROR(LOOKUP(2,1/(($C$1:C1340=C1341)*($D$1:D1340=D1341)*ISNUMBER($J$1:J1340)),$J$1:J1340),SUMIFS(Master!$G$2:$G$13,Master!$E$2:$E$13,C1341,Master!$F$2:$F$13,D1341)))</f>
        <v/>
      </c>
      <c r="G1341" s="5" t="n"/>
      <c r="H1341" s="5" t="n"/>
      <c r="I1341" s="5" t="n"/>
      <c r="J1341" s="6">
        <f>IF(OR(F1341="",COUNT(G1341:I1341)&lt;3),"",F1341+G1341-H1341-I1341)</f>
        <v/>
      </c>
      <c r="K1341" s="6">
        <f>IF(COUNTA(A1341:D1341,G1341:I1341)=0,"",IF(COUNTA(A1341:D1341,G1341:I1341)&lt;7,"LENGKAPI",IF(H1341+I1341&gt;N(F1341)+G1341,"ABNORMAL",IF(COUNTIFS($A$2:$A$2001,A1341,$B$2:$B$2001,B1341,$C$2:$C$2001,C1341,$D$2:$D$2001,D1341)&gt;1,"DUPLIKAT","OK"))))</f>
        <v/>
      </c>
    </row>
    <row r="1342">
      <c r="A1342" s="4" t="n"/>
      <c r="B1342" s="5" t="n"/>
      <c r="C1342" s="5" t="n"/>
      <c r="D1342" s="5" t="n"/>
      <c r="E1342" s="6">
        <f>IF(A1342="","","B"&amp;TEXT(COUNT($A$2:A1342),"00000"))</f>
        <v/>
      </c>
      <c r="F1342" s="6">
        <f>IF(OR(C1342="",D1342=""),"",IFERROR(LOOKUP(2,1/(($C$1:C1341=C1342)*($D$1:D1341=D1342)*ISNUMBER($J$1:J1341)),$J$1:J1341),SUMIFS(Master!$G$2:$G$13,Master!$E$2:$E$13,C1342,Master!$F$2:$F$13,D1342)))</f>
        <v/>
      </c>
      <c r="G1342" s="5" t="n"/>
      <c r="H1342" s="5" t="n"/>
      <c r="I1342" s="5" t="n"/>
      <c r="J1342" s="6">
        <f>IF(OR(F1342="",COUNT(G1342:I1342)&lt;3),"",F1342+G1342-H1342-I1342)</f>
        <v/>
      </c>
      <c r="K1342" s="6">
        <f>IF(COUNTA(A1342:D1342,G1342:I1342)=0,"",IF(COUNTA(A1342:D1342,G1342:I1342)&lt;7,"LENGKAPI",IF(H1342+I1342&gt;N(F1342)+G1342,"ABNORMAL",IF(COUNTIFS($A$2:$A$2001,A1342,$B$2:$B$2001,B1342,$C$2:$C$2001,C1342,$D$2:$D$2001,D1342)&gt;1,"DUPLIKAT","OK"))))</f>
        <v/>
      </c>
    </row>
    <row r="1343">
      <c r="A1343" s="4" t="n"/>
      <c r="B1343" s="5" t="n"/>
      <c r="C1343" s="5" t="n"/>
      <c r="D1343" s="5" t="n"/>
      <c r="E1343" s="6">
        <f>IF(A1343="","","B"&amp;TEXT(COUNT($A$2:A1343),"00000"))</f>
        <v/>
      </c>
      <c r="F1343" s="6">
        <f>IF(OR(C1343="",D1343=""),"",IFERROR(LOOKUP(2,1/(($C$1:C1342=C1343)*($D$1:D1342=D1343)*ISNUMBER($J$1:J1342)),$J$1:J1342),SUMIFS(Master!$G$2:$G$13,Master!$E$2:$E$13,C1343,Master!$F$2:$F$13,D1343)))</f>
        <v/>
      </c>
      <c r="G1343" s="5" t="n"/>
      <c r="H1343" s="5" t="n"/>
      <c r="I1343" s="5" t="n"/>
      <c r="J1343" s="6">
        <f>IF(OR(F1343="",COUNT(G1343:I1343)&lt;3),"",F1343+G1343-H1343-I1343)</f>
        <v/>
      </c>
      <c r="K1343" s="6">
        <f>IF(COUNTA(A1343:D1343,G1343:I1343)=0,"",IF(COUNTA(A1343:D1343,G1343:I1343)&lt;7,"LENGKAPI",IF(H1343+I1343&gt;N(F1343)+G1343,"ABNORMAL",IF(COUNTIFS($A$2:$A$2001,A1343,$B$2:$B$2001,B1343,$C$2:$C$2001,C1343,$D$2:$D$2001,D1343)&gt;1,"DUPLIKAT","OK"))))</f>
        <v/>
      </c>
    </row>
    <row r="1344">
      <c r="A1344" s="4" t="n"/>
      <c r="B1344" s="5" t="n"/>
      <c r="C1344" s="5" t="n"/>
      <c r="D1344" s="5" t="n"/>
      <c r="E1344" s="6">
        <f>IF(A1344="","","B"&amp;TEXT(COUNT($A$2:A1344),"00000"))</f>
        <v/>
      </c>
      <c r="F1344" s="6">
        <f>IF(OR(C1344="",D1344=""),"",IFERROR(LOOKUP(2,1/(($C$1:C1343=C1344)*($D$1:D1343=D1344)*ISNUMBER($J$1:J1343)),$J$1:J1343),SUMIFS(Master!$G$2:$G$13,Master!$E$2:$E$13,C1344,Master!$F$2:$F$13,D1344)))</f>
        <v/>
      </c>
      <c r="G1344" s="5" t="n"/>
      <c r="H1344" s="5" t="n"/>
      <c r="I1344" s="5" t="n"/>
      <c r="J1344" s="6">
        <f>IF(OR(F1344="",COUNT(G1344:I1344)&lt;3),"",F1344+G1344-H1344-I1344)</f>
        <v/>
      </c>
      <c r="K1344" s="6">
        <f>IF(COUNTA(A1344:D1344,G1344:I1344)=0,"",IF(COUNTA(A1344:D1344,G1344:I1344)&lt;7,"LENGKAPI",IF(H1344+I1344&gt;N(F1344)+G1344,"ABNORMAL",IF(COUNTIFS($A$2:$A$2001,A1344,$B$2:$B$2001,B1344,$C$2:$C$2001,C1344,$D$2:$D$2001,D1344)&gt;1,"DUPLIKAT","OK"))))</f>
        <v/>
      </c>
    </row>
    <row r="1345">
      <c r="A1345" s="4" t="n"/>
      <c r="B1345" s="5" t="n"/>
      <c r="C1345" s="5" t="n"/>
      <c r="D1345" s="5" t="n"/>
      <c r="E1345" s="6">
        <f>IF(A1345="","","B"&amp;TEXT(COUNT($A$2:A1345),"00000"))</f>
        <v/>
      </c>
      <c r="F1345" s="6">
        <f>IF(OR(C1345="",D1345=""),"",IFERROR(LOOKUP(2,1/(($C$1:C1344=C1345)*($D$1:D1344=D1345)*ISNUMBER($J$1:J1344)),$J$1:J1344),SUMIFS(Master!$G$2:$G$13,Master!$E$2:$E$13,C1345,Master!$F$2:$F$13,D1345)))</f>
        <v/>
      </c>
      <c r="G1345" s="5" t="n"/>
      <c r="H1345" s="5" t="n"/>
      <c r="I1345" s="5" t="n"/>
      <c r="J1345" s="6">
        <f>IF(OR(F1345="",COUNT(G1345:I1345)&lt;3),"",F1345+G1345-H1345-I1345)</f>
        <v/>
      </c>
      <c r="K1345" s="6">
        <f>IF(COUNTA(A1345:D1345,G1345:I1345)=0,"",IF(COUNTA(A1345:D1345,G1345:I1345)&lt;7,"LENGKAPI",IF(H1345+I1345&gt;N(F1345)+G1345,"ABNORMAL",IF(COUNTIFS($A$2:$A$2001,A1345,$B$2:$B$2001,B1345,$C$2:$C$2001,C1345,$D$2:$D$2001,D1345)&gt;1,"DUPLIKAT","OK"))))</f>
        <v/>
      </c>
    </row>
    <row r="1346">
      <c r="A1346" s="4" t="n"/>
      <c r="B1346" s="5" t="n"/>
      <c r="C1346" s="5" t="n"/>
      <c r="D1346" s="5" t="n"/>
      <c r="E1346" s="6">
        <f>IF(A1346="","","B"&amp;TEXT(COUNT($A$2:A1346),"00000"))</f>
        <v/>
      </c>
      <c r="F1346" s="6">
        <f>IF(OR(C1346="",D1346=""),"",IFERROR(LOOKUP(2,1/(($C$1:C1345=C1346)*($D$1:D1345=D1346)*ISNUMBER($J$1:J1345)),$J$1:J1345),SUMIFS(Master!$G$2:$G$13,Master!$E$2:$E$13,C1346,Master!$F$2:$F$13,D1346)))</f>
        <v/>
      </c>
      <c r="G1346" s="5" t="n"/>
      <c r="H1346" s="5" t="n"/>
      <c r="I1346" s="5" t="n"/>
      <c r="J1346" s="6">
        <f>IF(OR(F1346="",COUNT(G1346:I1346)&lt;3),"",F1346+G1346-H1346-I1346)</f>
        <v/>
      </c>
      <c r="K1346" s="6">
        <f>IF(COUNTA(A1346:D1346,G1346:I1346)=0,"",IF(COUNTA(A1346:D1346,G1346:I1346)&lt;7,"LENGKAPI",IF(H1346+I1346&gt;N(F1346)+G1346,"ABNORMAL",IF(COUNTIFS($A$2:$A$2001,A1346,$B$2:$B$2001,B1346,$C$2:$C$2001,C1346,$D$2:$D$2001,D1346)&gt;1,"DUPLIKAT","OK"))))</f>
        <v/>
      </c>
    </row>
    <row r="1347">
      <c r="A1347" s="4" t="n"/>
      <c r="B1347" s="5" t="n"/>
      <c r="C1347" s="5" t="n"/>
      <c r="D1347" s="5" t="n"/>
      <c r="E1347" s="6">
        <f>IF(A1347="","","B"&amp;TEXT(COUNT($A$2:A1347),"00000"))</f>
        <v/>
      </c>
      <c r="F1347" s="6">
        <f>IF(OR(C1347="",D1347=""),"",IFERROR(LOOKUP(2,1/(($C$1:C1346=C1347)*($D$1:D1346=D1347)*ISNUMBER($J$1:J1346)),$J$1:J1346),SUMIFS(Master!$G$2:$G$13,Master!$E$2:$E$13,C1347,Master!$F$2:$F$13,D1347)))</f>
        <v/>
      </c>
      <c r="G1347" s="5" t="n"/>
      <c r="H1347" s="5" t="n"/>
      <c r="I1347" s="5" t="n"/>
      <c r="J1347" s="6">
        <f>IF(OR(F1347="",COUNT(G1347:I1347)&lt;3),"",F1347+G1347-H1347-I1347)</f>
        <v/>
      </c>
      <c r="K1347" s="6">
        <f>IF(COUNTA(A1347:D1347,G1347:I1347)=0,"",IF(COUNTA(A1347:D1347,G1347:I1347)&lt;7,"LENGKAPI",IF(H1347+I1347&gt;N(F1347)+G1347,"ABNORMAL",IF(COUNTIFS($A$2:$A$2001,A1347,$B$2:$B$2001,B1347,$C$2:$C$2001,C1347,$D$2:$D$2001,D1347)&gt;1,"DUPLIKAT","OK"))))</f>
        <v/>
      </c>
    </row>
    <row r="1348">
      <c r="A1348" s="4" t="n"/>
      <c r="B1348" s="5" t="n"/>
      <c r="C1348" s="5" t="n"/>
      <c r="D1348" s="5" t="n"/>
      <c r="E1348" s="6">
        <f>IF(A1348="","","B"&amp;TEXT(COUNT($A$2:A1348),"00000"))</f>
        <v/>
      </c>
      <c r="F1348" s="6">
        <f>IF(OR(C1348="",D1348=""),"",IFERROR(LOOKUP(2,1/(($C$1:C1347=C1348)*($D$1:D1347=D1348)*ISNUMBER($J$1:J1347)),$J$1:J1347),SUMIFS(Master!$G$2:$G$13,Master!$E$2:$E$13,C1348,Master!$F$2:$F$13,D1348)))</f>
        <v/>
      </c>
      <c r="G1348" s="5" t="n"/>
      <c r="H1348" s="5" t="n"/>
      <c r="I1348" s="5" t="n"/>
      <c r="J1348" s="6">
        <f>IF(OR(F1348="",COUNT(G1348:I1348)&lt;3),"",F1348+G1348-H1348-I1348)</f>
        <v/>
      </c>
      <c r="K1348" s="6">
        <f>IF(COUNTA(A1348:D1348,G1348:I1348)=0,"",IF(COUNTA(A1348:D1348,G1348:I1348)&lt;7,"LENGKAPI",IF(H1348+I1348&gt;N(F1348)+G1348,"ABNORMAL",IF(COUNTIFS($A$2:$A$2001,A1348,$B$2:$B$2001,B1348,$C$2:$C$2001,C1348,$D$2:$D$2001,D1348)&gt;1,"DUPLIKAT","OK"))))</f>
        <v/>
      </c>
    </row>
    <row r="1349">
      <c r="A1349" s="4" t="n"/>
      <c r="B1349" s="5" t="n"/>
      <c r="C1349" s="5" t="n"/>
      <c r="D1349" s="5" t="n"/>
      <c r="E1349" s="6">
        <f>IF(A1349="","","B"&amp;TEXT(COUNT($A$2:A1349),"00000"))</f>
        <v/>
      </c>
      <c r="F1349" s="6">
        <f>IF(OR(C1349="",D1349=""),"",IFERROR(LOOKUP(2,1/(($C$1:C1348=C1349)*($D$1:D1348=D1349)*ISNUMBER($J$1:J1348)),$J$1:J1348),SUMIFS(Master!$G$2:$G$13,Master!$E$2:$E$13,C1349,Master!$F$2:$F$13,D1349)))</f>
        <v/>
      </c>
      <c r="G1349" s="5" t="n"/>
      <c r="H1349" s="5" t="n"/>
      <c r="I1349" s="5" t="n"/>
      <c r="J1349" s="6">
        <f>IF(OR(F1349="",COUNT(G1349:I1349)&lt;3),"",F1349+G1349-H1349-I1349)</f>
        <v/>
      </c>
      <c r="K1349" s="6">
        <f>IF(COUNTA(A1349:D1349,G1349:I1349)=0,"",IF(COUNTA(A1349:D1349,G1349:I1349)&lt;7,"LENGKAPI",IF(H1349+I1349&gt;N(F1349)+G1349,"ABNORMAL",IF(COUNTIFS($A$2:$A$2001,A1349,$B$2:$B$2001,B1349,$C$2:$C$2001,C1349,$D$2:$D$2001,D1349)&gt;1,"DUPLIKAT","OK"))))</f>
        <v/>
      </c>
    </row>
    <row r="1350">
      <c r="A1350" s="4" t="n"/>
      <c r="B1350" s="5" t="n"/>
      <c r="C1350" s="5" t="n"/>
      <c r="D1350" s="5" t="n"/>
      <c r="E1350" s="6">
        <f>IF(A1350="","","B"&amp;TEXT(COUNT($A$2:A1350),"00000"))</f>
        <v/>
      </c>
      <c r="F1350" s="6">
        <f>IF(OR(C1350="",D1350=""),"",IFERROR(LOOKUP(2,1/(($C$1:C1349=C1350)*($D$1:D1349=D1350)*ISNUMBER($J$1:J1349)),$J$1:J1349),SUMIFS(Master!$G$2:$G$13,Master!$E$2:$E$13,C1350,Master!$F$2:$F$13,D1350)))</f>
        <v/>
      </c>
      <c r="G1350" s="5" t="n"/>
      <c r="H1350" s="5" t="n"/>
      <c r="I1350" s="5" t="n"/>
      <c r="J1350" s="6">
        <f>IF(OR(F1350="",COUNT(G1350:I1350)&lt;3),"",F1350+G1350-H1350-I1350)</f>
        <v/>
      </c>
      <c r="K1350" s="6">
        <f>IF(COUNTA(A1350:D1350,G1350:I1350)=0,"",IF(COUNTA(A1350:D1350,G1350:I1350)&lt;7,"LENGKAPI",IF(H1350+I1350&gt;N(F1350)+G1350,"ABNORMAL",IF(COUNTIFS($A$2:$A$2001,A1350,$B$2:$B$2001,B1350,$C$2:$C$2001,C1350,$D$2:$D$2001,D1350)&gt;1,"DUPLIKAT","OK"))))</f>
        <v/>
      </c>
    </row>
    <row r="1351">
      <c r="A1351" s="4" t="n"/>
      <c r="B1351" s="5" t="n"/>
      <c r="C1351" s="5" t="n"/>
      <c r="D1351" s="5" t="n"/>
      <c r="E1351" s="6">
        <f>IF(A1351="","","B"&amp;TEXT(COUNT($A$2:A1351),"00000"))</f>
        <v/>
      </c>
      <c r="F1351" s="6">
        <f>IF(OR(C1351="",D1351=""),"",IFERROR(LOOKUP(2,1/(($C$1:C1350=C1351)*($D$1:D1350=D1351)*ISNUMBER($J$1:J1350)),$J$1:J1350),SUMIFS(Master!$G$2:$G$13,Master!$E$2:$E$13,C1351,Master!$F$2:$F$13,D1351)))</f>
        <v/>
      </c>
      <c r="G1351" s="5" t="n"/>
      <c r="H1351" s="5" t="n"/>
      <c r="I1351" s="5" t="n"/>
      <c r="J1351" s="6">
        <f>IF(OR(F1351="",COUNT(G1351:I1351)&lt;3),"",F1351+G1351-H1351-I1351)</f>
        <v/>
      </c>
      <c r="K1351" s="6">
        <f>IF(COUNTA(A1351:D1351,G1351:I1351)=0,"",IF(COUNTA(A1351:D1351,G1351:I1351)&lt;7,"LENGKAPI",IF(H1351+I1351&gt;N(F1351)+G1351,"ABNORMAL",IF(COUNTIFS($A$2:$A$2001,A1351,$B$2:$B$2001,B1351,$C$2:$C$2001,C1351,$D$2:$D$2001,D1351)&gt;1,"DUPLIKAT","OK"))))</f>
        <v/>
      </c>
    </row>
    <row r="1352">
      <c r="A1352" s="4" t="n"/>
      <c r="B1352" s="5" t="n"/>
      <c r="C1352" s="5" t="n"/>
      <c r="D1352" s="5" t="n"/>
      <c r="E1352" s="6">
        <f>IF(A1352="","","B"&amp;TEXT(COUNT($A$2:A1352),"00000"))</f>
        <v/>
      </c>
      <c r="F1352" s="6">
        <f>IF(OR(C1352="",D1352=""),"",IFERROR(LOOKUP(2,1/(($C$1:C1351=C1352)*($D$1:D1351=D1352)*ISNUMBER($J$1:J1351)),$J$1:J1351),SUMIFS(Master!$G$2:$G$13,Master!$E$2:$E$13,C1352,Master!$F$2:$F$13,D1352)))</f>
        <v/>
      </c>
      <c r="G1352" s="5" t="n"/>
      <c r="H1352" s="5" t="n"/>
      <c r="I1352" s="5" t="n"/>
      <c r="J1352" s="6">
        <f>IF(OR(F1352="",COUNT(G1352:I1352)&lt;3),"",F1352+G1352-H1352-I1352)</f>
        <v/>
      </c>
      <c r="K1352" s="6">
        <f>IF(COUNTA(A1352:D1352,G1352:I1352)=0,"",IF(COUNTA(A1352:D1352,G1352:I1352)&lt;7,"LENGKAPI",IF(H1352+I1352&gt;N(F1352)+G1352,"ABNORMAL",IF(COUNTIFS($A$2:$A$2001,A1352,$B$2:$B$2001,B1352,$C$2:$C$2001,C1352,$D$2:$D$2001,D1352)&gt;1,"DUPLIKAT","OK"))))</f>
        <v/>
      </c>
    </row>
    <row r="1353">
      <c r="A1353" s="4" t="n"/>
      <c r="B1353" s="5" t="n"/>
      <c r="C1353" s="5" t="n"/>
      <c r="D1353" s="5" t="n"/>
      <c r="E1353" s="6">
        <f>IF(A1353="","","B"&amp;TEXT(COUNT($A$2:A1353),"00000"))</f>
        <v/>
      </c>
      <c r="F1353" s="6">
        <f>IF(OR(C1353="",D1353=""),"",IFERROR(LOOKUP(2,1/(($C$1:C1352=C1353)*($D$1:D1352=D1353)*ISNUMBER($J$1:J1352)),$J$1:J1352),SUMIFS(Master!$G$2:$G$13,Master!$E$2:$E$13,C1353,Master!$F$2:$F$13,D1353)))</f>
        <v/>
      </c>
      <c r="G1353" s="5" t="n"/>
      <c r="H1353" s="5" t="n"/>
      <c r="I1353" s="5" t="n"/>
      <c r="J1353" s="6">
        <f>IF(OR(F1353="",COUNT(G1353:I1353)&lt;3),"",F1353+G1353-H1353-I1353)</f>
        <v/>
      </c>
      <c r="K1353" s="6">
        <f>IF(COUNTA(A1353:D1353,G1353:I1353)=0,"",IF(COUNTA(A1353:D1353,G1353:I1353)&lt;7,"LENGKAPI",IF(H1353+I1353&gt;N(F1353)+G1353,"ABNORMAL",IF(COUNTIFS($A$2:$A$2001,A1353,$B$2:$B$2001,B1353,$C$2:$C$2001,C1353,$D$2:$D$2001,D1353)&gt;1,"DUPLIKAT","OK"))))</f>
        <v/>
      </c>
    </row>
    <row r="1354">
      <c r="A1354" s="4" t="n"/>
      <c r="B1354" s="5" t="n"/>
      <c r="C1354" s="5" t="n"/>
      <c r="D1354" s="5" t="n"/>
      <c r="E1354" s="6">
        <f>IF(A1354="","","B"&amp;TEXT(COUNT($A$2:A1354),"00000"))</f>
        <v/>
      </c>
      <c r="F1354" s="6">
        <f>IF(OR(C1354="",D1354=""),"",IFERROR(LOOKUP(2,1/(($C$1:C1353=C1354)*($D$1:D1353=D1354)*ISNUMBER($J$1:J1353)),$J$1:J1353),SUMIFS(Master!$G$2:$G$13,Master!$E$2:$E$13,C1354,Master!$F$2:$F$13,D1354)))</f>
        <v/>
      </c>
      <c r="G1354" s="5" t="n"/>
      <c r="H1354" s="5" t="n"/>
      <c r="I1354" s="5" t="n"/>
      <c r="J1354" s="6">
        <f>IF(OR(F1354="",COUNT(G1354:I1354)&lt;3),"",F1354+G1354-H1354-I1354)</f>
        <v/>
      </c>
      <c r="K1354" s="6">
        <f>IF(COUNTA(A1354:D1354,G1354:I1354)=0,"",IF(COUNTA(A1354:D1354,G1354:I1354)&lt;7,"LENGKAPI",IF(H1354+I1354&gt;N(F1354)+G1354,"ABNORMAL",IF(COUNTIFS($A$2:$A$2001,A1354,$B$2:$B$2001,B1354,$C$2:$C$2001,C1354,$D$2:$D$2001,D1354)&gt;1,"DUPLIKAT","OK"))))</f>
        <v/>
      </c>
    </row>
    <row r="1355">
      <c r="A1355" s="4" t="n"/>
      <c r="B1355" s="5" t="n"/>
      <c r="C1355" s="5" t="n"/>
      <c r="D1355" s="5" t="n"/>
      <c r="E1355" s="6">
        <f>IF(A1355="","","B"&amp;TEXT(COUNT($A$2:A1355),"00000"))</f>
        <v/>
      </c>
      <c r="F1355" s="6">
        <f>IF(OR(C1355="",D1355=""),"",IFERROR(LOOKUP(2,1/(($C$1:C1354=C1355)*($D$1:D1354=D1355)*ISNUMBER($J$1:J1354)),$J$1:J1354),SUMIFS(Master!$G$2:$G$13,Master!$E$2:$E$13,C1355,Master!$F$2:$F$13,D1355)))</f>
        <v/>
      </c>
      <c r="G1355" s="5" t="n"/>
      <c r="H1355" s="5" t="n"/>
      <c r="I1355" s="5" t="n"/>
      <c r="J1355" s="6">
        <f>IF(OR(F1355="",COUNT(G1355:I1355)&lt;3),"",F1355+G1355-H1355-I1355)</f>
        <v/>
      </c>
      <c r="K1355" s="6">
        <f>IF(COUNTA(A1355:D1355,G1355:I1355)=0,"",IF(COUNTA(A1355:D1355,G1355:I1355)&lt;7,"LENGKAPI",IF(H1355+I1355&gt;N(F1355)+G1355,"ABNORMAL",IF(COUNTIFS($A$2:$A$2001,A1355,$B$2:$B$2001,B1355,$C$2:$C$2001,C1355,$D$2:$D$2001,D1355)&gt;1,"DUPLIKAT","OK"))))</f>
        <v/>
      </c>
    </row>
    <row r="1356">
      <c r="A1356" s="4" t="n"/>
      <c r="B1356" s="5" t="n"/>
      <c r="C1356" s="5" t="n"/>
      <c r="D1356" s="5" t="n"/>
      <c r="E1356" s="6">
        <f>IF(A1356="","","B"&amp;TEXT(COUNT($A$2:A1356),"00000"))</f>
        <v/>
      </c>
      <c r="F1356" s="6">
        <f>IF(OR(C1356="",D1356=""),"",IFERROR(LOOKUP(2,1/(($C$1:C1355=C1356)*($D$1:D1355=D1356)*ISNUMBER($J$1:J1355)),$J$1:J1355),SUMIFS(Master!$G$2:$G$13,Master!$E$2:$E$13,C1356,Master!$F$2:$F$13,D1356)))</f>
        <v/>
      </c>
      <c r="G1356" s="5" t="n"/>
      <c r="H1356" s="5" t="n"/>
      <c r="I1356" s="5" t="n"/>
      <c r="J1356" s="6">
        <f>IF(OR(F1356="",COUNT(G1356:I1356)&lt;3),"",F1356+G1356-H1356-I1356)</f>
        <v/>
      </c>
      <c r="K1356" s="6">
        <f>IF(COUNTA(A1356:D1356,G1356:I1356)=0,"",IF(COUNTA(A1356:D1356,G1356:I1356)&lt;7,"LENGKAPI",IF(H1356+I1356&gt;N(F1356)+G1356,"ABNORMAL",IF(COUNTIFS($A$2:$A$2001,A1356,$B$2:$B$2001,B1356,$C$2:$C$2001,C1356,$D$2:$D$2001,D1356)&gt;1,"DUPLIKAT","OK"))))</f>
        <v/>
      </c>
    </row>
    <row r="1357">
      <c r="A1357" s="4" t="n"/>
      <c r="B1357" s="5" t="n"/>
      <c r="C1357" s="5" t="n"/>
      <c r="D1357" s="5" t="n"/>
      <c r="E1357" s="6">
        <f>IF(A1357="","","B"&amp;TEXT(COUNT($A$2:A1357),"00000"))</f>
        <v/>
      </c>
      <c r="F1357" s="6">
        <f>IF(OR(C1357="",D1357=""),"",IFERROR(LOOKUP(2,1/(($C$1:C1356=C1357)*($D$1:D1356=D1357)*ISNUMBER($J$1:J1356)),$J$1:J1356),SUMIFS(Master!$G$2:$G$13,Master!$E$2:$E$13,C1357,Master!$F$2:$F$13,D1357)))</f>
        <v/>
      </c>
      <c r="G1357" s="5" t="n"/>
      <c r="H1357" s="5" t="n"/>
      <c r="I1357" s="5" t="n"/>
      <c r="J1357" s="6">
        <f>IF(OR(F1357="",COUNT(G1357:I1357)&lt;3),"",F1357+G1357-H1357-I1357)</f>
        <v/>
      </c>
      <c r="K1357" s="6">
        <f>IF(COUNTA(A1357:D1357,G1357:I1357)=0,"",IF(COUNTA(A1357:D1357,G1357:I1357)&lt;7,"LENGKAPI",IF(H1357+I1357&gt;N(F1357)+G1357,"ABNORMAL",IF(COUNTIFS($A$2:$A$2001,A1357,$B$2:$B$2001,B1357,$C$2:$C$2001,C1357,$D$2:$D$2001,D1357)&gt;1,"DUPLIKAT","OK"))))</f>
        <v/>
      </c>
    </row>
    <row r="1358">
      <c r="A1358" s="4" t="n"/>
      <c r="B1358" s="5" t="n"/>
      <c r="C1358" s="5" t="n"/>
      <c r="D1358" s="5" t="n"/>
      <c r="E1358" s="6">
        <f>IF(A1358="","","B"&amp;TEXT(COUNT($A$2:A1358),"00000"))</f>
        <v/>
      </c>
      <c r="F1358" s="6">
        <f>IF(OR(C1358="",D1358=""),"",IFERROR(LOOKUP(2,1/(($C$1:C1357=C1358)*($D$1:D1357=D1358)*ISNUMBER($J$1:J1357)),$J$1:J1357),SUMIFS(Master!$G$2:$G$13,Master!$E$2:$E$13,C1358,Master!$F$2:$F$13,D1358)))</f>
        <v/>
      </c>
      <c r="G1358" s="5" t="n"/>
      <c r="H1358" s="5" t="n"/>
      <c r="I1358" s="5" t="n"/>
      <c r="J1358" s="6">
        <f>IF(OR(F1358="",COUNT(G1358:I1358)&lt;3),"",F1358+G1358-H1358-I1358)</f>
        <v/>
      </c>
      <c r="K1358" s="6">
        <f>IF(COUNTA(A1358:D1358,G1358:I1358)=0,"",IF(COUNTA(A1358:D1358,G1358:I1358)&lt;7,"LENGKAPI",IF(H1358+I1358&gt;N(F1358)+G1358,"ABNORMAL",IF(COUNTIFS($A$2:$A$2001,A1358,$B$2:$B$2001,B1358,$C$2:$C$2001,C1358,$D$2:$D$2001,D1358)&gt;1,"DUPLIKAT","OK"))))</f>
        <v/>
      </c>
    </row>
    <row r="1359">
      <c r="A1359" s="4" t="n"/>
      <c r="B1359" s="5" t="n"/>
      <c r="C1359" s="5" t="n"/>
      <c r="D1359" s="5" t="n"/>
      <c r="E1359" s="6">
        <f>IF(A1359="","","B"&amp;TEXT(COUNT($A$2:A1359),"00000"))</f>
        <v/>
      </c>
      <c r="F1359" s="6">
        <f>IF(OR(C1359="",D1359=""),"",IFERROR(LOOKUP(2,1/(($C$1:C1358=C1359)*($D$1:D1358=D1359)*ISNUMBER($J$1:J1358)),$J$1:J1358),SUMIFS(Master!$G$2:$G$13,Master!$E$2:$E$13,C1359,Master!$F$2:$F$13,D1359)))</f>
        <v/>
      </c>
      <c r="G1359" s="5" t="n"/>
      <c r="H1359" s="5" t="n"/>
      <c r="I1359" s="5" t="n"/>
      <c r="J1359" s="6">
        <f>IF(OR(F1359="",COUNT(G1359:I1359)&lt;3),"",F1359+G1359-H1359-I1359)</f>
        <v/>
      </c>
      <c r="K1359" s="6">
        <f>IF(COUNTA(A1359:D1359,G1359:I1359)=0,"",IF(COUNTA(A1359:D1359,G1359:I1359)&lt;7,"LENGKAPI",IF(H1359+I1359&gt;N(F1359)+G1359,"ABNORMAL",IF(COUNTIFS($A$2:$A$2001,A1359,$B$2:$B$2001,B1359,$C$2:$C$2001,C1359,$D$2:$D$2001,D1359)&gt;1,"DUPLIKAT","OK"))))</f>
        <v/>
      </c>
    </row>
    <row r="1360">
      <c r="A1360" s="4" t="n"/>
      <c r="B1360" s="5" t="n"/>
      <c r="C1360" s="5" t="n"/>
      <c r="D1360" s="5" t="n"/>
      <c r="E1360" s="6">
        <f>IF(A1360="","","B"&amp;TEXT(COUNT($A$2:A1360),"00000"))</f>
        <v/>
      </c>
      <c r="F1360" s="6">
        <f>IF(OR(C1360="",D1360=""),"",IFERROR(LOOKUP(2,1/(($C$1:C1359=C1360)*($D$1:D1359=D1360)*ISNUMBER($J$1:J1359)),$J$1:J1359),SUMIFS(Master!$G$2:$G$13,Master!$E$2:$E$13,C1360,Master!$F$2:$F$13,D1360)))</f>
        <v/>
      </c>
      <c r="G1360" s="5" t="n"/>
      <c r="H1360" s="5" t="n"/>
      <c r="I1360" s="5" t="n"/>
      <c r="J1360" s="6">
        <f>IF(OR(F1360="",COUNT(G1360:I1360)&lt;3),"",F1360+G1360-H1360-I1360)</f>
        <v/>
      </c>
      <c r="K1360" s="6">
        <f>IF(COUNTA(A1360:D1360,G1360:I1360)=0,"",IF(COUNTA(A1360:D1360,G1360:I1360)&lt;7,"LENGKAPI",IF(H1360+I1360&gt;N(F1360)+G1360,"ABNORMAL",IF(COUNTIFS($A$2:$A$2001,A1360,$B$2:$B$2001,B1360,$C$2:$C$2001,C1360,$D$2:$D$2001,D1360)&gt;1,"DUPLIKAT","OK"))))</f>
        <v/>
      </c>
    </row>
    <row r="1361">
      <c r="A1361" s="4" t="n"/>
      <c r="B1361" s="5" t="n"/>
      <c r="C1361" s="5" t="n"/>
      <c r="D1361" s="5" t="n"/>
      <c r="E1361" s="6">
        <f>IF(A1361="","","B"&amp;TEXT(COUNT($A$2:A1361),"00000"))</f>
        <v/>
      </c>
      <c r="F1361" s="6">
        <f>IF(OR(C1361="",D1361=""),"",IFERROR(LOOKUP(2,1/(($C$1:C1360=C1361)*($D$1:D1360=D1361)*ISNUMBER($J$1:J1360)),$J$1:J1360),SUMIFS(Master!$G$2:$G$13,Master!$E$2:$E$13,C1361,Master!$F$2:$F$13,D1361)))</f>
        <v/>
      </c>
      <c r="G1361" s="5" t="n"/>
      <c r="H1361" s="5" t="n"/>
      <c r="I1361" s="5" t="n"/>
      <c r="J1361" s="6">
        <f>IF(OR(F1361="",COUNT(G1361:I1361)&lt;3),"",F1361+G1361-H1361-I1361)</f>
        <v/>
      </c>
      <c r="K1361" s="6">
        <f>IF(COUNTA(A1361:D1361,G1361:I1361)=0,"",IF(COUNTA(A1361:D1361,G1361:I1361)&lt;7,"LENGKAPI",IF(H1361+I1361&gt;N(F1361)+G1361,"ABNORMAL",IF(COUNTIFS($A$2:$A$2001,A1361,$B$2:$B$2001,B1361,$C$2:$C$2001,C1361,$D$2:$D$2001,D1361)&gt;1,"DUPLIKAT","OK"))))</f>
        <v/>
      </c>
    </row>
    <row r="1362">
      <c r="A1362" s="4" t="n"/>
      <c r="B1362" s="5" t="n"/>
      <c r="C1362" s="5" t="n"/>
      <c r="D1362" s="5" t="n"/>
      <c r="E1362" s="6">
        <f>IF(A1362="","","B"&amp;TEXT(COUNT($A$2:A1362),"00000"))</f>
        <v/>
      </c>
      <c r="F1362" s="6">
        <f>IF(OR(C1362="",D1362=""),"",IFERROR(LOOKUP(2,1/(($C$1:C1361=C1362)*($D$1:D1361=D1362)*ISNUMBER($J$1:J1361)),$J$1:J1361),SUMIFS(Master!$G$2:$G$13,Master!$E$2:$E$13,C1362,Master!$F$2:$F$13,D1362)))</f>
        <v/>
      </c>
      <c r="G1362" s="5" t="n"/>
      <c r="H1362" s="5" t="n"/>
      <c r="I1362" s="5" t="n"/>
      <c r="J1362" s="6">
        <f>IF(OR(F1362="",COUNT(G1362:I1362)&lt;3),"",F1362+G1362-H1362-I1362)</f>
        <v/>
      </c>
      <c r="K1362" s="6">
        <f>IF(COUNTA(A1362:D1362,G1362:I1362)=0,"",IF(COUNTA(A1362:D1362,G1362:I1362)&lt;7,"LENGKAPI",IF(H1362+I1362&gt;N(F1362)+G1362,"ABNORMAL",IF(COUNTIFS($A$2:$A$2001,A1362,$B$2:$B$2001,B1362,$C$2:$C$2001,C1362,$D$2:$D$2001,D1362)&gt;1,"DUPLIKAT","OK"))))</f>
        <v/>
      </c>
    </row>
    <row r="1363">
      <c r="A1363" s="4" t="n"/>
      <c r="B1363" s="5" t="n"/>
      <c r="C1363" s="5" t="n"/>
      <c r="D1363" s="5" t="n"/>
      <c r="E1363" s="6">
        <f>IF(A1363="","","B"&amp;TEXT(COUNT($A$2:A1363),"00000"))</f>
        <v/>
      </c>
      <c r="F1363" s="6">
        <f>IF(OR(C1363="",D1363=""),"",IFERROR(LOOKUP(2,1/(($C$1:C1362=C1363)*($D$1:D1362=D1363)*ISNUMBER($J$1:J1362)),$J$1:J1362),SUMIFS(Master!$G$2:$G$13,Master!$E$2:$E$13,C1363,Master!$F$2:$F$13,D1363)))</f>
        <v/>
      </c>
      <c r="G1363" s="5" t="n"/>
      <c r="H1363" s="5" t="n"/>
      <c r="I1363" s="5" t="n"/>
      <c r="J1363" s="6">
        <f>IF(OR(F1363="",COUNT(G1363:I1363)&lt;3),"",F1363+G1363-H1363-I1363)</f>
        <v/>
      </c>
      <c r="K1363" s="6">
        <f>IF(COUNTA(A1363:D1363,G1363:I1363)=0,"",IF(COUNTA(A1363:D1363,G1363:I1363)&lt;7,"LENGKAPI",IF(H1363+I1363&gt;N(F1363)+G1363,"ABNORMAL",IF(COUNTIFS($A$2:$A$2001,A1363,$B$2:$B$2001,B1363,$C$2:$C$2001,C1363,$D$2:$D$2001,D1363)&gt;1,"DUPLIKAT","OK"))))</f>
        <v/>
      </c>
    </row>
    <row r="1364">
      <c r="A1364" s="4" t="n"/>
      <c r="B1364" s="5" t="n"/>
      <c r="C1364" s="5" t="n"/>
      <c r="D1364" s="5" t="n"/>
      <c r="E1364" s="6">
        <f>IF(A1364="","","B"&amp;TEXT(COUNT($A$2:A1364),"00000"))</f>
        <v/>
      </c>
      <c r="F1364" s="6">
        <f>IF(OR(C1364="",D1364=""),"",IFERROR(LOOKUP(2,1/(($C$1:C1363=C1364)*($D$1:D1363=D1364)*ISNUMBER($J$1:J1363)),$J$1:J1363),SUMIFS(Master!$G$2:$G$13,Master!$E$2:$E$13,C1364,Master!$F$2:$F$13,D1364)))</f>
        <v/>
      </c>
      <c r="G1364" s="5" t="n"/>
      <c r="H1364" s="5" t="n"/>
      <c r="I1364" s="5" t="n"/>
      <c r="J1364" s="6">
        <f>IF(OR(F1364="",COUNT(G1364:I1364)&lt;3),"",F1364+G1364-H1364-I1364)</f>
        <v/>
      </c>
      <c r="K1364" s="6">
        <f>IF(COUNTA(A1364:D1364,G1364:I1364)=0,"",IF(COUNTA(A1364:D1364,G1364:I1364)&lt;7,"LENGKAPI",IF(H1364+I1364&gt;N(F1364)+G1364,"ABNORMAL",IF(COUNTIFS($A$2:$A$2001,A1364,$B$2:$B$2001,B1364,$C$2:$C$2001,C1364,$D$2:$D$2001,D1364)&gt;1,"DUPLIKAT","OK"))))</f>
        <v/>
      </c>
    </row>
    <row r="1365">
      <c r="A1365" s="4" t="n"/>
      <c r="B1365" s="5" t="n"/>
      <c r="C1365" s="5" t="n"/>
      <c r="D1365" s="5" t="n"/>
      <c r="E1365" s="6">
        <f>IF(A1365="","","B"&amp;TEXT(COUNT($A$2:A1365),"00000"))</f>
        <v/>
      </c>
      <c r="F1365" s="6">
        <f>IF(OR(C1365="",D1365=""),"",IFERROR(LOOKUP(2,1/(($C$1:C1364=C1365)*($D$1:D1364=D1365)*ISNUMBER($J$1:J1364)),$J$1:J1364),SUMIFS(Master!$G$2:$G$13,Master!$E$2:$E$13,C1365,Master!$F$2:$F$13,D1365)))</f>
        <v/>
      </c>
      <c r="G1365" s="5" t="n"/>
      <c r="H1365" s="5" t="n"/>
      <c r="I1365" s="5" t="n"/>
      <c r="J1365" s="6">
        <f>IF(OR(F1365="",COUNT(G1365:I1365)&lt;3),"",F1365+G1365-H1365-I1365)</f>
        <v/>
      </c>
      <c r="K1365" s="6">
        <f>IF(COUNTA(A1365:D1365,G1365:I1365)=0,"",IF(COUNTA(A1365:D1365,G1365:I1365)&lt;7,"LENGKAPI",IF(H1365+I1365&gt;N(F1365)+G1365,"ABNORMAL",IF(COUNTIFS($A$2:$A$2001,A1365,$B$2:$B$2001,B1365,$C$2:$C$2001,C1365,$D$2:$D$2001,D1365)&gt;1,"DUPLIKAT","OK"))))</f>
        <v/>
      </c>
    </row>
    <row r="1366">
      <c r="A1366" s="4" t="n"/>
      <c r="B1366" s="5" t="n"/>
      <c r="C1366" s="5" t="n"/>
      <c r="D1366" s="5" t="n"/>
      <c r="E1366" s="6">
        <f>IF(A1366="","","B"&amp;TEXT(COUNT($A$2:A1366),"00000"))</f>
        <v/>
      </c>
      <c r="F1366" s="6">
        <f>IF(OR(C1366="",D1366=""),"",IFERROR(LOOKUP(2,1/(($C$1:C1365=C1366)*($D$1:D1365=D1366)*ISNUMBER($J$1:J1365)),$J$1:J1365),SUMIFS(Master!$G$2:$G$13,Master!$E$2:$E$13,C1366,Master!$F$2:$F$13,D1366)))</f>
        <v/>
      </c>
      <c r="G1366" s="5" t="n"/>
      <c r="H1366" s="5" t="n"/>
      <c r="I1366" s="5" t="n"/>
      <c r="J1366" s="6">
        <f>IF(OR(F1366="",COUNT(G1366:I1366)&lt;3),"",F1366+G1366-H1366-I1366)</f>
        <v/>
      </c>
      <c r="K1366" s="6">
        <f>IF(COUNTA(A1366:D1366,G1366:I1366)=0,"",IF(COUNTA(A1366:D1366,G1366:I1366)&lt;7,"LENGKAPI",IF(H1366+I1366&gt;N(F1366)+G1366,"ABNORMAL",IF(COUNTIFS($A$2:$A$2001,A1366,$B$2:$B$2001,B1366,$C$2:$C$2001,C1366,$D$2:$D$2001,D1366)&gt;1,"DUPLIKAT","OK"))))</f>
        <v/>
      </c>
    </row>
    <row r="1367">
      <c r="A1367" s="4" t="n"/>
      <c r="B1367" s="5" t="n"/>
      <c r="C1367" s="5" t="n"/>
      <c r="D1367" s="5" t="n"/>
      <c r="E1367" s="6">
        <f>IF(A1367="","","B"&amp;TEXT(COUNT($A$2:A1367),"00000"))</f>
        <v/>
      </c>
      <c r="F1367" s="6">
        <f>IF(OR(C1367="",D1367=""),"",IFERROR(LOOKUP(2,1/(($C$1:C1366=C1367)*($D$1:D1366=D1367)*ISNUMBER($J$1:J1366)),$J$1:J1366),SUMIFS(Master!$G$2:$G$13,Master!$E$2:$E$13,C1367,Master!$F$2:$F$13,D1367)))</f>
        <v/>
      </c>
      <c r="G1367" s="5" t="n"/>
      <c r="H1367" s="5" t="n"/>
      <c r="I1367" s="5" t="n"/>
      <c r="J1367" s="6">
        <f>IF(OR(F1367="",COUNT(G1367:I1367)&lt;3),"",F1367+G1367-H1367-I1367)</f>
        <v/>
      </c>
      <c r="K1367" s="6">
        <f>IF(COUNTA(A1367:D1367,G1367:I1367)=0,"",IF(COUNTA(A1367:D1367,G1367:I1367)&lt;7,"LENGKAPI",IF(H1367+I1367&gt;N(F1367)+G1367,"ABNORMAL",IF(COUNTIFS($A$2:$A$2001,A1367,$B$2:$B$2001,B1367,$C$2:$C$2001,C1367,$D$2:$D$2001,D1367)&gt;1,"DUPLIKAT","OK"))))</f>
        <v/>
      </c>
    </row>
    <row r="1368">
      <c r="A1368" s="4" t="n"/>
      <c r="B1368" s="5" t="n"/>
      <c r="C1368" s="5" t="n"/>
      <c r="D1368" s="5" t="n"/>
      <c r="E1368" s="6">
        <f>IF(A1368="","","B"&amp;TEXT(COUNT($A$2:A1368),"00000"))</f>
        <v/>
      </c>
      <c r="F1368" s="6">
        <f>IF(OR(C1368="",D1368=""),"",IFERROR(LOOKUP(2,1/(($C$1:C1367=C1368)*($D$1:D1367=D1368)*ISNUMBER($J$1:J1367)),$J$1:J1367),SUMIFS(Master!$G$2:$G$13,Master!$E$2:$E$13,C1368,Master!$F$2:$F$13,D1368)))</f>
        <v/>
      </c>
      <c r="G1368" s="5" t="n"/>
      <c r="H1368" s="5" t="n"/>
      <c r="I1368" s="5" t="n"/>
      <c r="J1368" s="6">
        <f>IF(OR(F1368="",COUNT(G1368:I1368)&lt;3),"",F1368+G1368-H1368-I1368)</f>
        <v/>
      </c>
      <c r="K1368" s="6">
        <f>IF(COUNTA(A1368:D1368,G1368:I1368)=0,"",IF(COUNTA(A1368:D1368,G1368:I1368)&lt;7,"LENGKAPI",IF(H1368+I1368&gt;N(F1368)+G1368,"ABNORMAL",IF(COUNTIFS($A$2:$A$2001,A1368,$B$2:$B$2001,B1368,$C$2:$C$2001,C1368,$D$2:$D$2001,D1368)&gt;1,"DUPLIKAT","OK"))))</f>
        <v/>
      </c>
    </row>
    <row r="1369">
      <c r="A1369" s="4" t="n"/>
      <c r="B1369" s="5" t="n"/>
      <c r="C1369" s="5" t="n"/>
      <c r="D1369" s="5" t="n"/>
      <c r="E1369" s="6">
        <f>IF(A1369="","","B"&amp;TEXT(COUNT($A$2:A1369),"00000"))</f>
        <v/>
      </c>
      <c r="F1369" s="6">
        <f>IF(OR(C1369="",D1369=""),"",IFERROR(LOOKUP(2,1/(($C$1:C1368=C1369)*($D$1:D1368=D1369)*ISNUMBER($J$1:J1368)),$J$1:J1368),SUMIFS(Master!$G$2:$G$13,Master!$E$2:$E$13,C1369,Master!$F$2:$F$13,D1369)))</f>
        <v/>
      </c>
      <c r="G1369" s="5" t="n"/>
      <c r="H1369" s="5" t="n"/>
      <c r="I1369" s="5" t="n"/>
      <c r="J1369" s="6">
        <f>IF(OR(F1369="",COUNT(G1369:I1369)&lt;3),"",F1369+G1369-H1369-I1369)</f>
        <v/>
      </c>
      <c r="K1369" s="6">
        <f>IF(COUNTA(A1369:D1369,G1369:I1369)=0,"",IF(COUNTA(A1369:D1369,G1369:I1369)&lt;7,"LENGKAPI",IF(H1369+I1369&gt;N(F1369)+G1369,"ABNORMAL",IF(COUNTIFS($A$2:$A$2001,A1369,$B$2:$B$2001,B1369,$C$2:$C$2001,C1369,$D$2:$D$2001,D1369)&gt;1,"DUPLIKAT","OK"))))</f>
        <v/>
      </c>
    </row>
    <row r="1370">
      <c r="A1370" s="4" t="n"/>
      <c r="B1370" s="5" t="n"/>
      <c r="C1370" s="5" t="n"/>
      <c r="D1370" s="5" t="n"/>
      <c r="E1370" s="6">
        <f>IF(A1370="","","B"&amp;TEXT(COUNT($A$2:A1370),"00000"))</f>
        <v/>
      </c>
      <c r="F1370" s="6">
        <f>IF(OR(C1370="",D1370=""),"",IFERROR(LOOKUP(2,1/(($C$1:C1369=C1370)*($D$1:D1369=D1370)*ISNUMBER($J$1:J1369)),$J$1:J1369),SUMIFS(Master!$G$2:$G$13,Master!$E$2:$E$13,C1370,Master!$F$2:$F$13,D1370)))</f>
        <v/>
      </c>
      <c r="G1370" s="5" t="n"/>
      <c r="H1370" s="5" t="n"/>
      <c r="I1370" s="5" t="n"/>
      <c r="J1370" s="6">
        <f>IF(OR(F1370="",COUNT(G1370:I1370)&lt;3),"",F1370+G1370-H1370-I1370)</f>
        <v/>
      </c>
      <c r="K1370" s="6">
        <f>IF(COUNTA(A1370:D1370,G1370:I1370)=0,"",IF(COUNTA(A1370:D1370,G1370:I1370)&lt;7,"LENGKAPI",IF(H1370+I1370&gt;N(F1370)+G1370,"ABNORMAL",IF(COUNTIFS($A$2:$A$2001,A1370,$B$2:$B$2001,B1370,$C$2:$C$2001,C1370,$D$2:$D$2001,D1370)&gt;1,"DUPLIKAT","OK"))))</f>
        <v/>
      </c>
    </row>
    <row r="1371">
      <c r="A1371" s="4" t="n"/>
      <c r="B1371" s="5" t="n"/>
      <c r="C1371" s="5" t="n"/>
      <c r="D1371" s="5" t="n"/>
      <c r="E1371" s="6">
        <f>IF(A1371="","","B"&amp;TEXT(COUNT($A$2:A1371),"00000"))</f>
        <v/>
      </c>
      <c r="F1371" s="6">
        <f>IF(OR(C1371="",D1371=""),"",IFERROR(LOOKUP(2,1/(($C$1:C1370=C1371)*($D$1:D1370=D1371)*ISNUMBER($J$1:J1370)),$J$1:J1370),SUMIFS(Master!$G$2:$G$13,Master!$E$2:$E$13,C1371,Master!$F$2:$F$13,D1371)))</f>
        <v/>
      </c>
      <c r="G1371" s="5" t="n"/>
      <c r="H1371" s="5" t="n"/>
      <c r="I1371" s="5" t="n"/>
      <c r="J1371" s="6">
        <f>IF(OR(F1371="",COUNT(G1371:I1371)&lt;3),"",F1371+G1371-H1371-I1371)</f>
        <v/>
      </c>
      <c r="K1371" s="6">
        <f>IF(COUNTA(A1371:D1371,G1371:I1371)=0,"",IF(COUNTA(A1371:D1371,G1371:I1371)&lt;7,"LENGKAPI",IF(H1371+I1371&gt;N(F1371)+G1371,"ABNORMAL",IF(COUNTIFS($A$2:$A$2001,A1371,$B$2:$B$2001,B1371,$C$2:$C$2001,C1371,$D$2:$D$2001,D1371)&gt;1,"DUPLIKAT","OK"))))</f>
        <v/>
      </c>
    </row>
    <row r="1372">
      <c r="A1372" s="4" t="n"/>
      <c r="B1372" s="5" t="n"/>
      <c r="C1372" s="5" t="n"/>
      <c r="D1372" s="5" t="n"/>
      <c r="E1372" s="6">
        <f>IF(A1372="","","B"&amp;TEXT(COUNT($A$2:A1372),"00000"))</f>
        <v/>
      </c>
      <c r="F1372" s="6">
        <f>IF(OR(C1372="",D1372=""),"",IFERROR(LOOKUP(2,1/(($C$1:C1371=C1372)*($D$1:D1371=D1372)*ISNUMBER($J$1:J1371)),$J$1:J1371),SUMIFS(Master!$G$2:$G$13,Master!$E$2:$E$13,C1372,Master!$F$2:$F$13,D1372)))</f>
        <v/>
      </c>
      <c r="G1372" s="5" t="n"/>
      <c r="H1372" s="5" t="n"/>
      <c r="I1372" s="5" t="n"/>
      <c r="J1372" s="6">
        <f>IF(OR(F1372="",COUNT(G1372:I1372)&lt;3),"",F1372+G1372-H1372-I1372)</f>
        <v/>
      </c>
      <c r="K1372" s="6">
        <f>IF(COUNTA(A1372:D1372,G1372:I1372)=0,"",IF(COUNTA(A1372:D1372,G1372:I1372)&lt;7,"LENGKAPI",IF(H1372+I1372&gt;N(F1372)+G1372,"ABNORMAL",IF(COUNTIFS($A$2:$A$2001,A1372,$B$2:$B$2001,B1372,$C$2:$C$2001,C1372,$D$2:$D$2001,D1372)&gt;1,"DUPLIKAT","OK"))))</f>
        <v/>
      </c>
    </row>
    <row r="1373">
      <c r="A1373" s="4" t="n"/>
      <c r="B1373" s="5" t="n"/>
      <c r="C1373" s="5" t="n"/>
      <c r="D1373" s="5" t="n"/>
      <c r="E1373" s="6">
        <f>IF(A1373="","","B"&amp;TEXT(COUNT($A$2:A1373),"00000"))</f>
        <v/>
      </c>
      <c r="F1373" s="6">
        <f>IF(OR(C1373="",D1373=""),"",IFERROR(LOOKUP(2,1/(($C$1:C1372=C1373)*($D$1:D1372=D1373)*ISNUMBER($J$1:J1372)),$J$1:J1372),SUMIFS(Master!$G$2:$G$13,Master!$E$2:$E$13,C1373,Master!$F$2:$F$13,D1373)))</f>
        <v/>
      </c>
      <c r="G1373" s="5" t="n"/>
      <c r="H1373" s="5" t="n"/>
      <c r="I1373" s="5" t="n"/>
      <c r="J1373" s="6">
        <f>IF(OR(F1373="",COUNT(G1373:I1373)&lt;3),"",F1373+G1373-H1373-I1373)</f>
        <v/>
      </c>
      <c r="K1373" s="6">
        <f>IF(COUNTA(A1373:D1373,G1373:I1373)=0,"",IF(COUNTA(A1373:D1373,G1373:I1373)&lt;7,"LENGKAPI",IF(H1373+I1373&gt;N(F1373)+G1373,"ABNORMAL",IF(COUNTIFS($A$2:$A$2001,A1373,$B$2:$B$2001,B1373,$C$2:$C$2001,C1373,$D$2:$D$2001,D1373)&gt;1,"DUPLIKAT","OK"))))</f>
        <v/>
      </c>
    </row>
    <row r="1374">
      <c r="A1374" s="4" t="n"/>
      <c r="B1374" s="5" t="n"/>
      <c r="C1374" s="5" t="n"/>
      <c r="D1374" s="5" t="n"/>
      <c r="E1374" s="6">
        <f>IF(A1374="","","B"&amp;TEXT(COUNT($A$2:A1374),"00000"))</f>
        <v/>
      </c>
      <c r="F1374" s="6">
        <f>IF(OR(C1374="",D1374=""),"",IFERROR(LOOKUP(2,1/(($C$1:C1373=C1374)*($D$1:D1373=D1374)*ISNUMBER($J$1:J1373)),$J$1:J1373),SUMIFS(Master!$G$2:$G$13,Master!$E$2:$E$13,C1374,Master!$F$2:$F$13,D1374)))</f>
        <v/>
      </c>
      <c r="G1374" s="5" t="n"/>
      <c r="H1374" s="5" t="n"/>
      <c r="I1374" s="5" t="n"/>
      <c r="J1374" s="6">
        <f>IF(OR(F1374="",COUNT(G1374:I1374)&lt;3),"",F1374+G1374-H1374-I1374)</f>
        <v/>
      </c>
      <c r="K1374" s="6">
        <f>IF(COUNTA(A1374:D1374,G1374:I1374)=0,"",IF(COUNTA(A1374:D1374,G1374:I1374)&lt;7,"LENGKAPI",IF(H1374+I1374&gt;N(F1374)+G1374,"ABNORMAL",IF(COUNTIFS($A$2:$A$2001,A1374,$B$2:$B$2001,B1374,$C$2:$C$2001,C1374,$D$2:$D$2001,D1374)&gt;1,"DUPLIKAT","OK"))))</f>
        <v/>
      </c>
    </row>
    <row r="1375">
      <c r="A1375" s="4" t="n"/>
      <c r="B1375" s="5" t="n"/>
      <c r="C1375" s="5" t="n"/>
      <c r="D1375" s="5" t="n"/>
      <c r="E1375" s="6">
        <f>IF(A1375="","","B"&amp;TEXT(COUNT($A$2:A1375),"00000"))</f>
        <v/>
      </c>
      <c r="F1375" s="6">
        <f>IF(OR(C1375="",D1375=""),"",IFERROR(LOOKUP(2,1/(($C$1:C1374=C1375)*($D$1:D1374=D1375)*ISNUMBER($J$1:J1374)),$J$1:J1374),SUMIFS(Master!$G$2:$G$13,Master!$E$2:$E$13,C1375,Master!$F$2:$F$13,D1375)))</f>
        <v/>
      </c>
      <c r="G1375" s="5" t="n"/>
      <c r="H1375" s="5" t="n"/>
      <c r="I1375" s="5" t="n"/>
      <c r="J1375" s="6">
        <f>IF(OR(F1375="",COUNT(G1375:I1375)&lt;3),"",F1375+G1375-H1375-I1375)</f>
        <v/>
      </c>
      <c r="K1375" s="6">
        <f>IF(COUNTA(A1375:D1375,G1375:I1375)=0,"",IF(COUNTA(A1375:D1375,G1375:I1375)&lt;7,"LENGKAPI",IF(H1375+I1375&gt;N(F1375)+G1375,"ABNORMAL",IF(COUNTIFS($A$2:$A$2001,A1375,$B$2:$B$2001,B1375,$C$2:$C$2001,C1375,$D$2:$D$2001,D1375)&gt;1,"DUPLIKAT","OK"))))</f>
        <v/>
      </c>
    </row>
    <row r="1376">
      <c r="A1376" s="4" t="n"/>
      <c r="B1376" s="5" t="n"/>
      <c r="C1376" s="5" t="n"/>
      <c r="D1376" s="5" t="n"/>
      <c r="E1376" s="6">
        <f>IF(A1376="","","B"&amp;TEXT(COUNT($A$2:A1376),"00000"))</f>
        <v/>
      </c>
      <c r="F1376" s="6">
        <f>IF(OR(C1376="",D1376=""),"",IFERROR(LOOKUP(2,1/(($C$1:C1375=C1376)*($D$1:D1375=D1376)*ISNUMBER($J$1:J1375)),$J$1:J1375),SUMIFS(Master!$G$2:$G$13,Master!$E$2:$E$13,C1376,Master!$F$2:$F$13,D1376)))</f>
        <v/>
      </c>
      <c r="G1376" s="5" t="n"/>
      <c r="H1376" s="5" t="n"/>
      <c r="I1376" s="5" t="n"/>
      <c r="J1376" s="6">
        <f>IF(OR(F1376="",COUNT(G1376:I1376)&lt;3),"",F1376+G1376-H1376-I1376)</f>
        <v/>
      </c>
      <c r="K1376" s="6">
        <f>IF(COUNTA(A1376:D1376,G1376:I1376)=0,"",IF(COUNTA(A1376:D1376,G1376:I1376)&lt;7,"LENGKAPI",IF(H1376+I1376&gt;N(F1376)+G1376,"ABNORMAL",IF(COUNTIFS($A$2:$A$2001,A1376,$B$2:$B$2001,B1376,$C$2:$C$2001,C1376,$D$2:$D$2001,D1376)&gt;1,"DUPLIKAT","OK"))))</f>
        <v/>
      </c>
    </row>
    <row r="1377">
      <c r="A1377" s="4" t="n"/>
      <c r="B1377" s="5" t="n"/>
      <c r="C1377" s="5" t="n"/>
      <c r="D1377" s="5" t="n"/>
      <c r="E1377" s="6">
        <f>IF(A1377="","","B"&amp;TEXT(COUNT($A$2:A1377),"00000"))</f>
        <v/>
      </c>
      <c r="F1377" s="6">
        <f>IF(OR(C1377="",D1377=""),"",IFERROR(LOOKUP(2,1/(($C$1:C1376=C1377)*($D$1:D1376=D1377)*ISNUMBER($J$1:J1376)),$J$1:J1376),SUMIFS(Master!$G$2:$G$13,Master!$E$2:$E$13,C1377,Master!$F$2:$F$13,D1377)))</f>
        <v/>
      </c>
      <c r="G1377" s="5" t="n"/>
      <c r="H1377" s="5" t="n"/>
      <c r="I1377" s="5" t="n"/>
      <c r="J1377" s="6">
        <f>IF(OR(F1377="",COUNT(G1377:I1377)&lt;3),"",F1377+G1377-H1377-I1377)</f>
        <v/>
      </c>
      <c r="K1377" s="6">
        <f>IF(COUNTA(A1377:D1377,G1377:I1377)=0,"",IF(COUNTA(A1377:D1377,G1377:I1377)&lt;7,"LENGKAPI",IF(H1377+I1377&gt;N(F1377)+G1377,"ABNORMAL",IF(COUNTIFS($A$2:$A$2001,A1377,$B$2:$B$2001,B1377,$C$2:$C$2001,C1377,$D$2:$D$2001,D1377)&gt;1,"DUPLIKAT","OK"))))</f>
        <v/>
      </c>
    </row>
    <row r="1378">
      <c r="A1378" s="4" t="n"/>
      <c r="B1378" s="5" t="n"/>
      <c r="C1378" s="5" t="n"/>
      <c r="D1378" s="5" t="n"/>
      <c r="E1378" s="6">
        <f>IF(A1378="","","B"&amp;TEXT(COUNT($A$2:A1378),"00000"))</f>
        <v/>
      </c>
      <c r="F1378" s="6">
        <f>IF(OR(C1378="",D1378=""),"",IFERROR(LOOKUP(2,1/(($C$1:C1377=C1378)*($D$1:D1377=D1378)*ISNUMBER($J$1:J1377)),$J$1:J1377),SUMIFS(Master!$G$2:$G$13,Master!$E$2:$E$13,C1378,Master!$F$2:$F$13,D1378)))</f>
        <v/>
      </c>
      <c r="G1378" s="5" t="n"/>
      <c r="H1378" s="5" t="n"/>
      <c r="I1378" s="5" t="n"/>
      <c r="J1378" s="6">
        <f>IF(OR(F1378="",COUNT(G1378:I1378)&lt;3),"",F1378+G1378-H1378-I1378)</f>
        <v/>
      </c>
      <c r="K1378" s="6">
        <f>IF(COUNTA(A1378:D1378,G1378:I1378)=0,"",IF(COUNTA(A1378:D1378,G1378:I1378)&lt;7,"LENGKAPI",IF(H1378+I1378&gt;N(F1378)+G1378,"ABNORMAL",IF(COUNTIFS($A$2:$A$2001,A1378,$B$2:$B$2001,B1378,$C$2:$C$2001,C1378,$D$2:$D$2001,D1378)&gt;1,"DUPLIKAT","OK"))))</f>
        <v/>
      </c>
    </row>
    <row r="1379">
      <c r="A1379" s="4" t="n"/>
      <c r="B1379" s="5" t="n"/>
      <c r="C1379" s="5" t="n"/>
      <c r="D1379" s="5" t="n"/>
      <c r="E1379" s="6">
        <f>IF(A1379="","","B"&amp;TEXT(COUNT($A$2:A1379),"00000"))</f>
        <v/>
      </c>
      <c r="F1379" s="6">
        <f>IF(OR(C1379="",D1379=""),"",IFERROR(LOOKUP(2,1/(($C$1:C1378=C1379)*($D$1:D1378=D1379)*ISNUMBER($J$1:J1378)),$J$1:J1378),SUMIFS(Master!$G$2:$G$13,Master!$E$2:$E$13,C1379,Master!$F$2:$F$13,D1379)))</f>
        <v/>
      </c>
      <c r="G1379" s="5" t="n"/>
      <c r="H1379" s="5" t="n"/>
      <c r="I1379" s="5" t="n"/>
      <c r="J1379" s="6">
        <f>IF(OR(F1379="",COUNT(G1379:I1379)&lt;3),"",F1379+G1379-H1379-I1379)</f>
        <v/>
      </c>
      <c r="K1379" s="6">
        <f>IF(COUNTA(A1379:D1379,G1379:I1379)=0,"",IF(COUNTA(A1379:D1379,G1379:I1379)&lt;7,"LENGKAPI",IF(H1379+I1379&gt;N(F1379)+G1379,"ABNORMAL",IF(COUNTIFS($A$2:$A$2001,A1379,$B$2:$B$2001,B1379,$C$2:$C$2001,C1379,$D$2:$D$2001,D1379)&gt;1,"DUPLIKAT","OK"))))</f>
        <v/>
      </c>
    </row>
    <row r="1380">
      <c r="A1380" s="4" t="n"/>
      <c r="B1380" s="5" t="n"/>
      <c r="C1380" s="5" t="n"/>
      <c r="D1380" s="5" t="n"/>
      <c r="E1380" s="6">
        <f>IF(A1380="","","B"&amp;TEXT(COUNT($A$2:A1380),"00000"))</f>
        <v/>
      </c>
      <c r="F1380" s="6">
        <f>IF(OR(C1380="",D1380=""),"",IFERROR(LOOKUP(2,1/(($C$1:C1379=C1380)*($D$1:D1379=D1380)*ISNUMBER($J$1:J1379)),$J$1:J1379),SUMIFS(Master!$G$2:$G$13,Master!$E$2:$E$13,C1380,Master!$F$2:$F$13,D1380)))</f>
        <v/>
      </c>
      <c r="G1380" s="5" t="n"/>
      <c r="H1380" s="5" t="n"/>
      <c r="I1380" s="5" t="n"/>
      <c r="J1380" s="6">
        <f>IF(OR(F1380="",COUNT(G1380:I1380)&lt;3),"",F1380+G1380-H1380-I1380)</f>
        <v/>
      </c>
      <c r="K1380" s="6">
        <f>IF(COUNTA(A1380:D1380,G1380:I1380)=0,"",IF(COUNTA(A1380:D1380,G1380:I1380)&lt;7,"LENGKAPI",IF(H1380+I1380&gt;N(F1380)+G1380,"ABNORMAL",IF(COUNTIFS($A$2:$A$2001,A1380,$B$2:$B$2001,B1380,$C$2:$C$2001,C1380,$D$2:$D$2001,D1380)&gt;1,"DUPLIKAT","OK"))))</f>
        <v/>
      </c>
    </row>
    <row r="1381">
      <c r="A1381" s="4" t="n"/>
      <c r="B1381" s="5" t="n"/>
      <c r="C1381" s="5" t="n"/>
      <c r="D1381" s="5" t="n"/>
      <c r="E1381" s="6">
        <f>IF(A1381="","","B"&amp;TEXT(COUNT($A$2:A1381),"00000"))</f>
        <v/>
      </c>
      <c r="F1381" s="6">
        <f>IF(OR(C1381="",D1381=""),"",IFERROR(LOOKUP(2,1/(($C$1:C1380=C1381)*($D$1:D1380=D1381)*ISNUMBER($J$1:J1380)),$J$1:J1380),SUMIFS(Master!$G$2:$G$13,Master!$E$2:$E$13,C1381,Master!$F$2:$F$13,D1381)))</f>
        <v/>
      </c>
      <c r="G1381" s="5" t="n"/>
      <c r="H1381" s="5" t="n"/>
      <c r="I1381" s="5" t="n"/>
      <c r="J1381" s="6">
        <f>IF(OR(F1381="",COUNT(G1381:I1381)&lt;3),"",F1381+G1381-H1381-I1381)</f>
        <v/>
      </c>
      <c r="K1381" s="6">
        <f>IF(COUNTA(A1381:D1381,G1381:I1381)=0,"",IF(COUNTA(A1381:D1381,G1381:I1381)&lt;7,"LENGKAPI",IF(H1381+I1381&gt;N(F1381)+G1381,"ABNORMAL",IF(COUNTIFS($A$2:$A$2001,A1381,$B$2:$B$2001,B1381,$C$2:$C$2001,C1381,$D$2:$D$2001,D1381)&gt;1,"DUPLIKAT","OK"))))</f>
        <v/>
      </c>
    </row>
    <row r="1382">
      <c r="A1382" s="4" t="n"/>
      <c r="B1382" s="5" t="n"/>
      <c r="C1382" s="5" t="n"/>
      <c r="D1382" s="5" t="n"/>
      <c r="E1382" s="6">
        <f>IF(A1382="","","B"&amp;TEXT(COUNT($A$2:A1382),"00000"))</f>
        <v/>
      </c>
      <c r="F1382" s="6">
        <f>IF(OR(C1382="",D1382=""),"",IFERROR(LOOKUP(2,1/(($C$1:C1381=C1382)*($D$1:D1381=D1382)*ISNUMBER($J$1:J1381)),$J$1:J1381),SUMIFS(Master!$G$2:$G$13,Master!$E$2:$E$13,C1382,Master!$F$2:$F$13,D1382)))</f>
        <v/>
      </c>
      <c r="G1382" s="5" t="n"/>
      <c r="H1382" s="5" t="n"/>
      <c r="I1382" s="5" t="n"/>
      <c r="J1382" s="6">
        <f>IF(OR(F1382="",COUNT(G1382:I1382)&lt;3),"",F1382+G1382-H1382-I1382)</f>
        <v/>
      </c>
      <c r="K1382" s="6">
        <f>IF(COUNTA(A1382:D1382,G1382:I1382)=0,"",IF(COUNTA(A1382:D1382,G1382:I1382)&lt;7,"LENGKAPI",IF(H1382+I1382&gt;N(F1382)+G1382,"ABNORMAL",IF(COUNTIFS($A$2:$A$2001,A1382,$B$2:$B$2001,B1382,$C$2:$C$2001,C1382,$D$2:$D$2001,D1382)&gt;1,"DUPLIKAT","OK"))))</f>
        <v/>
      </c>
    </row>
    <row r="1383">
      <c r="A1383" s="4" t="n"/>
      <c r="B1383" s="5" t="n"/>
      <c r="C1383" s="5" t="n"/>
      <c r="D1383" s="5" t="n"/>
      <c r="E1383" s="6">
        <f>IF(A1383="","","B"&amp;TEXT(COUNT($A$2:A1383),"00000"))</f>
        <v/>
      </c>
      <c r="F1383" s="6">
        <f>IF(OR(C1383="",D1383=""),"",IFERROR(LOOKUP(2,1/(($C$1:C1382=C1383)*($D$1:D1382=D1383)*ISNUMBER($J$1:J1382)),$J$1:J1382),SUMIFS(Master!$G$2:$G$13,Master!$E$2:$E$13,C1383,Master!$F$2:$F$13,D1383)))</f>
        <v/>
      </c>
      <c r="G1383" s="5" t="n"/>
      <c r="H1383" s="5" t="n"/>
      <c r="I1383" s="5" t="n"/>
      <c r="J1383" s="6">
        <f>IF(OR(F1383="",COUNT(G1383:I1383)&lt;3),"",F1383+G1383-H1383-I1383)</f>
        <v/>
      </c>
      <c r="K1383" s="6">
        <f>IF(COUNTA(A1383:D1383,G1383:I1383)=0,"",IF(COUNTA(A1383:D1383,G1383:I1383)&lt;7,"LENGKAPI",IF(H1383+I1383&gt;N(F1383)+G1383,"ABNORMAL",IF(COUNTIFS($A$2:$A$2001,A1383,$B$2:$B$2001,B1383,$C$2:$C$2001,C1383,$D$2:$D$2001,D1383)&gt;1,"DUPLIKAT","OK"))))</f>
        <v/>
      </c>
    </row>
    <row r="1384">
      <c r="A1384" s="4" t="n"/>
      <c r="B1384" s="5" t="n"/>
      <c r="C1384" s="5" t="n"/>
      <c r="D1384" s="5" t="n"/>
      <c r="E1384" s="6">
        <f>IF(A1384="","","B"&amp;TEXT(COUNT($A$2:A1384),"00000"))</f>
        <v/>
      </c>
      <c r="F1384" s="6">
        <f>IF(OR(C1384="",D1384=""),"",IFERROR(LOOKUP(2,1/(($C$1:C1383=C1384)*($D$1:D1383=D1384)*ISNUMBER($J$1:J1383)),$J$1:J1383),SUMIFS(Master!$G$2:$G$13,Master!$E$2:$E$13,C1384,Master!$F$2:$F$13,D1384)))</f>
        <v/>
      </c>
      <c r="G1384" s="5" t="n"/>
      <c r="H1384" s="5" t="n"/>
      <c r="I1384" s="5" t="n"/>
      <c r="J1384" s="6">
        <f>IF(OR(F1384="",COUNT(G1384:I1384)&lt;3),"",F1384+G1384-H1384-I1384)</f>
        <v/>
      </c>
      <c r="K1384" s="6">
        <f>IF(COUNTA(A1384:D1384,G1384:I1384)=0,"",IF(COUNTA(A1384:D1384,G1384:I1384)&lt;7,"LENGKAPI",IF(H1384+I1384&gt;N(F1384)+G1384,"ABNORMAL",IF(COUNTIFS($A$2:$A$2001,A1384,$B$2:$B$2001,B1384,$C$2:$C$2001,C1384,$D$2:$D$2001,D1384)&gt;1,"DUPLIKAT","OK"))))</f>
        <v/>
      </c>
    </row>
    <row r="1385">
      <c r="A1385" s="4" t="n"/>
      <c r="B1385" s="5" t="n"/>
      <c r="C1385" s="5" t="n"/>
      <c r="D1385" s="5" t="n"/>
      <c r="E1385" s="6">
        <f>IF(A1385="","","B"&amp;TEXT(COUNT($A$2:A1385),"00000"))</f>
        <v/>
      </c>
      <c r="F1385" s="6">
        <f>IF(OR(C1385="",D1385=""),"",IFERROR(LOOKUP(2,1/(($C$1:C1384=C1385)*($D$1:D1384=D1385)*ISNUMBER($J$1:J1384)),$J$1:J1384),SUMIFS(Master!$G$2:$G$13,Master!$E$2:$E$13,C1385,Master!$F$2:$F$13,D1385)))</f>
        <v/>
      </c>
      <c r="G1385" s="5" t="n"/>
      <c r="H1385" s="5" t="n"/>
      <c r="I1385" s="5" t="n"/>
      <c r="J1385" s="6">
        <f>IF(OR(F1385="",COUNT(G1385:I1385)&lt;3),"",F1385+G1385-H1385-I1385)</f>
        <v/>
      </c>
      <c r="K1385" s="6">
        <f>IF(COUNTA(A1385:D1385,G1385:I1385)=0,"",IF(COUNTA(A1385:D1385,G1385:I1385)&lt;7,"LENGKAPI",IF(H1385+I1385&gt;N(F1385)+G1385,"ABNORMAL",IF(COUNTIFS($A$2:$A$2001,A1385,$B$2:$B$2001,B1385,$C$2:$C$2001,C1385,$D$2:$D$2001,D1385)&gt;1,"DUPLIKAT","OK"))))</f>
        <v/>
      </c>
    </row>
    <row r="1386">
      <c r="A1386" s="4" t="n"/>
      <c r="B1386" s="5" t="n"/>
      <c r="C1386" s="5" t="n"/>
      <c r="D1386" s="5" t="n"/>
      <c r="E1386" s="6">
        <f>IF(A1386="","","B"&amp;TEXT(COUNT($A$2:A1386),"00000"))</f>
        <v/>
      </c>
      <c r="F1386" s="6">
        <f>IF(OR(C1386="",D1386=""),"",IFERROR(LOOKUP(2,1/(($C$1:C1385=C1386)*($D$1:D1385=D1386)*ISNUMBER($J$1:J1385)),$J$1:J1385),SUMIFS(Master!$G$2:$G$13,Master!$E$2:$E$13,C1386,Master!$F$2:$F$13,D1386)))</f>
        <v/>
      </c>
      <c r="G1386" s="5" t="n"/>
      <c r="H1386" s="5" t="n"/>
      <c r="I1386" s="5" t="n"/>
      <c r="J1386" s="6">
        <f>IF(OR(F1386="",COUNT(G1386:I1386)&lt;3),"",F1386+G1386-H1386-I1386)</f>
        <v/>
      </c>
      <c r="K1386" s="6">
        <f>IF(COUNTA(A1386:D1386,G1386:I1386)=0,"",IF(COUNTA(A1386:D1386,G1386:I1386)&lt;7,"LENGKAPI",IF(H1386+I1386&gt;N(F1386)+G1386,"ABNORMAL",IF(COUNTIFS($A$2:$A$2001,A1386,$B$2:$B$2001,B1386,$C$2:$C$2001,C1386,$D$2:$D$2001,D1386)&gt;1,"DUPLIKAT","OK"))))</f>
        <v/>
      </c>
    </row>
    <row r="1387">
      <c r="A1387" s="4" t="n"/>
      <c r="B1387" s="5" t="n"/>
      <c r="C1387" s="5" t="n"/>
      <c r="D1387" s="5" t="n"/>
      <c r="E1387" s="6">
        <f>IF(A1387="","","B"&amp;TEXT(COUNT($A$2:A1387),"00000"))</f>
        <v/>
      </c>
      <c r="F1387" s="6">
        <f>IF(OR(C1387="",D1387=""),"",IFERROR(LOOKUP(2,1/(($C$1:C1386=C1387)*($D$1:D1386=D1387)*ISNUMBER($J$1:J1386)),$J$1:J1386),SUMIFS(Master!$G$2:$G$13,Master!$E$2:$E$13,C1387,Master!$F$2:$F$13,D1387)))</f>
        <v/>
      </c>
      <c r="G1387" s="5" t="n"/>
      <c r="H1387" s="5" t="n"/>
      <c r="I1387" s="5" t="n"/>
      <c r="J1387" s="6">
        <f>IF(OR(F1387="",COUNT(G1387:I1387)&lt;3),"",F1387+G1387-H1387-I1387)</f>
        <v/>
      </c>
      <c r="K1387" s="6">
        <f>IF(COUNTA(A1387:D1387,G1387:I1387)=0,"",IF(COUNTA(A1387:D1387,G1387:I1387)&lt;7,"LENGKAPI",IF(H1387+I1387&gt;N(F1387)+G1387,"ABNORMAL",IF(COUNTIFS($A$2:$A$2001,A1387,$B$2:$B$2001,B1387,$C$2:$C$2001,C1387,$D$2:$D$2001,D1387)&gt;1,"DUPLIKAT","OK"))))</f>
        <v/>
      </c>
    </row>
    <row r="1388">
      <c r="A1388" s="4" t="n"/>
      <c r="B1388" s="5" t="n"/>
      <c r="C1388" s="5" t="n"/>
      <c r="D1388" s="5" t="n"/>
      <c r="E1388" s="6">
        <f>IF(A1388="","","B"&amp;TEXT(COUNT($A$2:A1388),"00000"))</f>
        <v/>
      </c>
      <c r="F1388" s="6">
        <f>IF(OR(C1388="",D1388=""),"",IFERROR(LOOKUP(2,1/(($C$1:C1387=C1388)*($D$1:D1387=D1388)*ISNUMBER($J$1:J1387)),$J$1:J1387),SUMIFS(Master!$G$2:$G$13,Master!$E$2:$E$13,C1388,Master!$F$2:$F$13,D1388)))</f>
        <v/>
      </c>
      <c r="G1388" s="5" t="n"/>
      <c r="H1388" s="5" t="n"/>
      <c r="I1388" s="5" t="n"/>
      <c r="J1388" s="6">
        <f>IF(OR(F1388="",COUNT(G1388:I1388)&lt;3),"",F1388+G1388-H1388-I1388)</f>
        <v/>
      </c>
      <c r="K1388" s="6">
        <f>IF(COUNTA(A1388:D1388,G1388:I1388)=0,"",IF(COUNTA(A1388:D1388,G1388:I1388)&lt;7,"LENGKAPI",IF(H1388+I1388&gt;N(F1388)+G1388,"ABNORMAL",IF(COUNTIFS($A$2:$A$2001,A1388,$B$2:$B$2001,B1388,$C$2:$C$2001,C1388,$D$2:$D$2001,D1388)&gt;1,"DUPLIKAT","OK"))))</f>
        <v/>
      </c>
    </row>
    <row r="1389">
      <c r="A1389" s="4" t="n"/>
      <c r="B1389" s="5" t="n"/>
      <c r="C1389" s="5" t="n"/>
      <c r="D1389" s="5" t="n"/>
      <c r="E1389" s="6">
        <f>IF(A1389="","","B"&amp;TEXT(COUNT($A$2:A1389),"00000"))</f>
        <v/>
      </c>
      <c r="F1389" s="6">
        <f>IF(OR(C1389="",D1389=""),"",IFERROR(LOOKUP(2,1/(($C$1:C1388=C1389)*($D$1:D1388=D1389)*ISNUMBER($J$1:J1388)),$J$1:J1388),SUMIFS(Master!$G$2:$G$13,Master!$E$2:$E$13,C1389,Master!$F$2:$F$13,D1389)))</f>
        <v/>
      </c>
      <c r="G1389" s="5" t="n"/>
      <c r="H1389" s="5" t="n"/>
      <c r="I1389" s="5" t="n"/>
      <c r="J1389" s="6">
        <f>IF(OR(F1389="",COUNT(G1389:I1389)&lt;3),"",F1389+G1389-H1389-I1389)</f>
        <v/>
      </c>
      <c r="K1389" s="6">
        <f>IF(COUNTA(A1389:D1389,G1389:I1389)=0,"",IF(COUNTA(A1389:D1389,G1389:I1389)&lt;7,"LENGKAPI",IF(H1389+I1389&gt;N(F1389)+G1389,"ABNORMAL",IF(COUNTIFS($A$2:$A$2001,A1389,$B$2:$B$2001,B1389,$C$2:$C$2001,C1389,$D$2:$D$2001,D1389)&gt;1,"DUPLIKAT","OK"))))</f>
        <v/>
      </c>
    </row>
    <row r="1390">
      <c r="A1390" s="4" t="n"/>
      <c r="B1390" s="5" t="n"/>
      <c r="C1390" s="5" t="n"/>
      <c r="D1390" s="5" t="n"/>
      <c r="E1390" s="6">
        <f>IF(A1390="","","B"&amp;TEXT(COUNT($A$2:A1390),"00000"))</f>
        <v/>
      </c>
      <c r="F1390" s="6">
        <f>IF(OR(C1390="",D1390=""),"",IFERROR(LOOKUP(2,1/(($C$1:C1389=C1390)*($D$1:D1389=D1390)*ISNUMBER($J$1:J1389)),$J$1:J1389),SUMIFS(Master!$G$2:$G$13,Master!$E$2:$E$13,C1390,Master!$F$2:$F$13,D1390)))</f>
        <v/>
      </c>
      <c r="G1390" s="5" t="n"/>
      <c r="H1390" s="5" t="n"/>
      <c r="I1390" s="5" t="n"/>
      <c r="J1390" s="6">
        <f>IF(OR(F1390="",COUNT(G1390:I1390)&lt;3),"",F1390+G1390-H1390-I1390)</f>
        <v/>
      </c>
      <c r="K1390" s="6">
        <f>IF(COUNTA(A1390:D1390,G1390:I1390)=0,"",IF(COUNTA(A1390:D1390,G1390:I1390)&lt;7,"LENGKAPI",IF(H1390+I1390&gt;N(F1390)+G1390,"ABNORMAL",IF(COUNTIFS($A$2:$A$2001,A1390,$B$2:$B$2001,B1390,$C$2:$C$2001,C1390,$D$2:$D$2001,D1390)&gt;1,"DUPLIKAT","OK"))))</f>
        <v/>
      </c>
    </row>
    <row r="1391">
      <c r="A1391" s="4" t="n"/>
      <c r="B1391" s="5" t="n"/>
      <c r="C1391" s="5" t="n"/>
      <c r="D1391" s="5" t="n"/>
      <c r="E1391" s="6">
        <f>IF(A1391="","","B"&amp;TEXT(COUNT($A$2:A1391),"00000"))</f>
        <v/>
      </c>
      <c r="F1391" s="6">
        <f>IF(OR(C1391="",D1391=""),"",IFERROR(LOOKUP(2,1/(($C$1:C1390=C1391)*($D$1:D1390=D1391)*ISNUMBER($J$1:J1390)),$J$1:J1390),SUMIFS(Master!$G$2:$G$13,Master!$E$2:$E$13,C1391,Master!$F$2:$F$13,D1391)))</f>
        <v/>
      </c>
      <c r="G1391" s="5" t="n"/>
      <c r="H1391" s="5" t="n"/>
      <c r="I1391" s="5" t="n"/>
      <c r="J1391" s="6">
        <f>IF(OR(F1391="",COUNT(G1391:I1391)&lt;3),"",F1391+G1391-H1391-I1391)</f>
        <v/>
      </c>
      <c r="K1391" s="6">
        <f>IF(COUNTA(A1391:D1391,G1391:I1391)=0,"",IF(COUNTA(A1391:D1391,G1391:I1391)&lt;7,"LENGKAPI",IF(H1391+I1391&gt;N(F1391)+G1391,"ABNORMAL",IF(COUNTIFS($A$2:$A$2001,A1391,$B$2:$B$2001,B1391,$C$2:$C$2001,C1391,$D$2:$D$2001,D1391)&gt;1,"DUPLIKAT","OK"))))</f>
        <v/>
      </c>
    </row>
    <row r="1392">
      <c r="A1392" s="4" t="n"/>
      <c r="B1392" s="5" t="n"/>
      <c r="C1392" s="5" t="n"/>
      <c r="D1392" s="5" t="n"/>
      <c r="E1392" s="6">
        <f>IF(A1392="","","B"&amp;TEXT(COUNT($A$2:A1392),"00000"))</f>
        <v/>
      </c>
      <c r="F1392" s="6">
        <f>IF(OR(C1392="",D1392=""),"",IFERROR(LOOKUP(2,1/(($C$1:C1391=C1392)*($D$1:D1391=D1392)*ISNUMBER($J$1:J1391)),$J$1:J1391),SUMIFS(Master!$G$2:$G$13,Master!$E$2:$E$13,C1392,Master!$F$2:$F$13,D1392)))</f>
        <v/>
      </c>
      <c r="G1392" s="5" t="n"/>
      <c r="H1392" s="5" t="n"/>
      <c r="I1392" s="5" t="n"/>
      <c r="J1392" s="6">
        <f>IF(OR(F1392="",COUNT(G1392:I1392)&lt;3),"",F1392+G1392-H1392-I1392)</f>
        <v/>
      </c>
      <c r="K1392" s="6">
        <f>IF(COUNTA(A1392:D1392,G1392:I1392)=0,"",IF(COUNTA(A1392:D1392,G1392:I1392)&lt;7,"LENGKAPI",IF(H1392+I1392&gt;N(F1392)+G1392,"ABNORMAL",IF(COUNTIFS($A$2:$A$2001,A1392,$B$2:$B$2001,B1392,$C$2:$C$2001,C1392,$D$2:$D$2001,D1392)&gt;1,"DUPLIKAT","OK"))))</f>
        <v/>
      </c>
    </row>
    <row r="1393">
      <c r="A1393" s="4" t="n"/>
      <c r="B1393" s="5" t="n"/>
      <c r="C1393" s="5" t="n"/>
      <c r="D1393" s="5" t="n"/>
      <c r="E1393" s="6">
        <f>IF(A1393="","","B"&amp;TEXT(COUNT($A$2:A1393),"00000"))</f>
        <v/>
      </c>
      <c r="F1393" s="6">
        <f>IF(OR(C1393="",D1393=""),"",IFERROR(LOOKUP(2,1/(($C$1:C1392=C1393)*($D$1:D1392=D1393)*ISNUMBER($J$1:J1392)),$J$1:J1392),SUMIFS(Master!$G$2:$G$13,Master!$E$2:$E$13,C1393,Master!$F$2:$F$13,D1393)))</f>
        <v/>
      </c>
      <c r="G1393" s="5" t="n"/>
      <c r="H1393" s="5" t="n"/>
      <c r="I1393" s="5" t="n"/>
      <c r="J1393" s="6">
        <f>IF(OR(F1393="",COUNT(G1393:I1393)&lt;3),"",F1393+G1393-H1393-I1393)</f>
        <v/>
      </c>
      <c r="K1393" s="6">
        <f>IF(COUNTA(A1393:D1393,G1393:I1393)=0,"",IF(COUNTA(A1393:D1393,G1393:I1393)&lt;7,"LENGKAPI",IF(H1393+I1393&gt;N(F1393)+G1393,"ABNORMAL",IF(COUNTIFS($A$2:$A$2001,A1393,$B$2:$B$2001,B1393,$C$2:$C$2001,C1393,$D$2:$D$2001,D1393)&gt;1,"DUPLIKAT","OK"))))</f>
        <v/>
      </c>
    </row>
    <row r="1394">
      <c r="A1394" s="4" t="n"/>
      <c r="B1394" s="5" t="n"/>
      <c r="C1394" s="5" t="n"/>
      <c r="D1394" s="5" t="n"/>
      <c r="E1394" s="6">
        <f>IF(A1394="","","B"&amp;TEXT(COUNT($A$2:A1394),"00000"))</f>
        <v/>
      </c>
      <c r="F1394" s="6">
        <f>IF(OR(C1394="",D1394=""),"",IFERROR(LOOKUP(2,1/(($C$1:C1393=C1394)*($D$1:D1393=D1394)*ISNUMBER($J$1:J1393)),$J$1:J1393),SUMIFS(Master!$G$2:$G$13,Master!$E$2:$E$13,C1394,Master!$F$2:$F$13,D1394)))</f>
        <v/>
      </c>
      <c r="G1394" s="5" t="n"/>
      <c r="H1394" s="5" t="n"/>
      <c r="I1394" s="5" t="n"/>
      <c r="J1394" s="6">
        <f>IF(OR(F1394="",COUNT(G1394:I1394)&lt;3),"",F1394+G1394-H1394-I1394)</f>
        <v/>
      </c>
      <c r="K1394" s="6">
        <f>IF(COUNTA(A1394:D1394,G1394:I1394)=0,"",IF(COUNTA(A1394:D1394,G1394:I1394)&lt;7,"LENGKAPI",IF(H1394+I1394&gt;N(F1394)+G1394,"ABNORMAL",IF(COUNTIFS($A$2:$A$2001,A1394,$B$2:$B$2001,B1394,$C$2:$C$2001,C1394,$D$2:$D$2001,D1394)&gt;1,"DUPLIKAT","OK"))))</f>
        <v/>
      </c>
    </row>
    <row r="1395">
      <c r="A1395" s="4" t="n"/>
      <c r="B1395" s="5" t="n"/>
      <c r="C1395" s="5" t="n"/>
      <c r="D1395" s="5" t="n"/>
      <c r="E1395" s="6">
        <f>IF(A1395="","","B"&amp;TEXT(COUNT($A$2:A1395),"00000"))</f>
        <v/>
      </c>
      <c r="F1395" s="6">
        <f>IF(OR(C1395="",D1395=""),"",IFERROR(LOOKUP(2,1/(($C$1:C1394=C1395)*($D$1:D1394=D1395)*ISNUMBER($J$1:J1394)),$J$1:J1394),SUMIFS(Master!$G$2:$G$13,Master!$E$2:$E$13,C1395,Master!$F$2:$F$13,D1395)))</f>
        <v/>
      </c>
      <c r="G1395" s="5" t="n"/>
      <c r="H1395" s="5" t="n"/>
      <c r="I1395" s="5" t="n"/>
      <c r="J1395" s="6">
        <f>IF(OR(F1395="",COUNT(G1395:I1395)&lt;3),"",F1395+G1395-H1395-I1395)</f>
        <v/>
      </c>
      <c r="K1395" s="6">
        <f>IF(COUNTA(A1395:D1395,G1395:I1395)=0,"",IF(COUNTA(A1395:D1395,G1395:I1395)&lt;7,"LENGKAPI",IF(H1395+I1395&gt;N(F1395)+G1395,"ABNORMAL",IF(COUNTIFS($A$2:$A$2001,A1395,$B$2:$B$2001,B1395,$C$2:$C$2001,C1395,$D$2:$D$2001,D1395)&gt;1,"DUPLIKAT","OK"))))</f>
        <v/>
      </c>
    </row>
    <row r="1396">
      <c r="A1396" s="4" t="n"/>
      <c r="B1396" s="5" t="n"/>
      <c r="C1396" s="5" t="n"/>
      <c r="D1396" s="5" t="n"/>
      <c r="E1396" s="6">
        <f>IF(A1396="","","B"&amp;TEXT(COUNT($A$2:A1396),"00000"))</f>
        <v/>
      </c>
      <c r="F1396" s="6">
        <f>IF(OR(C1396="",D1396=""),"",IFERROR(LOOKUP(2,1/(($C$1:C1395=C1396)*($D$1:D1395=D1396)*ISNUMBER($J$1:J1395)),$J$1:J1395),SUMIFS(Master!$G$2:$G$13,Master!$E$2:$E$13,C1396,Master!$F$2:$F$13,D1396)))</f>
        <v/>
      </c>
      <c r="G1396" s="5" t="n"/>
      <c r="H1396" s="5" t="n"/>
      <c r="I1396" s="5" t="n"/>
      <c r="J1396" s="6">
        <f>IF(OR(F1396="",COUNT(G1396:I1396)&lt;3),"",F1396+G1396-H1396-I1396)</f>
        <v/>
      </c>
      <c r="K1396" s="6">
        <f>IF(COUNTA(A1396:D1396,G1396:I1396)=0,"",IF(COUNTA(A1396:D1396,G1396:I1396)&lt;7,"LENGKAPI",IF(H1396+I1396&gt;N(F1396)+G1396,"ABNORMAL",IF(COUNTIFS($A$2:$A$2001,A1396,$B$2:$B$2001,B1396,$C$2:$C$2001,C1396,$D$2:$D$2001,D1396)&gt;1,"DUPLIKAT","OK"))))</f>
        <v/>
      </c>
    </row>
    <row r="1397">
      <c r="A1397" s="4" t="n"/>
      <c r="B1397" s="5" t="n"/>
      <c r="C1397" s="5" t="n"/>
      <c r="D1397" s="5" t="n"/>
      <c r="E1397" s="6">
        <f>IF(A1397="","","B"&amp;TEXT(COUNT($A$2:A1397),"00000"))</f>
        <v/>
      </c>
      <c r="F1397" s="6">
        <f>IF(OR(C1397="",D1397=""),"",IFERROR(LOOKUP(2,1/(($C$1:C1396=C1397)*($D$1:D1396=D1397)*ISNUMBER($J$1:J1396)),$J$1:J1396),SUMIFS(Master!$G$2:$G$13,Master!$E$2:$E$13,C1397,Master!$F$2:$F$13,D1397)))</f>
        <v/>
      </c>
      <c r="G1397" s="5" t="n"/>
      <c r="H1397" s="5" t="n"/>
      <c r="I1397" s="5" t="n"/>
      <c r="J1397" s="6">
        <f>IF(OR(F1397="",COUNT(G1397:I1397)&lt;3),"",F1397+G1397-H1397-I1397)</f>
        <v/>
      </c>
      <c r="K1397" s="6">
        <f>IF(COUNTA(A1397:D1397,G1397:I1397)=0,"",IF(COUNTA(A1397:D1397,G1397:I1397)&lt;7,"LENGKAPI",IF(H1397+I1397&gt;N(F1397)+G1397,"ABNORMAL",IF(COUNTIFS($A$2:$A$2001,A1397,$B$2:$B$2001,B1397,$C$2:$C$2001,C1397,$D$2:$D$2001,D1397)&gt;1,"DUPLIKAT","OK"))))</f>
        <v/>
      </c>
    </row>
    <row r="1398">
      <c r="A1398" s="4" t="n"/>
      <c r="B1398" s="5" t="n"/>
      <c r="C1398" s="5" t="n"/>
      <c r="D1398" s="5" t="n"/>
      <c r="E1398" s="6">
        <f>IF(A1398="","","B"&amp;TEXT(COUNT($A$2:A1398),"00000"))</f>
        <v/>
      </c>
      <c r="F1398" s="6">
        <f>IF(OR(C1398="",D1398=""),"",IFERROR(LOOKUP(2,1/(($C$1:C1397=C1398)*($D$1:D1397=D1398)*ISNUMBER($J$1:J1397)),$J$1:J1397),SUMIFS(Master!$G$2:$G$13,Master!$E$2:$E$13,C1398,Master!$F$2:$F$13,D1398)))</f>
        <v/>
      </c>
      <c r="G1398" s="5" t="n"/>
      <c r="H1398" s="5" t="n"/>
      <c r="I1398" s="5" t="n"/>
      <c r="J1398" s="6">
        <f>IF(OR(F1398="",COUNT(G1398:I1398)&lt;3),"",F1398+G1398-H1398-I1398)</f>
        <v/>
      </c>
      <c r="K1398" s="6">
        <f>IF(COUNTA(A1398:D1398,G1398:I1398)=0,"",IF(COUNTA(A1398:D1398,G1398:I1398)&lt;7,"LENGKAPI",IF(H1398+I1398&gt;N(F1398)+G1398,"ABNORMAL",IF(COUNTIFS($A$2:$A$2001,A1398,$B$2:$B$2001,B1398,$C$2:$C$2001,C1398,$D$2:$D$2001,D1398)&gt;1,"DUPLIKAT","OK"))))</f>
        <v/>
      </c>
    </row>
    <row r="1399">
      <c r="A1399" s="4" t="n"/>
      <c r="B1399" s="5" t="n"/>
      <c r="C1399" s="5" t="n"/>
      <c r="D1399" s="5" t="n"/>
      <c r="E1399" s="6">
        <f>IF(A1399="","","B"&amp;TEXT(COUNT($A$2:A1399),"00000"))</f>
        <v/>
      </c>
      <c r="F1399" s="6">
        <f>IF(OR(C1399="",D1399=""),"",IFERROR(LOOKUP(2,1/(($C$1:C1398=C1399)*($D$1:D1398=D1399)*ISNUMBER($J$1:J1398)),$J$1:J1398),SUMIFS(Master!$G$2:$G$13,Master!$E$2:$E$13,C1399,Master!$F$2:$F$13,D1399)))</f>
        <v/>
      </c>
      <c r="G1399" s="5" t="n"/>
      <c r="H1399" s="5" t="n"/>
      <c r="I1399" s="5" t="n"/>
      <c r="J1399" s="6">
        <f>IF(OR(F1399="",COUNT(G1399:I1399)&lt;3),"",F1399+G1399-H1399-I1399)</f>
        <v/>
      </c>
      <c r="K1399" s="6">
        <f>IF(COUNTA(A1399:D1399,G1399:I1399)=0,"",IF(COUNTA(A1399:D1399,G1399:I1399)&lt;7,"LENGKAPI",IF(H1399+I1399&gt;N(F1399)+G1399,"ABNORMAL",IF(COUNTIFS($A$2:$A$2001,A1399,$B$2:$B$2001,B1399,$C$2:$C$2001,C1399,$D$2:$D$2001,D1399)&gt;1,"DUPLIKAT","OK"))))</f>
        <v/>
      </c>
    </row>
    <row r="1400">
      <c r="A1400" s="4" t="n"/>
      <c r="B1400" s="5" t="n"/>
      <c r="C1400" s="5" t="n"/>
      <c r="D1400" s="5" t="n"/>
      <c r="E1400" s="6">
        <f>IF(A1400="","","B"&amp;TEXT(COUNT($A$2:A1400),"00000"))</f>
        <v/>
      </c>
      <c r="F1400" s="6">
        <f>IF(OR(C1400="",D1400=""),"",IFERROR(LOOKUP(2,1/(($C$1:C1399=C1400)*($D$1:D1399=D1400)*ISNUMBER($J$1:J1399)),$J$1:J1399),SUMIFS(Master!$G$2:$G$13,Master!$E$2:$E$13,C1400,Master!$F$2:$F$13,D1400)))</f>
        <v/>
      </c>
      <c r="G1400" s="5" t="n"/>
      <c r="H1400" s="5" t="n"/>
      <c r="I1400" s="5" t="n"/>
      <c r="J1400" s="6">
        <f>IF(OR(F1400="",COUNT(G1400:I1400)&lt;3),"",F1400+G1400-H1400-I1400)</f>
        <v/>
      </c>
      <c r="K1400" s="6">
        <f>IF(COUNTA(A1400:D1400,G1400:I1400)=0,"",IF(COUNTA(A1400:D1400,G1400:I1400)&lt;7,"LENGKAPI",IF(H1400+I1400&gt;N(F1400)+G1400,"ABNORMAL",IF(COUNTIFS($A$2:$A$2001,A1400,$B$2:$B$2001,B1400,$C$2:$C$2001,C1400,$D$2:$D$2001,D1400)&gt;1,"DUPLIKAT","OK"))))</f>
        <v/>
      </c>
    </row>
    <row r="1401">
      <c r="A1401" s="4" t="n"/>
      <c r="B1401" s="5" t="n"/>
      <c r="C1401" s="5" t="n"/>
      <c r="D1401" s="5" t="n"/>
      <c r="E1401" s="6">
        <f>IF(A1401="","","B"&amp;TEXT(COUNT($A$2:A1401),"00000"))</f>
        <v/>
      </c>
      <c r="F1401" s="6">
        <f>IF(OR(C1401="",D1401=""),"",IFERROR(LOOKUP(2,1/(($C$1:C1400=C1401)*($D$1:D1400=D1401)*ISNUMBER($J$1:J1400)),$J$1:J1400),SUMIFS(Master!$G$2:$G$13,Master!$E$2:$E$13,C1401,Master!$F$2:$F$13,D1401)))</f>
        <v/>
      </c>
      <c r="G1401" s="5" t="n"/>
      <c r="H1401" s="5" t="n"/>
      <c r="I1401" s="5" t="n"/>
      <c r="J1401" s="6">
        <f>IF(OR(F1401="",COUNT(G1401:I1401)&lt;3),"",F1401+G1401-H1401-I1401)</f>
        <v/>
      </c>
      <c r="K1401" s="6">
        <f>IF(COUNTA(A1401:D1401,G1401:I1401)=0,"",IF(COUNTA(A1401:D1401,G1401:I1401)&lt;7,"LENGKAPI",IF(H1401+I1401&gt;N(F1401)+G1401,"ABNORMAL",IF(COUNTIFS($A$2:$A$2001,A1401,$B$2:$B$2001,B1401,$C$2:$C$2001,C1401,$D$2:$D$2001,D1401)&gt;1,"DUPLIKAT","OK"))))</f>
        <v/>
      </c>
    </row>
    <row r="1402">
      <c r="A1402" s="4" t="n"/>
      <c r="B1402" s="5" t="n"/>
      <c r="C1402" s="5" t="n"/>
      <c r="D1402" s="5" t="n"/>
      <c r="E1402" s="6">
        <f>IF(A1402="","","B"&amp;TEXT(COUNT($A$2:A1402),"00000"))</f>
        <v/>
      </c>
      <c r="F1402" s="6">
        <f>IF(OR(C1402="",D1402=""),"",IFERROR(LOOKUP(2,1/(($C$1:C1401=C1402)*($D$1:D1401=D1402)*ISNUMBER($J$1:J1401)),$J$1:J1401),SUMIFS(Master!$G$2:$G$13,Master!$E$2:$E$13,C1402,Master!$F$2:$F$13,D1402)))</f>
        <v/>
      </c>
      <c r="G1402" s="5" t="n"/>
      <c r="H1402" s="5" t="n"/>
      <c r="I1402" s="5" t="n"/>
      <c r="J1402" s="6">
        <f>IF(OR(F1402="",COUNT(G1402:I1402)&lt;3),"",F1402+G1402-H1402-I1402)</f>
        <v/>
      </c>
      <c r="K1402" s="6">
        <f>IF(COUNTA(A1402:D1402,G1402:I1402)=0,"",IF(COUNTA(A1402:D1402,G1402:I1402)&lt;7,"LENGKAPI",IF(H1402+I1402&gt;N(F1402)+G1402,"ABNORMAL",IF(COUNTIFS($A$2:$A$2001,A1402,$B$2:$B$2001,B1402,$C$2:$C$2001,C1402,$D$2:$D$2001,D1402)&gt;1,"DUPLIKAT","OK"))))</f>
        <v/>
      </c>
    </row>
    <row r="1403">
      <c r="A1403" s="4" t="n"/>
      <c r="B1403" s="5" t="n"/>
      <c r="C1403" s="5" t="n"/>
      <c r="D1403" s="5" t="n"/>
      <c r="E1403" s="6">
        <f>IF(A1403="","","B"&amp;TEXT(COUNT($A$2:A1403),"00000"))</f>
        <v/>
      </c>
      <c r="F1403" s="6">
        <f>IF(OR(C1403="",D1403=""),"",IFERROR(LOOKUP(2,1/(($C$1:C1402=C1403)*($D$1:D1402=D1403)*ISNUMBER($J$1:J1402)),$J$1:J1402),SUMIFS(Master!$G$2:$G$13,Master!$E$2:$E$13,C1403,Master!$F$2:$F$13,D1403)))</f>
        <v/>
      </c>
      <c r="G1403" s="5" t="n"/>
      <c r="H1403" s="5" t="n"/>
      <c r="I1403" s="5" t="n"/>
      <c r="J1403" s="6">
        <f>IF(OR(F1403="",COUNT(G1403:I1403)&lt;3),"",F1403+G1403-H1403-I1403)</f>
        <v/>
      </c>
      <c r="K1403" s="6">
        <f>IF(COUNTA(A1403:D1403,G1403:I1403)=0,"",IF(COUNTA(A1403:D1403,G1403:I1403)&lt;7,"LENGKAPI",IF(H1403+I1403&gt;N(F1403)+G1403,"ABNORMAL",IF(COUNTIFS($A$2:$A$2001,A1403,$B$2:$B$2001,B1403,$C$2:$C$2001,C1403,$D$2:$D$2001,D1403)&gt;1,"DUPLIKAT","OK"))))</f>
        <v/>
      </c>
    </row>
    <row r="1404">
      <c r="A1404" s="4" t="n"/>
      <c r="B1404" s="5" t="n"/>
      <c r="C1404" s="5" t="n"/>
      <c r="D1404" s="5" t="n"/>
      <c r="E1404" s="6">
        <f>IF(A1404="","","B"&amp;TEXT(COUNT($A$2:A1404),"00000"))</f>
        <v/>
      </c>
      <c r="F1404" s="6">
        <f>IF(OR(C1404="",D1404=""),"",IFERROR(LOOKUP(2,1/(($C$1:C1403=C1404)*($D$1:D1403=D1404)*ISNUMBER($J$1:J1403)),$J$1:J1403),SUMIFS(Master!$G$2:$G$13,Master!$E$2:$E$13,C1404,Master!$F$2:$F$13,D1404)))</f>
        <v/>
      </c>
      <c r="G1404" s="5" t="n"/>
      <c r="H1404" s="5" t="n"/>
      <c r="I1404" s="5" t="n"/>
      <c r="J1404" s="6">
        <f>IF(OR(F1404="",COUNT(G1404:I1404)&lt;3),"",F1404+G1404-H1404-I1404)</f>
        <v/>
      </c>
      <c r="K1404" s="6">
        <f>IF(COUNTA(A1404:D1404,G1404:I1404)=0,"",IF(COUNTA(A1404:D1404,G1404:I1404)&lt;7,"LENGKAPI",IF(H1404+I1404&gt;N(F1404)+G1404,"ABNORMAL",IF(COUNTIFS($A$2:$A$2001,A1404,$B$2:$B$2001,B1404,$C$2:$C$2001,C1404,$D$2:$D$2001,D1404)&gt;1,"DUPLIKAT","OK"))))</f>
        <v/>
      </c>
    </row>
    <row r="1405">
      <c r="A1405" s="4" t="n"/>
      <c r="B1405" s="5" t="n"/>
      <c r="C1405" s="5" t="n"/>
      <c r="D1405" s="5" t="n"/>
      <c r="E1405" s="6">
        <f>IF(A1405="","","B"&amp;TEXT(COUNT($A$2:A1405),"00000"))</f>
        <v/>
      </c>
      <c r="F1405" s="6">
        <f>IF(OR(C1405="",D1405=""),"",IFERROR(LOOKUP(2,1/(($C$1:C1404=C1405)*($D$1:D1404=D1405)*ISNUMBER($J$1:J1404)),$J$1:J1404),SUMIFS(Master!$G$2:$G$13,Master!$E$2:$E$13,C1405,Master!$F$2:$F$13,D1405)))</f>
        <v/>
      </c>
      <c r="G1405" s="5" t="n"/>
      <c r="H1405" s="5" t="n"/>
      <c r="I1405" s="5" t="n"/>
      <c r="J1405" s="6">
        <f>IF(OR(F1405="",COUNT(G1405:I1405)&lt;3),"",F1405+G1405-H1405-I1405)</f>
        <v/>
      </c>
      <c r="K1405" s="6">
        <f>IF(COUNTA(A1405:D1405,G1405:I1405)=0,"",IF(COUNTA(A1405:D1405,G1405:I1405)&lt;7,"LENGKAPI",IF(H1405+I1405&gt;N(F1405)+G1405,"ABNORMAL",IF(COUNTIFS($A$2:$A$2001,A1405,$B$2:$B$2001,B1405,$C$2:$C$2001,C1405,$D$2:$D$2001,D1405)&gt;1,"DUPLIKAT","OK"))))</f>
        <v/>
      </c>
    </row>
    <row r="1406">
      <c r="A1406" s="4" t="n"/>
      <c r="B1406" s="5" t="n"/>
      <c r="C1406" s="5" t="n"/>
      <c r="D1406" s="5" t="n"/>
      <c r="E1406" s="6">
        <f>IF(A1406="","","B"&amp;TEXT(COUNT($A$2:A1406),"00000"))</f>
        <v/>
      </c>
      <c r="F1406" s="6">
        <f>IF(OR(C1406="",D1406=""),"",IFERROR(LOOKUP(2,1/(($C$1:C1405=C1406)*($D$1:D1405=D1406)*ISNUMBER($J$1:J1405)),$J$1:J1405),SUMIFS(Master!$G$2:$G$13,Master!$E$2:$E$13,C1406,Master!$F$2:$F$13,D1406)))</f>
        <v/>
      </c>
      <c r="G1406" s="5" t="n"/>
      <c r="H1406" s="5" t="n"/>
      <c r="I1406" s="5" t="n"/>
      <c r="J1406" s="6">
        <f>IF(OR(F1406="",COUNT(G1406:I1406)&lt;3),"",F1406+G1406-H1406-I1406)</f>
        <v/>
      </c>
      <c r="K1406" s="6">
        <f>IF(COUNTA(A1406:D1406,G1406:I1406)=0,"",IF(COUNTA(A1406:D1406,G1406:I1406)&lt;7,"LENGKAPI",IF(H1406+I1406&gt;N(F1406)+G1406,"ABNORMAL",IF(COUNTIFS($A$2:$A$2001,A1406,$B$2:$B$2001,B1406,$C$2:$C$2001,C1406,$D$2:$D$2001,D1406)&gt;1,"DUPLIKAT","OK"))))</f>
        <v/>
      </c>
    </row>
    <row r="1407">
      <c r="A1407" s="4" t="n"/>
      <c r="B1407" s="5" t="n"/>
      <c r="C1407" s="5" t="n"/>
      <c r="D1407" s="5" t="n"/>
      <c r="E1407" s="6">
        <f>IF(A1407="","","B"&amp;TEXT(COUNT($A$2:A1407),"00000"))</f>
        <v/>
      </c>
      <c r="F1407" s="6">
        <f>IF(OR(C1407="",D1407=""),"",IFERROR(LOOKUP(2,1/(($C$1:C1406=C1407)*($D$1:D1406=D1407)*ISNUMBER($J$1:J1406)),$J$1:J1406),SUMIFS(Master!$G$2:$G$13,Master!$E$2:$E$13,C1407,Master!$F$2:$F$13,D1407)))</f>
        <v/>
      </c>
      <c r="G1407" s="5" t="n"/>
      <c r="H1407" s="5" t="n"/>
      <c r="I1407" s="5" t="n"/>
      <c r="J1407" s="6">
        <f>IF(OR(F1407="",COUNT(G1407:I1407)&lt;3),"",F1407+G1407-H1407-I1407)</f>
        <v/>
      </c>
      <c r="K1407" s="6">
        <f>IF(COUNTA(A1407:D1407,G1407:I1407)=0,"",IF(COUNTA(A1407:D1407,G1407:I1407)&lt;7,"LENGKAPI",IF(H1407+I1407&gt;N(F1407)+G1407,"ABNORMAL",IF(COUNTIFS($A$2:$A$2001,A1407,$B$2:$B$2001,B1407,$C$2:$C$2001,C1407,$D$2:$D$2001,D1407)&gt;1,"DUPLIKAT","OK"))))</f>
        <v/>
      </c>
    </row>
    <row r="1408">
      <c r="A1408" s="4" t="n"/>
      <c r="B1408" s="5" t="n"/>
      <c r="C1408" s="5" t="n"/>
      <c r="D1408" s="5" t="n"/>
      <c r="E1408" s="6">
        <f>IF(A1408="","","B"&amp;TEXT(COUNT($A$2:A1408),"00000"))</f>
        <v/>
      </c>
      <c r="F1408" s="6">
        <f>IF(OR(C1408="",D1408=""),"",IFERROR(LOOKUP(2,1/(($C$1:C1407=C1408)*($D$1:D1407=D1408)*ISNUMBER($J$1:J1407)),$J$1:J1407),SUMIFS(Master!$G$2:$G$13,Master!$E$2:$E$13,C1408,Master!$F$2:$F$13,D1408)))</f>
        <v/>
      </c>
      <c r="G1408" s="5" t="n"/>
      <c r="H1408" s="5" t="n"/>
      <c r="I1408" s="5" t="n"/>
      <c r="J1408" s="6">
        <f>IF(OR(F1408="",COUNT(G1408:I1408)&lt;3),"",F1408+G1408-H1408-I1408)</f>
        <v/>
      </c>
      <c r="K1408" s="6">
        <f>IF(COUNTA(A1408:D1408,G1408:I1408)=0,"",IF(COUNTA(A1408:D1408,G1408:I1408)&lt;7,"LENGKAPI",IF(H1408+I1408&gt;N(F1408)+G1408,"ABNORMAL",IF(COUNTIFS($A$2:$A$2001,A1408,$B$2:$B$2001,B1408,$C$2:$C$2001,C1408,$D$2:$D$2001,D1408)&gt;1,"DUPLIKAT","OK"))))</f>
        <v/>
      </c>
    </row>
    <row r="1409">
      <c r="A1409" s="4" t="n"/>
      <c r="B1409" s="5" t="n"/>
      <c r="C1409" s="5" t="n"/>
      <c r="D1409" s="5" t="n"/>
      <c r="E1409" s="6">
        <f>IF(A1409="","","B"&amp;TEXT(COUNT($A$2:A1409),"00000"))</f>
        <v/>
      </c>
      <c r="F1409" s="6">
        <f>IF(OR(C1409="",D1409=""),"",IFERROR(LOOKUP(2,1/(($C$1:C1408=C1409)*($D$1:D1408=D1409)*ISNUMBER($J$1:J1408)),$J$1:J1408),SUMIFS(Master!$G$2:$G$13,Master!$E$2:$E$13,C1409,Master!$F$2:$F$13,D1409)))</f>
        <v/>
      </c>
      <c r="G1409" s="5" t="n"/>
      <c r="H1409" s="5" t="n"/>
      <c r="I1409" s="5" t="n"/>
      <c r="J1409" s="6">
        <f>IF(OR(F1409="",COUNT(G1409:I1409)&lt;3),"",F1409+G1409-H1409-I1409)</f>
        <v/>
      </c>
      <c r="K1409" s="6">
        <f>IF(COUNTA(A1409:D1409,G1409:I1409)=0,"",IF(COUNTA(A1409:D1409,G1409:I1409)&lt;7,"LENGKAPI",IF(H1409+I1409&gt;N(F1409)+G1409,"ABNORMAL",IF(COUNTIFS($A$2:$A$2001,A1409,$B$2:$B$2001,B1409,$C$2:$C$2001,C1409,$D$2:$D$2001,D1409)&gt;1,"DUPLIKAT","OK"))))</f>
        <v/>
      </c>
    </row>
    <row r="1410">
      <c r="A1410" s="4" t="n"/>
      <c r="B1410" s="5" t="n"/>
      <c r="C1410" s="5" t="n"/>
      <c r="D1410" s="5" t="n"/>
      <c r="E1410" s="6">
        <f>IF(A1410="","","B"&amp;TEXT(COUNT($A$2:A1410),"00000"))</f>
        <v/>
      </c>
      <c r="F1410" s="6">
        <f>IF(OR(C1410="",D1410=""),"",IFERROR(LOOKUP(2,1/(($C$1:C1409=C1410)*($D$1:D1409=D1410)*ISNUMBER($J$1:J1409)),$J$1:J1409),SUMIFS(Master!$G$2:$G$13,Master!$E$2:$E$13,C1410,Master!$F$2:$F$13,D1410)))</f>
        <v/>
      </c>
      <c r="G1410" s="5" t="n"/>
      <c r="H1410" s="5" t="n"/>
      <c r="I1410" s="5" t="n"/>
      <c r="J1410" s="6">
        <f>IF(OR(F1410="",COUNT(G1410:I1410)&lt;3),"",F1410+G1410-H1410-I1410)</f>
        <v/>
      </c>
      <c r="K1410" s="6">
        <f>IF(COUNTA(A1410:D1410,G1410:I1410)=0,"",IF(COUNTA(A1410:D1410,G1410:I1410)&lt;7,"LENGKAPI",IF(H1410+I1410&gt;N(F1410)+G1410,"ABNORMAL",IF(COUNTIFS($A$2:$A$2001,A1410,$B$2:$B$2001,B1410,$C$2:$C$2001,C1410,$D$2:$D$2001,D1410)&gt;1,"DUPLIKAT","OK"))))</f>
        <v/>
      </c>
    </row>
    <row r="1411">
      <c r="A1411" s="4" t="n"/>
      <c r="B1411" s="5" t="n"/>
      <c r="C1411" s="5" t="n"/>
      <c r="D1411" s="5" t="n"/>
      <c r="E1411" s="6">
        <f>IF(A1411="","","B"&amp;TEXT(COUNT($A$2:A1411),"00000"))</f>
        <v/>
      </c>
      <c r="F1411" s="6">
        <f>IF(OR(C1411="",D1411=""),"",IFERROR(LOOKUP(2,1/(($C$1:C1410=C1411)*($D$1:D1410=D1411)*ISNUMBER($J$1:J1410)),$J$1:J1410),SUMIFS(Master!$G$2:$G$13,Master!$E$2:$E$13,C1411,Master!$F$2:$F$13,D1411)))</f>
        <v/>
      </c>
      <c r="G1411" s="5" t="n"/>
      <c r="H1411" s="5" t="n"/>
      <c r="I1411" s="5" t="n"/>
      <c r="J1411" s="6">
        <f>IF(OR(F1411="",COUNT(G1411:I1411)&lt;3),"",F1411+G1411-H1411-I1411)</f>
        <v/>
      </c>
      <c r="K1411" s="6">
        <f>IF(COUNTA(A1411:D1411,G1411:I1411)=0,"",IF(COUNTA(A1411:D1411,G1411:I1411)&lt;7,"LENGKAPI",IF(H1411+I1411&gt;N(F1411)+G1411,"ABNORMAL",IF(COUNTIFS($A$2:$A$2001,A1411,$B$2:$B$2001,B1411,$C$2:$C$2001,C1411,$D$2:$D$2001,D1411)&gt;1,"DUPLIKAT","OK"))))</f>
        <v/>
      </c>
    </row>
    <row r="1412">
      <c r="A1412" s="4" t="n"/>
      <c r="B1412" s="5" t="n"/>
      <c r="C1412" s="5" t="n"/>
      <c r="D1412" s="5" t="n"/>
      <c r="E1412" s="6">
        <f>IF(A1412="","","B"&amp;TEXT(COUNT($A$2:A1412),"00000"))</f>
        <v/>
      </c>
      <c r="F1412" s="6">
        <f>IF(OR(C1412="",D1412=""),"",IFERROR(LOOKUP(2,1/(($C$1:C1411=C1412)*($D$1:D1411=D1412)*ISNUMBER($J$1:J1411)),$J$1:J1411),SUMIFS(Master!$G$2:$G$13,Master!$E$2:$E$13,C1412,Master!$F$2:$F$13,D1412)))</f>
        <v/>
      </c>
      <c r="G1412" s="5" t="n"/>
      <c r="H1412" s="5" t="n"/>
      <c r="I1412" s="5" t="n"/>
      <c r="J1412" s="6">
        <f>IF(OR(F1412="",COUNT(G1412:I1412)&lt;3),"",F1412+G1412-H1412-I1412)</f>
        <v/>
      </c>
      <c r="K1412" s="6">
        <f>IF(COUNTA(A1412:D1412,G1412:I1412)=0,"",IF(COUNTA(A1412:D1412,G1412:I1412)&lt;7,"LENGKAPI",IF(H1412+I1412&gt;N(F1412)+G1412,"ABNORMAL",IF(COUNTIFS($A$2:$A$2001,A1412,$B$2:$B$2001,B1412,$C$2:$C$2001,C1412,$D$2:$D$2001,D1412)&gt;1,"DUPLIKAT","OK"))))</f>
        <v/>
      </c>
    </row>
    <row r="1413">
      <c r="A1413" s="4" t="n"/>
      <c r="B1413" s="5" t="n"/>
      <c r="C1413" s="5" t="n"/>
      <c r="D1413" s="5" t="n"/>
      <c r="E1413" s="6">
        <f>IF(A1413="","","B"&amp;TEXT(COUNT($A$2:A1413),"00000"))</f>
        <v/>
      </c>
      <c r="F1413" s="6">
        <f>IF(OR(C1413="",D1413=""),"",IFERROR(LOOKUP(2,1/(($C$1:C1412=C1413)*($D$1:D1412=D1413)*ISNUMBER($J$1:J1412)),$J$1:J1412),SUMIFS(Master!$G$2:$G$13,Master!$E$2:$E$13,C1413,Master!$F$2:$F$13,D1413)))</f>
        <v/>
      </c>
      <c r="G1413" s="5" t="n"/>
      <c r="H1413" s="5" t="n"/>
      <c r="I1413" s="5" t="n"/>
      <c r="J1413" s="6">
        <f>IF(OR(F1413="",COUNT(G1413:I1413)&lt;3),"",F1413+G1413-H1413-I1413)</f>
        <v/>
      </c>
      <c r="K1413" s="6">
        <f>IF(COUNTA(A1413:D1413,G1413:I1413)=0,"",IF(COUNTA(A1413:D1413,G1413:I1413)&lt;7,"LENGKAPI",IF(H1413+I1413&gt;N(F1413)+G1413,"ABNORMAL",IF(COUNTIFS($A$2:$A$2001,A1413,$B$2:$B$2001,B1413,$C$2:$C$2001,C1413,$D$2:$D$2001,D1413)&gt;1,"DUPLIKAT","OK"))))</f>
        <v/>
      </c>
    </row>
    <row r="1414">
      <c r="A1414" s="4" t="n"/>
      <c r="B1414" s="5" t="n"/>
      <c r="C1414" s="5" t="n"/>
      <c r="D1414" s="5" t="n"/>
      <c r="E1414" s="6">
        <f>IF(A1414="","","B"&amp;TEXT(COUNT($A$2:A1414),"00000"))</f>
        <v/>
      </c>
      <c r="F1414" s="6">
        <f>IF(OR(C1414="",D1414=""),"",IFERROR(LOOKUP(2,1/(($C$1:C1413=C1414)*($D$1:D1413=D1414)*ISNUMBER($J$1:J1413)),$J$1:J1413),SUMIFS(Master!$G$2:$G$13,Master!$E$2:$E$13,C1414,Master!$F$2:$F$13,D1414)))</f>
        <v/>
      </c>
      <c r="G1414" s="5" t="n"/>
      <c r="H1414" s="5" t="n"/>
      <c r="I1414" s="5" t="n"/>
      <c r="J1414" s="6">
        <f>IF(OR(F1414="",COUNT(G1414:I1414)&lt;3),"",F1414+G1414-H1414-I1414)</f>
        <v/>
      </c>
      <c r="K1414" s="6">
        <f>IF(COUNTA(A1414:D1414,G1414:I1414)=0,"",IF(COUNTA(A1414:D1414,G1414:I1414)&lt;7,"LENGKAPI",IF(H1414+I1414&gt;N(F1414)+G1414,"ABNORMAL",IF(COUNTIFS($A$2:$A$2001,A1414,$B$2:$B$2001,B1414,$C$2:$C$2001,C1414,$D$2:$D$2001,D1414)&gt;1,"DUPLIKAT","OK"))))</f>
        <v/>
      </c>
    </row>
    <row r="1415">
      <c r="A1415" s="4" t="n"/>
      <c r="B1415" s="5" t="n"/>
      <c r="C1415" s="5" t="n"/>
      <c r="D1415" s="5" t="n"/>
      <c r="E1415" s="6">
        <f>IF(A1415="","","B"&amp;TEXT(COUNT($A$2:A1415),"00000"))</f>
        <v/>
      </c>
      <c r="F1415" s="6">
        <f>IF(OR(C1415="",D1415=""),"",IFERROR(LOOKUP(2,1/(($C$1:C1414=C1415)*($D$1:D1414=D1415)*ISNUMBER($J$1:J1414)),$J$1:J1414),SUMIFS(Master!$G$2:$G$13,Master!$E$2:$E$13,C1415,Master!$F$2:$F$13,D1415)))</f>
        <v/>
      </c>
      <c r="G1415" s="5" t="n"/>
      <c r="H1415" s="5" t="n"/>
      <c r="I1415" s="5" t="n"/>
      <c r="J1415" s="6">
        <f>IF(OR(F1415="",COUNT(G1415:I1415)&lt;3),"",F1415+G1415-H1415-I1415)</f>
        <v/>
      </c>
      <c r="K1415" s="6">
        <f>IF(COUNTA(A1415:D1415,G1415:I1415)=0,"",IF(COUNTA(A1415:D1415,G1415:I1415)&lt;7,"LENGKAPI",IF(H1415+I1415&gt;N(F1415)+G1415,"ABNORMAL",IF(COUNTIFS($A$2:$A$2001,A1415,$B$2:$B$2001,B1415,$C$2:$C$2001,C1415,$D$2:$D$2001,D1415)&gt;1,"DUPLIKAT","OK"))))</f>
        <v/>
      </c>
    </row>
    <row r="1416">
      <c r="A1416" s="4" t="n"/>
      <c r="B1416" s="5" t="n"/>
      <c r="C1416" s="5" t="n"/>
      <c r="D1416" s="5" t="n"/>
      <c r="E1416" s="6">
        <f>IF(A1416="","","B"&amp;TEXT(COUNT($A$2:A1416),"00000"))</f>
        <v/>
      </c>
      <c r="F1416" s="6">
        <f>IF(OR(C1416="",D1416=""),"",IFERROR(LOOKUP(2,1/(($C$1:C1415=C1416)*($D$1:D1415=D1416)*ISNUMBER($J$1:J1415)),$J$1:J1415),SUMIFS(Master!$G$2:$G$13,Master!$E$2:$E$13,C1416,Master!$F$2:$F$13,D1416)))</f>
        <v/>
      </c>
      <c r="G1416" s="5" t="n"/>
      <c r="H1416" s="5" t="n"/>
      <c r="I1416" s="5" t="n"/>
      <c r="J1416" s="6">
        <f>IF(OR(F1416="",COUNT(G1416:I1416)&lt;3),"",F1416+G1416-H1416-I1416)</f>
        <v/>
      </c>
      <c r="K1416" s="6">
        <f>IF(COUNTA(A1416:D1416,G1416:I1416)=0,"",IF(COUNTA(A1416:D1416,G1416:I1416)&lt;7,"LENGKAPI",IF(H1416+I1416&gt;N(F1416)+G1416,"ABNORMAL",IF(COUNTIFS($A$2:$A$2001,A1416,$B$2:$B$2001,B1416,$C$2:$C$2001,C1416,$D$2:$D$2001,D1416)&gt;1,"DUPLIKAT","OK"))))</f>
        <v/>
      </c>
    </row>
    <row r="1417">
      <c r="A1417" s="4" t="n"/>
      <c r="B1417" s="5" t="n"/>
      <c r="C1417" s="5" t="n"/>
      <c r="D1417" s="5" t="n"/>
      <c r="E1417" s="6">
        <f>IF(A1417="","","B"&amp;TEXT(COUNT($A$2:A1417),"00000"))</f>
        <v/>
      </c>
      <c r="F1417" s="6">
        <f>IF(OR(C1417="",D1417=""),"",IFERROR(LOOKUP(2,1/(($C$1:C1416=C1417)*($D$1:D1416=D1417)*ISNUMBER($J$1:J1416)),$J$1:J1416),SUMIFS(Master!$G$2:$G$13,Master!$E$2:$E$13,C1417,Master!$F$2:$F$13,D1417)))</f>
        <v/>
      </c>
      <c r="G1417" s="5" t="n"/>
      <c r="H1417" s="5" t="n"/>
      <c r="I1417" s="5" t="n"/>
      <c r="J1417" s="6">
        <f>IF(OR(F1417="",COUNT(G1417:I1417)&lt;3),"",F1417+G1417-H1417-I1417)</f>
        <v/>
      </c>
      <c r="K1417" s="6">
        <f>IF(COUNTA(A1417:D1417,G1417:I1417)=0,"",IF(COUNTA(A1417:D1417,G1417:I1417)&lt;7,"LENGKAPI",IF(H1417+I1417&gt;N(F1417)+G1417,"ABNORMAL",IF(COUNTIFS($A$2:$A$2001,A1417,$B$2:$B$2001,B1417,$C$2:$C$2001,C1417,$D$2:$D$2001,D1417)&gt;1,"DUPLIKAT","OK"))))</f>
        <v/>
      </c>
    </row>
    <row r="1418">
      <c r="A1418" s="4" t="n"/>
      <c r="B1418" s="5" t="n"/>
      <c r="C1418" s="5" t="n"/>
      <c r="D1418" s="5" t="n"/>
      <c r="E1418" s="6">
        <f>IF(A1418="","","B"&amp;TEXT(COUNT($A$2:A1418),"00000"))</f>
        <v/>
      </c>
      <c r="F1418" s="6">
        <f>IF(OR(C1418="",D1418=""),"",IFERROR(LOOKUP(2,1/(($C$1:C1417=C1418)*($D$1:D1417=D1418)*ISNUMBER($J$1:J1417)),$J$1:J1417),SUMIFS(Master!$G$2:$G$13,Master!$E$2:$E$13,C1418,Master!$F$2:$F$13,D1418)))</f>
        <v/>
      </c>
      <c r="G1418" s="5" t="n"/>
      <c r="H1418" s="5" t="n"/>
      <c r="I1418" s="5" t="n"/>
      <c r="J1418" s="6">
        <f>IF(OR(F1418="",COUNT(G1418:I1418)&lt;3),"",F1418+G1418-H1418-I1418)</f>
        <v/>
      </c>
      <c r="K1418" s="6">
        <f>IF(COUNTA(A1418:D1418,G1418:I1418)=0,"",IF(COUNTA(A1418:D1418,G1418:I1418)&lt;7,"LENGKAPI",IF(H1418+I1418&gt;N(F1418)+G1418,"ABNORMAL",IF(COUNTIFS($A$2:$A$2001,A1418,$B$2:$B$2001,B1418,$C$2:$C$2001,C1418,$D$2:$D$2001,D1418)&gt;1,"DUPLIKAT","OK"))))</f>
        <v/>
      </c>
    </row>
    <row r="1419">
      <c r="A1419" s="4" t="n"/>
      <c r="B1419" s="5" t="n"/>
      <c r="C1419" s="5" t="n"/>
      <c r="D1419" s="5" t="n"/>
      <c r="E1419" s="6">
        <f>IF(A1419="","","B"&amp;TEXT(COUNT($A$2:A1419),"00000"))</f>
        <v/>
      </c>
      <c r="F1419" s="6">
        <f>IF(OR(C1419="",D1419=""),"",IFERROR(LOOKUP(2,1/(($C$1:C1418=C1419)*($D$1:D1418=D1419)*ISNUMBER($J$1:J1418)),$J$1:J1418),SUMIFS(Master!$G$2:$G$13,Master!$E$2:$E$13,C1419,Master!$F$2:$F$13,D1419)))</f>
        <v/>
      </c>
      <c r="G1419" s="5" t="n"/>
      <c r="H1419" s="5" t="n"/>
      <c r="I1419" s="5" t="n"/>
      <c r="J1419" s="6">
        <f>IF(OR(F1419="",COUNT(G1419:I1419)&lt;3),"",F1419+G1419-H1419-I1419)</f>
        <v/>
      </c>
      <c r="K1419" s="6">
        <f>IF(COUNTA(A1419:D1419,G1419:I1419)=0,"",IF(COUNTA(A1419:D1419,G1419:I1419)&lt;7,"LENGKAPI",IF(H1419+I1419&gt;N(F1419)+G1419,"ABNORMAL",IF(COUNTIFS($A$2:$A$2001,A1419,$B$2:$B$2001,B1419,$C$2:$C$2001,C1419,$D$2:$D$2001,D1419)&gt;1,"DUPLIKAT","OK"))))</f>
        <v/>
      </c>
    </row>
    <row r="1420">
      <c r="A1420" s="4" t="n"/>
      <c r="B1420" s="5" t="n"/>
      <c r="C1420" s="5" t="n"/>
      <c r="D1420" s="5" t="n"/>
      <c r="E1420" s="6">
        <f>IF(A1420="","","B"&amp;TEXT(COUNT($A$2:A1420),"00000"))</f>
        <v/>
      </c>
      <c r="F1420" s="6">
        <f>IF(OR(C1420="",D1420=""),"",IFERROR(LOOKUP(2,1/(($C$1:C1419=C1420)*($D$1:D1419=D1420)*ISNUMBER($J$1:J1419)),$J$1:J1419),SUMIFS(Master!$G$2:$G$13,Master!$E$2:$E$13,C1420,Master!$F$2:$F$13,D1420)))</f>
        <v/>
      </c>
      <c r="G1420" s="5" t="n"/>
      <c r="H1420" s="5" t="n"/>
      <c r="I1420" s="5" t="n"/>
      <c r="J1420" s="6">
        <f>IF(OR(F1420="",COUNT(G1420:I1420)&lt;3),"",F1420+G1420-H1420-I1420)</f>
        <v/>
      </c>
      <c r="K1420" s="6">
        <f>IF(COUNTA(A1420:D1420,G1420:I1420)=0,"",IF(COUNTA(A1420:D1420,G1420:I1420)&lt;7,"LENGKAPI",IF(H1420+I1420&gt;N(F1420)+G1420,"ABNORMAL",IF(COUNTIFS($A$2:$A$2001,A1420,$B$2:$B$2001,B1420,$C$2:$C$2001,C1420,$D$2:$D$2001,D1420)&gt;1,"DUPLIKAT","OK"))))</f>
        <v/>
      </c>
    </row>
    <row r="1421">
      <c r="A1421" s="4" t="n"/>
      <c r="B1421" s="5" t="n"/>
      <c r="C1421" s="5" t="n"/>
      <c r="D1421" s="5" t="n"/>
      <c r="E1421" s="6">
        <f>IF(A1421="","","B"&amp;TEXT(COUNT($A$2:A1421),"00000"))</f>
        <v/>
      </c>
      <c r="F1421" s="6">
        <f>IF(OR(C1421="",D1421=""),"",IFERROR(LOOKUP(2,1/(($C$1:C1420=C1421)*($D$1:D1420=D1421)*ISNUMBER($J$1:J1420)),$J$1:J1420),SUMIFS(Master!$G$2:$G$13,Master!$E$2:$E$13,C1421,Master!$F$2:$F$13,D1421)))</f>
        <v/>
      </c>
      <c r="G1421" s="5" t="n"/>
      <c r="H1421" s="5" t="n"/>
      <c r="I1421" s="5" t="n"/>
      <c r="J1421" s="6">
        <f>IF(OR(F1421="",COUNT(G1421:I1421)&lt;3),"",F1421+G1421-H1421-I1421)</f>
        <v/>
      </c>
      <c r="K1421" s="6">
        <f>IF(COUNTA(A1421:D1421,G1421:I1421)=0,"",IF(COUNTA(A1421:D1421,G1421:I1421)&lt;7,"LENGKAPI",IF(H1421+I1421&gt;N(F1421)+G1421,"ABNORMAL",IF(COUNTIFS($A$2:$A$2001,A1421,$B$2:$B$2001,B1421,$C$2:$C$2001,C1421,$D$2:$D$2001,D1421)&gt;1,"DUPLIKAT","OK"))))</f>
        <v/>
      </c>
    </row>
    <row r="1422">
      <c r="A1422" s="4" t="n"/>
      <c r="B1422" s="5" t="n"/>
      <c r="C1422" s="5" t="n"/>
      <c r="D1422" s="5" t="n"/>
      <c r="E1422" s="6">
        <f>IF(A1422="","","B"&amp;TEXT(COUNT($A$2:A1422),"00000"))</f>
        <v/>
      </c>
      <c r="F1422" s="6">
        <f>IF(OR(C1422="",D1422=""),"",IFERROR(LOOKUP(2,1/(($C$1:C1421=C1422)*($D$1:D1421=D1422)*ISNUMBER($J$1:J1421)),$J$1:J1421),SUMIFS(Master!$G$2:$G$13,Master!$E$2:$E$13,C1422,Master!$F$2:$F$13,D1422)))</f>
        <v/>
      </c>
      <c r="G1422" s="5" t="n"/>
      <c r="H1422" s="5" t="n"/>
      <c r="I1422" s="5" t="n"/>
      <c r="J1422" s="6">
        <f>IF(OR(F1422="",COUNT(G1422:I1422)&lt;3),"",F1422+G1422-H1422-I1422)</f>
        <v/>
      </c>
      <c r="K1422" s="6">
        <f>IF(COUNTA(A1422:D1422,G1422:I1422)=0,"",IF(COUNTA(A1422:D1422,G1422:I1422)&lt;7,"LENGKAPI",IF(H1422+I1422&gt;N(F1422)+G1422,"ABNORMAL",IF(COUNTIFS($A$2:$A$2001,A1422,$B$2:$B$2001,B1422,$C$2:$C$2001,C1422,$D$2:$D$2001,D1422)&gt;1,"DUPLIKAT","OK"))))</f>
        <v/>
      </c>
    </row>
    <row r="1423">
      <c r="A1423" s="4" t="n"/>
      <c r="B1423" s="5" t="n"/>
      <c r="C1423" s="5" t="n"/>
      <c r="D1423" s="5" t="n"/>
      <c r="E1423" s="6">
        <f>IF(A1423="","","B"&amp;TEXT(COUNT($A$2:A1423),"00000"))</f>
        <v/>
      </c>
      <c r="F1423" s="6">
        <f>IF(OR(C1423="",D1423=""),"",IFERROR(LOOKUP(2,1/(($C$1:C1422=C1423)*($D$1:D1422=D1423)*ISNUMBER($J$1:J1422)),$J$1:J1422),SUMIFS(Master!$G$2:$G$13,Master!$E$2:$E$13,C1423,Master!$F$2:$F$13,D1423)))</f>
        <v/>
      </c>
      <c r="G1423" s="5" t="n"/>
      <c r="H1423" s="5" t="n"/>
      <c r="I1423" s="5" t="n"/>
      <c r="J1423" s="6">
        <f>IF(OR(F1423="",COUNT(G1423:I1423)&lt;3),"",F1423+G1423-H1423-I1423)</f>
        <v/>
      </c>
      <c r="K1423" s="6">
        <f>IF(COUNTA(A1423:D1423,G1423:I1423)=0,"",IF(COUNTA(A1423:D1423,G1423:I1423)&lt;7,"LENGKAPI",IF(H1423+I1423&gt;N(F1423)+G1423,"ABNORMAL",IF(COUNTIFS($A$2:$A$2001,A1423,$B$2:$B$2001,B1423,$C$2:$C$2001,C1423,$D$2:$D$2001,D1423)&gt;1,"DUPLIKAT","OK"))))</f>
        <v/>
      </c>
    </row>
    <row r="1424">
      <c r="A1424" s="4" t="n"/>
      <c r="B1424" s="5" t="n"/>
      <c r="C1424" s="5" t="n"/>
      <c r="D1424" s="5" t="n"/>
      <c r="E1424" s="6">
        <f>IF(A1424="","","B"&amp;TEXT(COUNT($A$2:A1424),"00000"))</f>
        <v/>
      </c>
      <c r="F1424" s="6">
        <f>IF(OR(C1424="",D1424=""),"",IFERROR(LOOKUP(2,1/(($C$1:C1423=C1424)*($D$1:D1423=D1424)*ISNUMBER($J$1:J1423)),$J$1:J1423),SUMIFS(Master!$G$2:$G$13,Master!$E$2:$E$13,C1424,Master!$F$2:$F$13,D1424)))</f>
        <v/>
      </c>
      <c r="G1424" s="5" t="n"/>
      <c r="H1424" s="5" t="n"/>
      <c r="I1424" s="5" t="n"/>
      <c r="J1424" s="6">
        <f>IF(OR(F1424="",COUNT(G1424:I1424)&lt;3),"",F1424+G1424-H1424-I1424)</f>
        <v/>
      </c>
      <c r="K1424" s="6">
        <f>IF(COUNTA(A1424:D1424,G1424:I1424)=0,"",IF(COUNTA(A1424:D1424,G1424:I1424)&lt;7,"LENGKAPI",IF(H1424+I1424&gt;N(F1424)+G1424,"ABNORMAL",IF(COUNTIFS($A$2:$A$2001,A1424,$B$2:$B$2001,B1424,$C$2:$C$2001,C1424,$D$2:$D$2001,D1424)&gt;1,"DUPLIKAT","OK"))))</f>
        <v/>
      </c>
    </row>
    <row r="1425">
      <c r="A1425" s="4" t="n"/>
      <c r="B1425" s="5" t="n"/>
      <c r="C1425" s="5" t="n"/>
      <c r="D1425" s="5" t="n"/>
      <c r="E1425" s="6">
        <f>IF(A1425="","","B"&amp;TEXT(COUNT($A$2:A1425),"00000"))</f>
        <v/>
      </c>
      <c r="F1425" s="6">
        <f>IF(OR(C1425="",D1425=""),"",IFERROR(LOOKUP(2,1/(($C$1:C1424=C1425)*($D$1:D1424=D1425)*ISNUMBER($J$1:J1424)),$J$1:J1424),SUMIFS(Master!$G$2:$G$13,Master!$E$2:$E$13,C1425,Master!$F$2:$F$13,D1425)))</f>
        <v/>
      </c>
      <c r="G1425" s="5" t="n"/>
      <c r="H1425" s="5" t="n"/>
      <c r="I1425" s="5" t="n"/>
      <c r="J1425" s="6">
        <f>IF(OR(F1425="",COUNT(G1425:I1425)&lt;3),"",F1425+G1425-H1425-I1425)</f>
        <v/>
      </c>
      <c r="K1425" s="6">
        <f>IF(COUNTA(A1425:D1425,G1425:I1425)=0,"",IF(COUNTA(A1425:D1425,G1425:I1425)&lt;7,"LENGKAPI",IF(H1425+I1425&gt;N(F1425)+G1425,"ABNORMAL",IF(COUNTIFS($A$2:$A$2001,A1425,$B$2:$B$2001,B1425,$C$2:$C$2001,C1425,$D$2:$D$2001,D1425)&gt;1,"DUPLIKAT","OK"))))</f>
        <v/>
      </c>
    </row>
    <row r="1426">
      <c r="A1426" s="4" t="n"/>
      <c r="B1426" s="5" t="n"/>
      <c r="C1426" s="5" t="n"/>
      <c r="D1426" s="5" t="n"/>
      <c r="E1426" s="6">
        <f>IF(A1426="","","B"&amp;TEXT(COUNT($A$2:A1426),"00000"))</f>
        <v/>
      </c>
      <c r="F1426" s="6">
        <f>IF(OR(C1426="",D1426=""),"",IFERROR(LOOKUP(2,1/(($C$1:C1425=C1426)*($D$1:D1425=D1426)*ISNUMBER($J$1:J1425)),$J$1:J1425),SUMIFS(Master!$G$2:$G$13,Master!$E$2:$E$13,C1426,Master!$F$2:$F$13,D1426)))</f>
        <v/>
      </c>
      <c r="G1426" s="5" t="n"/>
      <c r="H1426" s="5" t="n"/>
      <c r="I1426" s="5" t="n"/>
      <c r="J1426" s="6">
        <f>IF(OR(F1426="",COUNT(G1426:I1426)&lt;3),"",F1426+G1426-H1426-I1426)</f>
        <v/>
      </c>
      <c r="K1426" s="6">
        <f>IF(COUNTA(A1426:D1426,G1426:I1426)=0,"",IF(COUNTA(A1426:D1426,G1426:I1426)&lt;7,"LENGKAPI",IF(H1426+I1426&gt;N(F1426)+G1426,"ABNORMAL",IF(COUNTIFS($A$2:$A$2001,A1426,$B$2:$B$2001,B1426,$C$2:$C$2001,C1426,$D$2:$D$2001,D1426)&gt;1,"DUPLIKAT","OK"))))</f>
        <v/>
      </c>
    </row>
    <row r="1427">
      <c r="A1427" s="4" t="n"/>
      <c r="B1427" s="5" t="n"/>
      <c r="C1427" s="5" t="n"/>
      <c r="D1427" s="5" t="n"/>
      <c r="E1427" s="6">
        <f>IF(A1427="","","B"&amp;TEXT(COUNT($A$2:A1427),"00000"))</f>
        <v/>
      </c>
      <c r="F1427" s="6">
        <f>IF(OR(C1427="",D1427=""),"",IFERROR(LOOKUP(2,1/(($C$1:C1426=C1427)*($D$1:D1426=D1427)*ISNUMBER($J$1:J1426)),$J$1:J1426),SUMIFS(Master!$G$2:$G$13,Master!$E$2:$E$13,C1427,Master!$F$2:$F$13,D1427)))</f>
        <v/>
      </c>
      <c r="G1427" s="5" t="n"/>
      <c r="H1427" s="5" t="n"/>
      <c r="I1427" s="5" t="n"/>
      <c r="J1427" s="6">
        <f>IF(OR(F1427="",COUNT(G1427:I1427)&lt;3),"",F1427+G1427-H1427-I1427)</f>
        <v/>
      </c>
      <c r="K1427" s="6">
        <f>IF(COUNTA(A1427:D1427,G1427:I1427)=0,"",IF(COUNTA(A1427:D1427,G1427:I1427)&lt;7,"LENGKAPI",IF(H1427+I1427&gt;N(F1427)+G1427,"ABNORMAL",IF(COUNTIFS($A$2:$A$2001,A1427,$B$2:$B$2001,B1427,$C$2:$C$2001,C1427,$D$2:$D$2001,D1427)&gt;1,"DUPLIKAT","OK"))))</f>
        <v/>
      </c>
    </row>
    <row r="1428">
      <c r="A1428" s="4" t="n"/>
      <c r="B1428" s="5" t="n"/>
      <c r="C1428" s="5" t="n"/>
      <c r="D1428" s="5" t="n"/>
      <c r="E1428" s="6">
        <f>IF(A1428="","","B"&amp;TEXT(COUNT($A$2:A1428),"00000"))</f>
        <v/>
      </c>
      <c r="F1428" s="6">
        <f>IF(OR(C1428="",D1428=""),"",IFERROR(LOOKUP(2,1/(($C$1:C1427=C1428)*($D$1:D1427=D1428)*ISNUMBER($J$1:J1427)),$J$1:J1427),SUMIFS(Master!$G$2:$G$13,Master!$E$2:$E$13,C1428,Master!$F$2:$F$13,D1428)))</f>
        <v/>
      </c>
      <c r="G1428" s="5" t="n"/>
      <c r="H1428" s="5" t="n"/>
      <c r="I1428" s="5" t="n"/>
      <c r="J1428" s="6">
        <f>IF(OR(F1428="",COUNT(G1428:I1428)&lt;3),"",F1428+G1428-H1428-I1428)</f>
        <v/>
      </c>
      <c r="K1428" s="6">
        <f>IF(COUNTA(A1428:D1428,G1428:I1428)=0,"",IF(COUNTA(A1428:D1428,G1428:I1428)&lt;7,"LENGKAPI",IF(H1428+I1428&gt;N(F1428)+G1428,"ABNORMAL",IF(COUNTIFS($A$2:$A$2001,A1428,$B$2:$B$2001,B1428,$C$2:$C$2001,C1428,$D$2:$D$2001,D1428)&gt;1,"DUPLIKAT","OK"))))</f>
        <v/>
      </c>
    </row>
    <row r="1429">
      <c r="A1429" s="4" t="n"/>
      <c r="B1429" s="5" t="n"/>
      <c r="C1429" s="5" t="n"/>
      <c r="D1429" s="5" t="n"/>
      <c r="E1429" s="6">
        <f>IF(A1429="","","B"&amp;TEXT(COUNT($A$2:A1429),"00000"))</f>
        <v/>
      </c>
      <c r="F1429" s="6">
        <f>IF(OR(C1429="",D1429=""),"",IFERROR(LOOKUP(2,1/(($C$1:C1428=C1429)*($D$1:D1428=D1429)*ISNUMBER($J$1:J1428)),$J$1:J1428),SUMIFS(Master!$G$2:$G$13,Master!$E$2:$E$13,C1429,Master!$F$2:$F$13,D1429)))</f>
        <v/>
      </c>
      <c r="G1429" s="5" t="n"/>
      <c r="H1429" s="5" t="n"/>
      <c r="I1429" s="5" t="n"/>
      <c r="J1429" s="6">
        <f>IF(OR(F1429="",COUNT(G1429:I1429)&lt;3),"",F1429+G1429-H1429-I1429)</f>
        <v/>
      </c>
      <c r="K1429" s="6">
        <f>IF(COUNTA(A1429:D1429,G1429:I1429)=0,"",IF(COUNTA(A1429:D1429,G1429:I1429)&lt;7,"LENGKAPI",IF(H1429+I1429&gt;N(F1429)+G1429,"ABNORMAL",IF(COUNTIFS($A$2:$A$2001,A1429,$B$2:$B$2001,B1429,$C$2:$C$2001,C1429,$D$2:$D$2001,D1429)&gt;1,"DUPLIKAT","OK"))))</f>
        <v/>
      </c>
    </row>
    <row r="1430">
      <c r="A1430" s="4" t="n"/>
      <c r="B1430" s="5" t="n"/>
      <c r="C1430" s="5" t="n"/>
      <c r="D1430" s="5" t="n"/>
      <c r="E1430" s="6">
        <f>IF(A1430="","","B"&amp;TEXT(COUNT($A$2:A1430),"00000"))</f>
        <v/>
      </c>
      <c r="F1430" s="6">
        <f>IF(OR(C1430="",D1430=""),"",IFERROR(LOOKUP(2,1/(($C$1:C1429=C1430)*($D$1:D1429=D1430)*ISNUMBER($J$1:J1429)),$J$1:J1429),SUMIFS(Master!$G$2:$G$13,Master!$E$2:$E$13,C1430,Master!$F$2:$F$13,D1430)))</f>
        <v/>
      </c>
      <c r="G1430" s="5" t="n"/>
      <c r="H1430" s="5" t="n"/>
      <c r="I1430" s="5" t="n"/>
      <c r="J1430" s="6">
        <f>IF(OR(F1430="",COUNT(G1430:I1430)&lt;3),"",F1430+G1430-H1430-I1430)</f>
        <v/>
      </c>
      <c r="K1430" s="6">
        <f>IF(COUNTA(A1430:D1430,G1430:I1430)=0,"",IF(COUNTA(A1430:D1430,G1430:I1430)&lt;7,"LENGKAPI",IF(H1430+I1430&gt;N(F1430)+G1430,"ABNORMAL",IF(COUNTIFS($A$2:$A$2001,A1430,$B$2:$B$2001,B1430,$C$2:$C$2001,C1430,$D$2:$D$2001,D1430)&gt;1,"DUPLIKAT","OK"))))</f>
        <v/>
      </c>
    </row>
    <row r="1431">
      <c r="A1431" s="4" t="n"/>
      <c r="B1431" s="5" t="n"/>
      <c r="C1431" s="5" t="n"/>
      <c r="D1431" s="5" t="n"/>
      <c r="E1431" s="6">
        <f>IF(A1431="","","B"&amp;TEXT(COUNT($A$2:A1431),"00000"))</f>
        <v/>
      </c>
      <c r="F1431" s="6">
        <f>IF(OR(C1431="",D1431=""),"",IFERROR(LOOKUP(2,1/(($C$1:C1430=C1431)*($D$1:D1430=D1431)*ISNUMBER($J$1:J1430)),$J$1:J1430),SUMIFS(Master!$G$2:$G$13,Master!$E$2:$E$13,C1431,Master!$F$2:$F$13,D1431)))</f>
        <v/>
      </c>
      <c r="G1431" s="5" t="n"/>
      <c r="H1431" s="5" t="n"/>
      <c r="I1431" s="5" t="n"/>
      <c r="J1431" s="6">
        <f>IF(OR(F1431="",COUNT(G1431:I1431)&lt;3),"",F1431+G1431-H1431-I1431)</f>
        <v/>
      </c>
      <c r="K1431" s="6">
        <f>IF(COUNTA(A1431:D1431,G1431:I1431)=0,"",IF(COUNTA(A1431:D1431,G1431:I1431)&lt;7,"LENGKAPI",IF(H1431+I1431&gt;N(F1431)+G1431,"ABNORMAL",IF(COUNTIFS($A$2:$A$2001,A1431,$B$2:$B$2001,B1431,$C$2:$C$2001,C1431,$D$2:$D$2001,D1431)&gt;1,"DUPLIKAT","OK"))))</f>
        <v/>
      </c>
    </row>
    <row r="1432">
      <c r="A1432" s="4" t="n"/>
      <c r="B1432" s="5" t="n"/>
      <c r="C1432" s="5" t="n"/>
      <c r="D1432" s="5" t="n"/>
      <c r="E1432" s="6">
        <f>IF(A1432="","","B"&amp;TEXT(COUNT($A$2:A1432),"00000"))</f>
        <v/>
      </c>
      <c r="F1432" s="6">
        <f>IF(OR(C1432="",D1432=""),"",IFERROR(LOOKUP(2,1/(($C$1:C1431=C1432)*($D$1:D1431=D1432)*ISNUMBER($J$1:J1431)),$J$1:J1431),SUMIFS(Master!$G$2:$G$13,Master!$E$2:$E$13,C1432,Master!$F$2:$F$13,D1432)))</f>
        <v/>
      </c>
      <c r="G1432" s="5" t="n"/>
      <c r="H1432" s="5" t="n"/>
      <c r="I1432" s="5" t="n"/>
      <c r="J1432" s="6">
        <f>IF(OR(F1432="",COUNT(G1432:I1432)&lt;3),"",F1432+G1432-H1432-I1432)</f>
        <v/>
      </c>
      <c r="K1432" s="6">
        <f>IF(COUNTA(A1432:D1432,G1432:I1432)=0,"",IF(COUNTA(A1432:D1432,G1432:I1432)&lt;7,"LENGKAPI",IF(H1432+I1432&gt;N(F1432)+G1432,"ABNORMAL",IF(COUNTIFS($A$2:$A$2001,A1432,$B$2:$B$2001,B1432,$C$2:$C$2001,C1432,$D$2:$D$2001,D1432)&gt;1,"DUPLIKAT","OK"))))</f>
        <v/>
      </c>
    </row>
    <row r="1433">
      <c r="A1433" s="4" t="n"/>
      <c r="B1433" s="5" t="n"/>
      <c r="C1433" s="5" t="n"/>
      <c r="D1433" s="5" t="n"/>
      <c r="E1433" s="6">
        <f>IF(A1433="","","B"&amp;TEXT(COUNT($A$2:A1433),"00000"))</f>
        <v/>
      </c>
      <c r="F1433" s="6">
        <f>IF(OR(C1433="",D1433=""),"",IFERROR(LOOKUP(2,1/(($C$1:C1432=C1433)*($D$1:D1432=D1433)*ISNUMBER($J$1:J1432)),$J$1:J1432),SUMIFS(Master!$G$2:$G$13,Master!$E$2:$E$13,C1433,Master!$F$2:$F$13,D1433)))</f>
        <v/>
      </c>
      <c r="G1433" s="5" t="n"/>
      <c r="H1433" s="5" t="n"/>
      <c r="I1433" s="5" t="n"/>
      <c r="J1433" s="6">
        <f>IF(OR(F1433="",COUNT(G1433:I1433)&lt;3),"",F1433+G1433-H1433-I1433)</f>
        <v/>
      </c>
      <c r="K1433" s="6">
        <f>IF(COUNTA(A1433:D1433,G1433:I1433)=0,"",IF(COUNTA(A1433:D1433,G1433:I1433)&lt;7,"LENGKAPI",IF(H1433+I1433&gt;N(F1433)+G1433,"ABNORMAL",IF(COUNTIFS($A$2:$A$2001,A1433,$B$2:$B$2001,B1433,$C$2:$C$2001,C1433,$D$2:$D$2001,D1433)&gt;1,"DUPLIKAT","OK"))))</f>
        <v/>
      </c>
    </row>
    <row r="1434">
      <c r="A1434" s="4" t="n"/>
      <c r="B1434" s="5" t="n"/>
      <c r="C1434" s="5" t="n"/>
      <c r="D1434" s="5" t="n"/>
      <c r="E1434" s="6">
        <f>IF(A1434="","","B"&amp;TEXT(COUNT($A$2:A1434),"00000"))</f>
        <v/>
      </c>
      <c r="F1434" s="6">
        <f>IF(OR(C1434="",D1434=""),"",IFERROR(LOOKUP(2,1/(($C$1:C1433=C1434)*($D$1:D1433=D1434)*ISNUMBER($J$1:J1433)),$J$1:J1433),SUMIFS(Master!$G$2:$G$13,Master!$E$2:$E$13,C1434,Master!$F$2:$F$13,D1434)))</f>
        <v/>
      </c>
      <c r="G1434" s="5" t="n"/>
      <c r="H1434" s="5" t="n"/>
      <c r="I1434" s="5" t="n"/>
      <c r="J1434" s="6">
        <f>IF(OR(F1434="",COUNT(G1434:I1434)&lt;3),"",F1434+G1434-H1434-I1434)</f>
        <v/>
      </c>
      <c r="K1434" s="6">
        <f>IF(COUNTA(A1434:D1434,G1434:I1434)=0,"",IF(COUNTA(A1434:D1434,G1434:I1434)&lt;7,"LENGKAPI",IF(H1434+I1434&gt;N(F1434)+G1434,"ABNORMAL",IF(COUNTIFS($A$2:$A$2001,A1434,$B$2:$B$2001,B1434,$C$2:$C$2001,C1434,$D$2:$D$2001,D1434)&gt;1,"DUPLIKAT","OK"))))</f>
        <v/>
      </c>
    </row>
    <row r="1435">
      <c r="A1435" s="4" t="n"/>
      <c r="B1435" s="5" t="n"/>
      <c r="C1435" s="5" t="n"/>
      <c r="D1435" s="5" t="n"/>
      <c r="E1435" s="6">
        <f>IF(A1435="","","B"&amp;TEXT(COUNT($A$2:A1435),"00000"))</f>
        <v/>
      </c>
      <c r="F1435" s="6">
        <f>IF(OR(C1435="",D1435=""),"",IFERROR(LOOKUP(2,1/(($C$1:C1434=C1435)*($D$1:D1434=D1435)*ISNUMBER($J$1:J1434)),$J$1:J1434),SUMIFS(Master!$G$2:$G$13,Master!$E$2:$E$13,C1435,Master!$F$2:$F$13,D1435)))</f>
        <v/>
      </c>
      <c r="G1435" s="5" t="n"/>
      <c r="H1435" s="5" t="n"/>
      <c r="I1435" s="5" t="n"/>
      <c r="J1435" s="6">
        <f>IF(OR(F1435="",COUNT(G1435:I1435)&lt;3),"",F1435+G1435-H1435-I1435)</f>
        <v/>
      </c>
      <c r="K1435" s="6">
        <f>IF(COUNTA(A1435:D1435,G1435:I1435)=0,"",IF(COUNTA(A1435:D1435,G1435:I1435)&lt;7,"LENGKAPI",IF(H1435+I1435&gt;N(F1435)+G1435,"ABNORMAL",IF(COUNTIFS($A$2:$A$2001,A1435,$B$2:$B$2001,B1435,$C$2:$C$2001,C1435,$D$2:$D$2001,D1435)&gt;1,"DUPLIKAT","OK"))))</f>
        <v/>
      </c>
    </row>
    <row r="1436">
      <c r="A1436" s="4" t="n"/>
      <c r="B1436" s="5" t="n"/>
      <c r="C1436" s="5" t="n"/>
      <c r="D1436" s="5" t="n"/>
      <c r="E1436" s="6">
        <f>IF(A1436="","","B"&amp;TEXT(COUNT($A$2:A1436),"00000"))</f>
        <v/>
      </c>
      <c r="F1436" s="6">
        <f>IF(OR(C1436="",D1436=""),"",IFERROR(LOOKUP(2,1/(($C$1:C1435=C1436)*($D$1:D1435=D1436)*ISNUMBER($J$1:J1435)),$J$1:J1435),SUMIFS(Master!$G$2:$G$13,Master!$E$2:$E$13,C1436,Master!$F$2:$F$13,D1436)))</f>
        <v/>
      </c>
      <c r="G1436" s="5" t="n"/>
      <c r="H1436" s="5" t="n"/>
      <c r="I1436" s="5" t="n"/>
      <c r="J1436" s="6">
        <f>IF(OR(F1436="",COUNT(G1436:I1436)&lt;3),"",F1436+G1436-H1436-I1436)</f>
        <v/>
      </c>
      <c r="K1436" s="6">
        <f>IF(COUNTA(A1436:D1436,G1436:I1436)=0,"",IF(COUNTA(A1436:D1436,G1436:I1436)&lt;7,"LENGKAPI",IF(H1436+I1436&gt;N(F1436)+G1436,"ABNORMAL",IF(COUNTIFS($A$2:$A$2001,A1436,$B$2:$B$2001,B1436,$C$2:$C$2001,C1436,$D$2:$D$2001,D1436)&gt;1,"DUPLIKAT","OK"))))</f>
        <v/>
      </c>
    </row>
    <row r="1437">
      <c r="A1437" s="4" t="n"/>
      <c r="B1437" s="5" t="n"/>
      <c r="C1437" s="5" t="n"/>
      <c r="D1437" s="5" t="n"/>
      <c r="E1437" s="6">
        <f>IF(A1437="","","B"&amp;TEXT(COUNT($A$2:A1437),"00000"))</f>
        <v/>
      </c>
      <c r="F1437" s="6">
        <f>IF(OR(C1437="",D1437=""),"",IFERROR(LOOKUP(2,1/(($C$1:C1436=C1437)*($D$1:D1436=D1437)*ISNUMBER($J$1:J1436)),$J$1:J1436),SUMIFS(Master!$G$2:$G$13,Master!$E$2:$E$13,C1437,Master!$F$2:$F$13,D1437)))</f>
        <v/>
      </c>
      <c r="G1437" s="5" t="n"/>
      <c r="H1437" s="5" t="n"/>
      <c r="I1437" s="5" t="n"/>
      <c r="J1437" s="6">
        <f>IF(OR(F1437="",COUNT(G1437:I1437)&lt;3),"",F1437+G1437-H1437-I1437)</f>
        <v/>
      </c>
      <c r="K1437" s="6">
        <f>IF(COUNTA(A1437:D1437,G1437:I1437)=0,"",IF(COUNTA(A1437:D1437,G1437:I1437)&lt;7,"LENGKAPI",IF(H1437+I1437&gt;N(F1437)+G1437,"ABNORMAL",IF(COUNTIFS($A$2:$A$2001,A1437,$B$2:$B$2001,B1437,$C$2:$C$2001,C1437,$D$2:$D$2001,D1437)&gt;1,"DUPLIKAT","OK"))))</f>
        <v/>
      </c>
    </row>
    <row r="1438">
      <c r="A1438" s="4" t="n"/>
      <c r="B1438" s="5" t="n"/>
      <c r="C1438" s="5" t="n"/>
      <c r="D1438" s="5" t="n"/>
      <c r="E1438" s="6">
        <f>IF(A1438="","","B"&amp;TEXT(COUNT($A$2:A1438),"00000"))</f>
        <v/>
      </c>
      <c r="F1438" s="6">
        <f>IF(OR(C1438="",D1438=""),"",IFERROR(LOOKUP(2,1/(($C$1:C1437=C1438)*($D$1:D1437=D1438)*ISNUMBER($J$1:J1437)),$J$1:J1437),SUMIFS(Master!$G$2:$G$13,Master!$E$2:$E$13,C1438,Master!$F$2:$F$13,D1438)))</f>
        <v/>
      </c>
      <c r="G1438" s="5" t="n"/>
      <c r="H1438" s="5" t="n"/>
      <c r="I1438" s="5" t="n"/>
      <c r="J1438" s="6">
        <f>IF(OR(F1438="",COUNT(G1438:I1438)&lt;3),"",F1438+G1438-H1438-I1438)</f>
        <v/>
      </c>
      <c r="K1438" s="6">
        <f>IF(COUNTA(A1438:D1438,G1438:I1438)=0,"",IF(COUNTA(A1438:D1438,G1438:I1438)&lt;7,"LENGKAPI",IF(H1438+I1438&gt;N(F1438)+G1438,"ABNORMAL",IF(COUNTIFS($A$2:$A$2001,A1438,$B$2:$B$2001,B1438,$C$2:$C$2001,C1438,$D$2:$D$2001,D1438)&gt;1,"DUPLIKAT","OK"))))</f>
        <v/>
      </c>
    </row>
    <row r="1439">
      <c r="A1439" s="4" t="n"/>
      <c r="B1439" s="5" t="n"/>
      <c r="C1439" s="5" t="n"/>
      <c r="D1439" s="5" t="n"/>
      <c r="E1439" s="6">
        <f>IF(A1439="","","B"&amp;TEXT(COUNT($A$2:A1439),"00000"))</f>
        <v/>
      </c>
      <c r="F1439" s="6">
        <f>IF(OR(C1439="",D1439=""),"",IFERROR(LOOKUP(2,1/(($C$1:C1438=C1439)*($D$1:D1438=D1439)*ISNUMBER($J$1:J1438)),$J$1:J1438),SUMIFS(Master!$G$2:$G$13,Master!$E$2:$E$13,C1439,Master!$F$2:$F$13,D1439)))</f>
        <v/>
      </c>
      <c r="G1439" s="5" t="n"/>
      <c r="H1439" s="5" t="n"/>
      <c r="I1439" s="5" t="n"/>
      <c r="J1439" s="6">
        <f>IF(OR(F1439="",COUNT(G1439:I1439)&lt;3),"",F1439+G1439-H1439-I1439)</f>
        <v/>
      </c>
      <c r="K1439" s="6">
        <f>IF(COUNTA(A1439:D1439,G1439:I1439)=0,"",IF(COUNTA(A1439:D1439,G1439:I1439)&lt;7,"LENGKAPI",IF(H1439+I1439&gt;N(F1439)+G1439,"ABNORMAL",IF(COUNTIFS($A$2:$A$2001,A1439,$B$2:$B$2001,B1439,$C$2:$C$2001,C1439,$D$2:$D$2001,D1439)&gt;1,"DUPLIKAT","OK"))))</f>
        <v/>
      </c>
    </row>
    <row r="1440">
      <c r="A1440" s="4" t="n"/>
      <c r="B1440" s="5" t="n"/>
      <c r="C1440" s="5" t="n"/>
      <c r="D1440" s="5" t="n"/>
      <c r="E1440" s="6">
        <f>IF(A1440="","","B"&amp;TEXT(COUNT($A$2:A1440),"00000"))</f>
        <v/>
      </c>
      <c r="F1440" s="6">
        <f>IF(OR(C1440="",D1440=""),"",IFERROR(LOOKUP(2,1/(($C$1:C1439=C1440)*($D$1:D1439=D1440)*ISNUMBER($J$1:J1439)),$J$1:J1439),SUMIFS(Master!$G$2:$G$13,Master!$E$2:$E$13,C1440,Master!$F$2:$F$13,D1440)))</f>
        <v/>
      </c>
      <c r="G1440" s="5" t="n"/>
      <c r="H1440" s="5" t="n"/>
      <c r="I1440" s="5" t="n"/>
      <c r="J1440" s="6">
        <f>IF(OR(F1440="",COUNT(G1440:I1440)&lt;3),"",F1440+G1440-H1440-I1440)</f>
        <v/>
      </c>
      <c r="K1440" s="6">
        <f>IF(COUNTA(A1440:D1440,G1440:I1440)=0,"",IF(COUNTA(A1440:D1440,G1440:I1440)&lt;7,"LENGKAPI",IF(H1440+I1440&gt;N(F1440)+G1440,"ABNORMAL",IF(COUNTIFS($A$2:$A$2001,A1440,$B$2:$B$2001,B1440,$C$2:$C$2001,C1440,$D$2:$D$2001,D1440)&gt;1,"DUPLIKAT","OK"))))</f>
        <v/>
      </c>
    </row>
    <row r="1441">
      <c r="A1441" s="4" t="n"/>
      <c r="B1441" s="5" t="n"/>
      <c r="C1441" s="5" t="n"/>
      <c r="D1441" s="5" t="n"/>
      <c r="E1441" s="6">
        <f>IF(A1441="","","B"&amp;TEXT(COUNT($A$2:A1441),"00000"))</f>
        <v/>
      </c>
      <c r="F1441" s="6">
        <f>IF(OR(C1441="",D1441=""),"",IFERROR(LOOKUP(2,1/(($C$1:C1440=C1441)*($D$1:D1440=D1441)*ISNUMBER($J$1:J1440)),$J$1:J1440),SUMIFS(Master!$G$2:$G$13,Master!$E$2:$E$13,C1441,Master!$F$2:$F$13,D1441)))</f>
        <v/>
      </c>
      <c r="G1441" s="5" t="n"/>
      <c r="H1441" s="5" t="n"/>
      <c r="I1441" s="5" t="n"/>
      <c r="J1441" s="6">
        <f>IF(OR(F1441="",COUNT(G1441:I1441)&lt;3),"",F1441+G1441-H1441-I1441)</f>
        <v/>
      </c>
      <c r="K1441" s="6">
        <f>IF(COUNTA(A1441:D1441,G1441:I1441)=0,"",IF(COUNTA(A1441:D1441,G1441:I1441)&lt;7,"LENGKAPI",IF(H1441+I1441&gt;N(F1441)+G1441,"ABNORMAL",IF(COUNTIFS($A$2:$A$2001,A1441,$B$2:$B$2001,B1441,$C$2:$C$2001,C1441,$D$2:$D$2001,D1441)&gt;1,"DUPLIKAT","OK"))))</f>
        <v/>
      </c>
    </row>
    <row r="1442">
      <c r="A1442" s="4" t="n"/>
      <c r="B1442" s="5" t="n"/>
      <c r="C1442" s="5" t="n"/>
      <c r="D1442" s="5" t="n"/>
      <c r="E1442" s="6">
        <f>IF(A1442="","","B"&amp;TEXT(COUNT($A$2:A1442),"00000"))</f>
        <v/>
      </c>
      <c r="F1442" s="6">
        <f>IF(OR(C1442="",D1442=""),"",IFERROR(LOOKUP(2,1/(($C$1:C1441=C1442)*($D$1:D1441=D1442)*ISNUMBER($J$1:J1441)),$J$1:J1441),SUMIFS(Master!$G$2:$G$13,Master!$E$2:$E$13,C1442,Master!$F$2:$F$13,D1442)))</f>
        <v/>
      </c>
      <c r="G1442" s="5" t="n"/>
      <c r="H1442" s="5" t="n"/>
      <c r="I1442" s="5" t="n"/>
      <c r="J1442" s="6">
        <f>IF(OR(F1442="",COUNT(G1442:I1442)&lt;3),"",F1442+G1442-H1442-I1442)</f>
        <v/>
      </c>
      <c r="K1442" s="6">
        <f>IF(COUNTA(A1442:D1442,G1442:I1442)=0,"",IF(COUNTA(A1442:D1442,G1442:I1442)&lt;7,"LENGKAPI",IF(H1442+I1442&gt;N(F1442)+G1442,"ABNORMAL",IF(COUNTIFS($A$2:$A$2001,A1442,$B$2:$B$2001,B1442,$C$2:$C$2001,C1442,$D$2:$D$2001,D1442)&gt;1,"DUPLIKAT","OK"))))</f>
        <v/>
      </c>
    </row>
    <row r="1443">
      <c r="A1443" s="4" t="n"/>
      <c r="B1443" s="5" t="n"/>
      <c r="C1443" s="5" t="n"/>
      <c r="D1443" s="5" t="n"/>
      <c r="E1443" s="6">
        <f>IF(A1443="","","B"&amp;TEXT(COUNT($A$2:A1443),"00000"))</f>
        <v/>
      </c>
      <c r="F1443" s="6">
        <f>IF(OR(C1443="",D1443=""),"",IFERROR(LOOKUP(2,1/(($C$1:C1442=C1443)*($D$1:D1442=D1443)*ISNUMBER($J$1:J1442)),$J$1:J1442),SUMIFS(Master!$G$2:$G$13,Master!$E$2:$E$13,C1443,Master!$F$2:$F$13,D1443)))</f>
        <v/>
      </c>
      <c r="G1443" s="5" t="n"/>
      <c r="H1443" s="5" t="n"/>
      <c r="I1443" s="5" t="n"/>
      <c r="J1443" s="6">
        <f>IF(OR(F1443="",COUNT(G1443:I1443)&lt;3),"",F1443+G1443-H1443-I1443)</f>
        <v/>
      </c>
      <c r="K1443" s="6">
        <f>IF(COUNTA(A1443:D1443,G1443:I1443)=0,"",IF(COUNTA(A1443:D1443,G1443:I1443)&lt;7,"LENGKAPI",IF(H1443+I1443&gt;N(F1443)+G1443,"ABNORMAL",IF(COUNTIFS($A$2:$A$2001,A1443,$B$2:$B$2001,B1443,$C$2:$C$2001,C1443,$D$2:$D$2001,D1443)&gt;1,"DUPLIKAT","OK"))))</f>
        <v/>
      </c>
    </row>
    <row r="1444">
      <c r="A1444" s="4" t="n"/>
      <c r="B1444" s="5" t="n"/>
      <c r="C1444" s="5" t="n"/>
      <c r="D1444" s="5" t="n"/>
      <c r="E1444" s="6">
        <f>IF(A1444="","","B"&amp;TEXT(COUNT($A$2:A1444),"00000"))</f>
        <v/>
      </c>
      <c r="F1444" s="6">
        <f>IF(OR(C1444="",D1444=""),"",IFERROR(LOOKUP(2,1/(($C$1:C1443=C1444)*($D$1:D1443=D1444)*ISNUMBER($J$1:J1443)),$J$1:J1443),SUMIFS(Master!$G$2:$G$13,Master!$E$2:$E$13,C1444,Master!$F$2:$F$13,D1444)))</f>
        <v/>
      </c>
      <c r="G1444" s="5" t="n"/>
      <c r="H1444" s="5" t="n"/>
      <c r="I1444" s="5" t="n"/>
      <c r="J1444" s="6">
        <f>IF(OR(F1444="",COUNT(G1444:I1444)&lt;3),"",F1444+G1444-H1444-I1444)</f>
        <v/>
      </c>
      <c r="K1444" s="6">
        <f>IF(COUNTA(A1444:D1444,G1444:I1444)=0,"",IF(COUNTA(A1444:D1444,G1444:I1444)&lt;7,"LENGKAPI",IF(H1444+I1444&gt;N(F1444)+G1444,"ABNORMAL",IF(COUNTIFS($A$2:$A$2001,A1444,$B$2:$B$2001,B1444,$C$2:$C$2001,C1444,$D$2:$D$2001,D1444)&gt;1,"DUPLIKAT","OK"))))</f>
        <v/>
      </c>
    </row>
    <row r="1445">
      <c r="A1445" s="4" t="n"/>
      <c r="B1445" s="5" t="n"/>
      <c r="C1445" s="5" t="n"/>
      <c r="D1445" s="5" t="n"/>
      <c r="E1445" s="6">
        <f>IF(A1445="","","B"&amp;TEXT(COUNT($A$2:A1445),"00000"))</f>
        <v/>
      </c>
      <c r="F1445" s="6">
        <f>IF(OR(C1445="",D1445=""),"",IFERROR(LOOKUP(2,1/(($C$1:C1444=C1445)*($D$1:D1444=D1445)*ISNUMBER($J$1:J1444)),$J$1:J1444),SUMIFS(Master!$G$2:$G$13,Master!$E$2:$E$13,C1445,Master!$F$2:$F$13,D1445)))</f>
        <v/>
      </c>
      <c r="G1445" s="5" t="n"/>
      <c r="H1445" s="5" t="n"/>
      <c r="I1445" s="5" t="n"/>
      <c r="J1445" s="6">
        <f>IF(OR(F1445="",COUNT(G1445:I1445)&lt;3),"",F1445+G1445-H1445-I1445)</f>
        <v/>
      </c>
      <c r="K1445" s="6">
        <f>IF(COUNTA(A1445:D1445,G1445:I1445)=0,"",IF(COUNTA(A1445:D1445,G1445:I1445)&lt;7,"LENGKAPI",IF(H1445+I1445&gt;N(F1445)+G1445,"ABNORMAL",IF(COUNTIFS($A$2:$A$2001,A1445,$B$2:$B$2001,B1445,$C$2:$C$2001,C1445,$D$2:$D$2001,D1445)&gt;1,"DUPLIKAT","OK"))))</f>
        <v/>
      </c>
    </row>
    <row r="1446">
      <c r="A1446" s="4" t="n"/>
      <c r="B1446" s="5" t="n"/>
      <c r="C1446" s="5" t="n"/>
      <c r="D1446" s="5" t="n"/>
      <c r="E1446" s="6">
        <f>IF(A1446="","","B"&amp;TEXT(COUNT($A$2:A1446),"00000"))</f>
        <v/>
      </c>
      <c r="F1446" s="6">
        <f>IF(OR(C1446="",D1446=""),"",IFERROR(LOOKUP(2,1/(($C$1:C1445=C1446)*($D$1:D1445=D1446)*ISNUMBER($J$1:J1445)),$J$1:J1445),SUMIFS(Master!$G$2:$G$13,Master!$E$2:$E$13,C1446,Master!$F$2:$F$13,D1446)))</f>
        <v/>
      </c>
      <c r="G1446" s="5" t="n"/>
      <c r="H1446" s="5" t="n"/>
      <c r="I1446" s="5" t="n"/>
      <c r="J1446" s="6">
        <f>IF(OR(F1446="",COUNT(G1446:I1446)&lt;3),"",F1446+G1446-H1446-I1446)</f>
        <v/>
      </c>
      <c r="K1446" s="6">
        <f>IF(COUNTA(A1446:D1446,G1446:I1446)=0,"",IF(COUNTA(A1446:D1446,G1446:I1446)&lt;7,"LENGKAPI",IF(H1446+I1446&gt;N(F1446)+G1446,"ABNORMAL",IF(COUNTIFS($A$2:$A$2001,A1446,$B$2:$B$2001,B1446,$C$2:$C$2001,C1446,$D$2:$D$2001,D1446)&gt;1,"DUPLIKAT","OK"))))</f>
        <v/>
      </c>
    </row>
    <row r="1447">
      <c r="A1447" s="4" t="n"/>
      <c r="B1447" s="5" t="n"/>
      <c r="C1447" s="5" t="n"/>
      <c r="D1447" s="5" t="n"/>
      <c r="E1447" s="6">
        <f>IF(A1447="","","B"&amp;TEXT(COUNT($A$2:A1447),"00000"))</f>
        <v/>
      </c>
      <c r="F1447" s="6">
        <f>IF(OR(C1447="",D1447=""),"",IFERROR(LOOKUP(2,1/(($C$1:C1446=C1447)*($D$1:D1446=D1447)*ISNUMBER($J$1:J1446)),$J$1:J1446),SUMIFS(Master!$G$2:$G$13,Master!$E$2:$E$13,C1447,Master!$F$2:$F$13,D1447)))</f>
        <v/>
      </c>
      <c r="G1447" s="5" t="n"/>
      <c r="H1447" s="5" t="n"/>
      <c r="I1447" s="5" t="n"/>
      <c r="J1447" s="6">
        <f>IF(OR(F1447="",COUNT(G1447:I1447)&lt;3),"",F1447+G1447-H1447-I1447)</f>
        <v/>
      </c>
      <c r="K1447" s="6">
        <f>IF(COUNTA(A1447:D1447,G1447:I1447)=0,"",IF(COUNTA(A1447:D1447,G1447:I1447)&lt;7,"LENGKAPI",IF(H1447+I1447&gt;N(F1447)+G1447,"ABNORMAL",IF(COUNTIFS($A$2:$A$2001,A1447,$B$2:$B$2001,B1447,$C$2:$C$2001,C1447,$D$2:$D$2001,D1447)&gt;1,"DUPLIKAT","OK"))))</f>
        <v/>
      </c>
    </row>
    <row r="1448">
      <c r="A1448" s="4" t="n"/>
      <c r="B1448" s="5" t="n"/>
      <c r="C1448" s="5" t="n"/>
      <c r="D1448" s="5" t="n"/>
      <c r="E1448" s="6">
        <f>IF(A1448="","","B"&amp;TEXT(COUNT($A$2:A1448),"00000"))</f>
        <v/>
      </c>
      <c r="F1448" s="6">
        <f>IF(OR(C1448="",D1448=""),"",IFERROR(LOOKUP(2,1/(($C$1:C1447=C1448)*($D$1:D1447=D1448)*ISNUMBER($J$1:J1447)),$J$1:J1447),SUMIFS(Master!$G$2:$G$13,Master!$E$2:$E$13,C1448,Master!$F$2:$F$13,D1448)))</f>
        <v/>
      </c>
      <c r="G1448" s="5" t="n"/>
      <c r="H1448" s="5" t="n"/>
      <c r="I1448" s="5" t="n"/>
      <c r="J1448" s="6">
        <f>IF(OR(F1448="",COUNT(G1448:I1448)&lt;3),"",F1448+G1448-H1448-I1448)</f>
        <v/>
      </c>
      <c r="K1448" s="6">
        <f>IF(COUNTA(A1448:D1448,G1448:I1448)=0,"",IF(COUNTA(A1448:D1448,G1448:I1448)&lt;7,"LENGKAPI",IF(H1448+I1448&gt;N(F1448)+G1448,"ABNORMAL",IF(COUNTIFS($A$2:$A$2001,A1448,$B$2:$B$2001,B1448,$C$2:$C$2001,C1448,$D$2:$D$2001,D1448)&gt;1,"DUPLIKAT","OK"))))</f>
        <v/>
      </c>
    </row>
    <row r="1449">
      <c r="A1449" s="4" t="n"/>
      <c r="B1449" s="5" t="n"/>
      <c r="C1449" s="5" t="n"/>
      <c r="D1449" s="5" t="n"/>
      <c r="E1449" s="6">
        <f>IF(A1449="","","B"&amp;TEXT(COUNT($A$2:A1449),"00000"))</f>
        <v/>
      </c>
      <c r="F1449" s="6">
        <f>IF(OR(C1449="",D1449=""),"",IFERROR(LOOKUP(2,1/(($C$1:C1448=C1449)*($D$1:D1448=D1449)*ISNUMBER($J$1:J1448)),$J$1:J1448),SUMIFS(Master!$G$2:$G$13,Master!$E$2:$E$13,C1449,Master!$F$2:$F$13,D1449)))</f>
        <v/>
      </c>
      <c r="G1449" s="5" t="n"/>
      <c r="H1449" s="5" t="n"/>
      <c r="I1449" s="5" t="n"/>
      <c r="J1449" s="6">
        <f>IF(OR(F1449="",COUNT(G1449:I1449)&lt;3),"",F1449+G1449-H1449-I1449)</f>
        <v/>
      </c>
      <c r="K1449" s="6">
        <f>IF(COUNTA(A1449:D1449,G1449:I1449)=0,"",IF(COUNTA(A1449:D1449,G1449:I1449)&lt;7,"LENGKAPI",IF(H1449+I1449&gt;N(F1449)+G1449,"ABNORMAL",IF(COUNTIFS($A$2:$A$2001,A1449,$B$2:$B$2001,B1449,$C$2:$C$2001,C1449,$D$2:$D$2001,D1449)&gt;1,"DUPLIKAT","OK"))))</f>
        <v/>
      </c>
    </row>
    <row r="1450">
      <c r="A1450" s="4" t="n"/>
      <c r="B1450" s="5" t="n"/>
      <c r="C1450" s="5" t="n"/>
      <c r="D1450" s="5" t="n"/>
      <c r="E1450" s="6">
        <f>IF(A1450="","","B"&amp;TEXT(COUNT($A$2:A1450),"00000"))</f>
        <v/>
      </c>
      <c r="F1450" s="6">
        <f>IF(OR(C1450="",D1450=""),"",IFERROR(LOOKUP(2,1/(($C$1:C1449=C1450)*($D$1:D1449=D1450)*ISNUMBER($J$1:J1449)),$J$1:J1449),SUMIFS(Master!$G$2:$G$13,Master!$E$2:$E$13,C1450,Master!$F$2:$F$13,D1450)))</f>
        <v/>
      </c>
      <c r="G1450" s="5" t="n"/>
      <c r="H1450" s="5" t="n"/>
      <c r="I1450" s="5" t="n"/>
      <c r="J1450" s="6">
        <f>IF(OR(F1450="",COUNT(G1450:I1450)&lt;3),"",F1450+G1450-H1450-I1450)</f>
        <v/>
      </c>
      <c r="K1450" s="6">
        <f>IF(COUNTA(A1450:D1450,G1450:I1450)=0,"",IF(COUNTA(A1450:D1450,G1450:I1450)&lt;7,"LENGKAPI",IF(H1450+I1450&gt;N(F1450)+G1450,"ABNORMAL",IF(COUNTIFS($A$2:$A$2001,A1450,$B$2:$B$2001,B1450,$C$2:$C$2001,C1450,$D$2:$D$2001,D1450)&gt;1,"DUPLIKAT","OK"))))</f>
        <v/>
      </c>
    </row>
    <row r="1451">
      <c r="A1451" s="4" t="n"/>
      <c r="B1451" s="5" t="n"/>
      <c r="C1451" s="5" t="n"/>
      <c r="D1451" s="5" t="n"/>
      <c r="E1451" s="6">
        <f>IF(A1451="","","B"&amp;TEXT(COUNT($A$2:A1451),"00000"))</f>
        <v/>
      </c>
      <c r="F1451" s="6">
        <f>IF(OR(C1451="",D1451=""),"",IFERROR(LOOKUP(2,1/(($C$1:C1450=C1451)*($D$1:D1450=D1451)*ISNUMBER($J$1:J1450)),$J$1:J1450),SUMIFS(Master!$G$2:$G$13,Master!$E$2:$E$13,C1451,Master!$F$2:$F$13,D1451)))</f>
        <v/>
      </c>
      <c r="G1451" s="5" t="n"/>
      <c r="H1451" s="5" t="n"/>
      <c r="I1451" s="5" t="n"/>
      <c r="J1451" s="6">
        <f>IF(OR(F1451="",COUNT(G1451:I1451)&lt;3),"",F1451+G1451-H1451-I1451)</f>
        <v/>
      </c>
      <c r="K1451" s="6">
        <f>IF(COUNTA(A1451:D1451,G1451:I1451)=0,"",IF(COUNTA(A1451:D1451,G1451:I1451)&lt;7,"LENGKAPI",IF(H1451+I1451&gt;N(F1451)+G1451,"ABNORMAL",IF(COUNTIFS($A$2:$A$2001,A1451,$B$2:$B$2001,B1451,$C$2:$C$2001,C1451,$D$2:$D$2001,D1451)&gt;1,"DUPLIKAT","OK"))))</f>
        <v/>
      </c>
    </row>
    <row r="1452">
      <c r="A1452" s="4" t="n"/>
      <c r="B1452" s="5" t="n"/>
      <c r="C1452" s="5" t="n"/>
      <c r="D1452" s="5" t="n"/>
      <c r="E1452" s="6">
        <f>IF(A1452="","","B"&amp;TEXT(COUNT($A$2:A1452),"00000"))</f>
        <v/>
      </c>
      <c r="F1452" s="6">
        <f>IF(OR(C1452="",D1452=""),"",IFERROR(LOOKUP(2,1/(($C$1:C1451=C1452)*($D$1:D1451=D1452)*ISNUMBER($J$1:J1451)),$J$1:J1451),SUMIFS(Master!$G$2:$G$13,Master!$E$2:$E$13,C1452,Master!$F$2:$F$13,D1452)))</f>
        <v/>
      </c>
      <c r="G1452" s="5" t="n"/>
      <c r="H1452" s="5" t="n"/>
      <c r="I1452" s="5" t="n"/>
      <c r="J1452" s="6">
        <f>IF(OR(F1452="",COUNT(G1452:I1452)&lt;3),"",F1452+G1452-H1452-I1452)</f>
        <v/>
      </c>
      <c r="K1452" s="6">
        <f>IF(COUNTA(A1452:D1452,G1452:I1452)=0,"",IF(COUNTA(A1452:D1452,G1452:I1452)&lt;7,"LENGKAPI",IF(H1452+I1452&gt;N(F1452)+G1452,"ABNORMAL",IF(COUNTIFS($A$2:$A$2001,A1452,$B$2:$B$2001,B1452,$C$2:$C$2001,C1452,$D$2:$D$2001,D1452)&gt;1,"DUPLIKAT","OK"))))</f>
        <v/>
      </c>
    </row>
    <row r="1453">
      <c r="A1453" s="4" t="n"/>
      <c r="B1453" s="5" t="n"/>
      <c r="C1453" s="5" t="n"/>
      <c r="D1453" s="5" t="n"/>
      <c r="E1453" s="6">
        <f>IF(A1453="","","B"&amp;TEXT(COUNT($A$2:A1453),"00000"))</f>
        <v/>
      </c>
      <c r="F1453" s="6">
        <f>IF(OR(C1453="",D1453=""),"",IFERROR(LOOKUP(2,1/(($C$1:C1452=C1453)*($D$1:D1452=D1453)*ISNUMBER($J$1:J1452)),$J$1:J1452),SUMIFS(Master!$G$2:$G$13,Master!$E$2:$E$13,C1453,Master!$F$2:$F$13,D1453)))</f>
        <v/>
      </c>
      <c r="G1453" s="5" t="n"/>
      <c r="H1453" s="5" t="n"/>
      <c r="I1453" s="5" t="n"/>
      <c r="J1453" s="6">
        <f>IF(OR(F1453="",COUNT(G1453:I1453)&lt;3),"",F1453+G1453-H1453-I1453)</f>
        <v/>
      </c>
      <c r="K1453" s="6">
        <f>IF(COUNTA(A1453:D1453,G1453:I1453)=0,"",IF(COUNTA(A1453:D1453,G1453:I1453)&lt;7,"LENGKAPI",IF(H1453+I1453&gt;N(F1453)+G1453,"ABNORMAL",IF(COUNTIFS($A$2:$A$2001,A1453,$B$2:$B$2001,B1453,$C$2:$C$2001,C1453,$D$2:$D$2001,D1453)&gt;1,"DUPLIKAT","OK"))))</f>
        <v/>
      </c>
    </row>
    <row r="1454">
      <c r="A1454" s="4" t="n"/>
      <c r="B1454" s="5" t="n"/>
      <c r="C1454" s="5" t="n"/>
      <c r="D1454" s="5" t="n"/>
      <c r="E1454" s="6">
        <f>IF(A1454="","","B"&amp;TEXT(COUNT($A$2:A1454),"00000"))</f>
        <v/>
      </c>
      <c r="F1454" s="6">
        <f>IF(OR(C1454="",D1454=""),"",IFERROR(LOOKUP(2,1/(($C$1:C1453=C1454)*($D$1:D1453=D1454)*ISNUMBER($J$1:J1453)),$J$1:J1453),SUMIFS(Master!$G$2:$G$13,Master!$E$2:$E$13,C1454,Master!$F$2:$F$13,D1454)))</f>
        <v/>
      </c>
      <c r="G1454" s="5" t="n"/>
      <c r="H1454" s="5" t="n"/>
      <c r="I1454" s="5" t="n"/>
      <c r="J1454" s="6">
        <f>IF(OR(F1454="",COUNT(G1454:I1454)&lt;3),"",F1454+G1454-H1454-I1454)</f>
        <v/>
      </c>
      <c r="K1454" s="6">
        <f>IF(COUNTA(A1454:D1454,G1454:I1454)=0,"",IF(COUNTA(A1454:D1454,G1454:I1454)&lt;7,"LENGKAPI",IF(H1454+I1454&gt;N(F1454)+G1454,"ABNORMAL",IF(COUNTIFS($A$2:$A$2001,A1454,$B$2:$B$2001,B1454,$C$2:$C$2001,C1454,$D$2:$D$2001,D1454)&gt;1,"DUPLIKAT","OK"))))</f>
        <v/>
      </c>
    </row>
    <row r="1455">
      <c r="A1455" s="4" t="n"/>
      <c r="B1455" s="5" t="n"/>
      <c r="C1455" s="5" t="n"/>
      <c r="D1455" s="5" t="n"/>
      <c r="E1455" s="6">
        <f>IF(A1455="","","B"&amp;TEXT(COUNT($A$2:A1455),"00000"))</f>
        <v/>
      </c>
      <c r="F1455" s="6">
        <f>IF(OR(C1455="",D1455=""),"",IFERROR(LOOKUP(2,1/(($C$1:C1454=C1455)*($D$1:D1454=D1455)*ISNUMBER($J$1:J1454)),$J$1:J1454),SUMIFS(Master!$G$2:$G$13,Master!$E$2:$E$13,C1455,Master!$F$2:$F$13,D1455)))</f>
        <v/>
      </c>
      <c r="G1455" s="5" t="n"/>
      <c r="H1455" s="5" t="n"/>
      <c r="I1455" s="5" t="n"/>
      <c r="J1455" s="6">
        <f>IF(OR(F1455="",COUNT(G1455:I1455)&lt;3),"",F1455+G1455-H1455-I1455)</f>
        <v/>
      </c>
      <c r="K1455" s="6">
        <f>IF(COUNTA(A1455:D1455,G1455:I1455)=0,"",IF(COUNTA(A1455:D1455,G1455:I1455)&lt;7,"LENGKAPI",IF(H1455+I1455&gt;N(F1455)+G1455,"ABNORMAL",IF(COUNTIFS($A$2:$A$2001,A1455,$B$2:$B$2001,B1455,$C$2:$C$2001,C1455,$D$2:$D$2001,D1455)&gt;1,"DUPLIKAT","OK"))))</f>
        <v/>
      </c>
    </row>
    <row r="1456">
      <c r="A1456" s="4" t="n"/>
      <c r="B1456" s="5" t="n"/>
      <c r="C1456" s="5" t="n"/>
      <c r="D1456" s="5" t="n"/>
      <c r="E1456" s="6">
        <f>IF(A1456="","","B"&amp;TEXT(COUNT($A$2:A1456),"00000"))</f>
        <v/>
      </c>
      <c r="F1456" s="6">
        <f>IF(OR(C1456="",D1456=""),"",IFERROR(LOOKUP(2,1/(($C$1:C1455=C1456)*($D$1:D1455=D1456)*ISNUMBER($J$1:J1455)),$J$1:J1455),SUMIFS(Master!$G$2:$G$13,Master!$E$2:$E$13,C1456,Master!$F$2:$F$13,D1456)))</f>
        <v/>
      </c>
      <c r="G1456" s="5" t="n"/>
      <c r="H1456" s="5" t="n"/>
      <c r="I1456" s="5" t="n"/>
      <c r="J1456" s="6">
        <f>IF(OR(F1456="",COUNT(G1456:I1456)&lt;3),"",F1456+G1456-H1456-I1456)</f>
        <v/>
      </c>
      <c r="K1456" s="6">
        <f>IF(COUNTA(A1456:D1456,G1456:I1456)=0,"",IF(COUNTA(A1456:D1456,G1456:I1456)&lt;7,"LENGKAPI",IF(H1456+I1456&gt;N(F1456)+G1456,"ABNORMAL",IF(COUNTIFS($A$2:$A$2001,A1456,$B$2:$B$2001,B1456,$C$2:$C$2001,C1456,$D$2:$D$2001,D1456)&gt;1,"DUPLIKAT","OK"))))</f>
        <v/>
      </c>
    </row>
    <row r="1457">
      <c r="A1457" s="4" t="n"/>
      <c r="B1457" s="5" t="n"/>
      <c r="C1457" s="5" t="n"/>
      <c r="D1457" s="5" t="n"/>
      <c r="E1457" s="6">
        <f>IF(A1457="","","B"&amp;TEXT(COUNT($A$2:A1457),"00000"))</f>
        <v/>
      </c>
      <c r="F1457" s="6">
        <f>IF(OR(C1457="",D1457=""),"",IFERROR(LOOKUP(2,1/(($C$1:C1456=C1457)*($D$1:D1456=D1457)*ISNUMBER($J$1:J1456)),$J$1:J1456),SUMIFS(Master!$G$2:$G$13,Master!$E$2:$E$13,C1457,Master!$F$2:$F$13,D1457)))</f>
        <v/>
      </c>
      <c r="G1457" s="5" t="n"/>
      <c r="H1457" s="5" t="n"/>
      <c r="I1457" s="5" t="n"/>
      <c r="J1457" s="6">
        <f>IF(OR(F1457="",COUNT(G1457:I1457)&lt;3),"",F1457+G1457-H1457-I1457)</f>
        <v/>
      </c>
      <c r="K1457" s="6">
        <f>IF(COUNTA(A1457:D1457,G1457:I1457)=0,"",IF(COUNTA(A1457:D1457,G1457:I1457)&lt;7,"LENGKAPI",IF(H1457+I1457&gt;N(F1457)+G1457,"ABNORMAL",IF(COUNTIFS($A$2:$A$2001,A1457,$B$2:$B$2001,B1457,$C$2:$C$2001,C1457,$D$2:$D$2001,D1457)&gt;1,"DUPLIKAT","OK"))))</f>
        <v/>
      </c>
    </row>
    <row r="1458">
      <c r="A1458" s="4" t="n"/>
      <c r="B1458" s="5" t="n"/>
      <c r="C1458" s="5" t="n"/>
      <c r="D1458" s="5" t="n"/>
      <c r="E1458" s="6">
        <f>IF(A1458="","","B"&amp;TEXT(COUNT($A$2:A1458),"00000"))</f>
        <v/>
      </c>
      <c r="F1458" s="6">
        <f>IF(OR(C1458="",D1458=""),"",IFERROR(LOOKUP(2,1/(($C$1:C1457=C1458)*($D$1:D1457=D1458)*ISNUMBER($J$1:J1457)),$J$1:J1457),SUMIFS(Master!$G$2:$G$13,Master!$E$2:$E$13,C1458,Master!$F$2:$F$13,D1458)))</f>
        <v/>
      </c>
      <c r="G1458" s="5" t="n"/>
      <c r="H1458" s="5" t="n"/>
      <c r="I1458" s="5" t="n"/>
      <c r="J1458" s="6">
        <f>IF(OR(F1458="",COUNT(G1458:I1458)&lt;3),"",F1458+G1458-H1458-I1458)</f>
        <v/>
      </c>
      <c r="K1458" s="6">
        <f>IF(COUNTA(A1458:D1458,G1458:I1458)=0,"",IF(COUNTA(A1458:D1458,G1458:I1458)&lt;7,"LENGKAPI",IF(H1458+I1458&gt;N(F1458)+G1458,"ABNORMAL",IF(COUNTIFS($A$2:$A$2001,A1458,$B$2:$B$2001,B1458,$C$2:$C$2001,C1458,$D$2:$D$2001,D1458)&gt;1,"DUPLIKAT","OK"))))</f>
        <v/>
      </c>
    </row>
    <row r="1459">
      <c r="A1459" s="4" t="n"/>
      <c r="B1459" s="5" t="n"/>
      <c r="C1459" s="5" t="n"/>
      <c r="D1459" s="5" t="n"/>
      <c r="E1459" s="6">
        <f>IF(A1459="","","B"&amp;TEXT(COUNT($A$2:A1459),"00000"))</f>
        <v/>
      </c>
      <c r="F1459" s="6">
        <f>IF(OR(C1459="",D1459=""),"",IFERROR(LOOKUP(2,1/(($C$1:C1458=C1459)*($D$1:D1458=D1459)*ISNUMBER($J$1:J1458)),$J$1:J1458),SUMIFS(Master!$G$2:$G$13,Master!$E$2:$E$13,C1459,Master!$F$2:$F$13,D1459)))</f>
        <v/>
      </c>
      <c r="G1459" s="5" t="n"/>
      <c r="H1459" s="5" t="n"/>
      <c r="I1459" s="5" t="n"/>
      <c r="J1459" s="6">
        <f>IF(OR(F1459="",COUNT(G1459:I1459)&lt;3),"",F1459+G1459-H1459-I1459)</f>
        <v/>
      </c>
      <c r="K1459" s="6">
        <f>IF(COUNTA(A1459:D1459,G1459:I1459)=0,"",IF(COUNTA(A1459:D1459,G1459:I1459)&lt;7,"LENGKAPI",IF(H1459+I1459&gt;N(F1459)+G1459,"ABNORMAL",IF(COUNTIFS($A$2:$A$2001,A1459,$B$2:$B$2001,B1459,$C$2:$C$2001,C1459,$D$2:$D$2001,D1459)&gt;1,"DUPLIKAT","OK"))))</f>
        <v/>
      </c>
    </row>
    <row r="1460">
      <c r="A1460" s="4" t="n"/>
      <c r="B1460" s="5" t="n"/>
      <c r="C1460" s="5" t="n"/>
      <c r="D1460" s="5" t="n"/>
      <c r="E1460" s="6">
        <f>IF(A1460="","","B"&amp;TEXT(COUNT($A$2:A1460),"00000"))</f>
        <v/>
      </c>
      <c r="F1460" s="6">
        <f>IF(OR(C1460="",D1460=""),"",IFERROR(LOOKUP(2,1/(($C$1:C1459=C1460)*($D$1:D1459=D1460)*ISNUMBER($J$1:J1459)),$J$1:J1459),SUMIFS(Master!$G$2:$G$13,Master!$E$2:$E$13,C1460,Master!$F$2:$F$13,D1460)))</f>
        <v/>
      </c>
      <c r="G1460" s="5" t="n"/>
      <c r="H1460" s="5" t="n"/>
      <c r="I1460" s="5" t="n"/>
      <c r="J1460" s="6">
        <f>IF(OR(F1460="",COUNT(G1460:I1460)&lt;3),"",F1460+G1460-H1460-I1460)</f>
        <v/>
      </c>
      <c r="K1460" s="6">
        <f>IF(COUNTA(A1460:D1460,G1460:I1460)=0,"",IF(COUNTA(A1460:D1460,G1460:I1460)&lt;7,"LENGKAPI",IF(H1460+I1460&gt;N(F1460)+G1460,"ABNORMAL",IF(COUNTIFS($A$2:$A$2001,A1460,$B$2:$B$2001,B1460,$C$2:$C$2001,C1460,$D$2:$D$2001,D1460)&gt;1,"DUPLIKAT","OK"))))</f>
        <v/>
      </c>
    </row>
    <row r="1461">
      <c r="A1461" s="4" t="n"/>
      <c r="B1461" s="5" t="n"/>
      <c r="C1461" s="5" t="n"/>
      <c r="D1461" s="5" t="n"/>
      <c r="E1461" s="6">
        <f>IF(A1461="","","B"&amp;TEXT(COUNT($A$2:A1461),"00000"))</f>
        <v/>
      </c>
      <c r="F1461" s="6">
        <f>IF(OR(C1461="",D1461=""),"",IFERROR(LOOKUP(2,1/(($C$1:C1460=C1461)*($D$1:D1460=D1461)*ISNUMBER($J$1:J1460)),$J$1:J1460),SUMIFS(Master!$G$2:$G$13,Master!$E$2:$E$13,C1461,Master!$F$2:$F$13,D1461)))</f>
        <v/>
      </c>
      <c r="G1461" s="5" t="n"/>
      <c r="H1461" s="5" t="n"/>
      <c r="I1461" s="5" t="n"/>
      <c r="J1461" s="6">
        <f>IF(OR(F1461="",COUNT(G1461:I1461)&lt;3),"",F1461+G1461-H1461-I1461)</f>
        <v/>
      </c>
      <c r="K1461" s="6">
        <f>IF(COUNTA(A1461:D1461,G1461:I1461)=0,"",IF(COUNTA(A1461:D1461,G1461:I1461)&lt;7,"LENGKAPI",IF(H1461+I1461&gt;N(F1461)+G1461,"ABNORMAL",IF(COUNTIFS($A$2:$A$2001,A1461,$B$2:$B$2001,B1461,$C$2:$C$2001,C1461,$D$2:$D$2001,D1461)&gt;1,"DUPLIKAT","OK"))))</f>
        <v/>
      </c>
    </row>
    <row r="1462">
      <c r="A1462" s="4" t="n"/>
      <c r="B1462" s="5" t="n"/>
      <c r="C1462" s="5" t="n"/>
      <c r="D1462" s="5" t="n"/>
      <c r="E1462" s="6">
        <f>IF(A1462="","","B"&amp;TEXT(COUNT($A$2:A1462),"00000"))</f>
        <v/>
      </c>
      <c r="F1462" s="6">
        <f>IF(OR(C1462="",D1462=""),"",IFERROR(LOOKUP(2,1/(($C$1:C1461=C1462)*($D$1:D1461=D1462)*ISNUMBER($J$1:J1461)),$J$1:J1461),SUMIFS(Master!$G$2:$G$13,Master!$E$2:$E$13,C1462,Master!$F$2:$F$13,D1462)))</f>
        <v/>
      </c>
      <c r="G1462" s="5" t="n"/>
      <c r="H1462" s="5" t="n"/>
      <c r="I1462" s="5" t="n"/>
      <c r="J1462" s="6">
        <f>IF(OR(F1462="",COUNT(G1462:I1462)&lt;3),"",F1462+G1462-H1462-I1462)</f>
        <v/>
      </c>
      <c r="K1462" s="6">
        <f>IF(COUNTA(A1462:D1462,G1462:I1462)=0,"",IF(COUNTA(A1462:D1462,G1462:I1462)&lt;7,"LENGKAPI",IF(H1462+I1462&gt;N(F1462)+G1462,"ABNORMAL",IF(COUNTIFS($A$2:$A$2001,A1462,$B$2:$B$2001,B1462,$C$2:$C$2001,C1462,$D$2:$D$2001,D1462)&gt;1,"DUPLIKAT","OK"))))</f>
        <v/>
      </c>
    </row>
    <row r="1463">
      <c r="A1463" s="4" t="n"/>
      <c r="B1463" s="5" t="n"/>
      <c r="C1463" s="5" t="n"/>
      <c r="D1463" s="5" t="n"/>
      <c r="E1463" s="6">
        <f>IF(A1463="","","B"&amp;TEXT(COUNT($A$2:A1463),"00000"))</f>
        <v/>
      </c>
      <c r="F1463" s="6">
        <f>IF(OR(C1463="",D1463=""),"",IFERROR(LOOKUP(2,1/(($C$1:C1462=C1463)*($D$1:D1462=D1463)*ISNUMBER($J$1:J1462)),$J$1:J1462),SUMIFS(Master!$G$2:$G$13,Master!$E$2:$E$13,C1463,Master!$F$2:$F$13,D1463)))</f>
        <v/>
      </c>
      <c r="G1463" s="5" t="n"/>
      <c r="H1463" s="5" t="n"/>
      <c r="I1463" s="5" t="n"/>
      <c r="J1463" s="6">
        <f>IF(OR(F1463="",COUNT(G1463:I1463)&lt;3),"",F1463+G1463-H1463-I1463)</f>
        <v/>
      </c>
      <c r="K1463" s="6">
        <f>IF(COUNTA(A1463:D1463,G1463:I1463)=0,"",IF(COUNTA(A1463:D1463,G1463:I1463)&lt;7,"LENGKAPI",IF(H1463+I1463&gt;N(F1463)+G1463,"ABNORMAL",IF(COUNTIFS($A$2:$A$2001,A1463,$B$2:$B$2001,B1463,$C$2:$C$2001,C1463,$D$2:$D$2001,D1463)&gt;1,"DUPLIKAT","OK"))))</f>
        <v/>
      </c>
    </row>
    <row r="1464">
      <c r="A1464" s="4" t="n"/>
      <c r="B1464" s="5" t="n"/>
      <c r="C1464" s="5" t="n"/>
      <c r="D1464" s="5" t="n"/>
      <c r="E1464" s="6">
        <f>IF(A1464="","","B"&amp;TEXT(COUNT($A$2:A1464),"00000"))</f>
        <v/>
      </c>
      <c r="F1464" s="6">
        <f>IF(OR(C1464="",D1464=""),"",IFERROR(LOOKUP(2,1/(($C$1:C1463=C1464)*($D$1:D1463=D1464)*ISNUMBER($J$1:J1463)),$J$1:J1463),SUMIFS(Master!$G$2:$G$13,Master!$E$2:$E$13,C1464,Master!$F$2:$F$13,D1464)))</f>
        <v/>
      </c>
      <c r="G1464" s="5" t="n"/>
      <c r="H1464" s="5" t="n"/>
      <c r="I1464" s="5" t="n"/>
      <c r="J1464" s="6">
        <f>IF(OR(F1464="",COUNT(G1464:I1464)&lt;3),"",F1464+G1464-H1464-I1464)</f>
        <v/>
      </c>
      <c r="K1464" s="6">
        <f>IF(COUNTA(A1464:D1464,G1464:I1464)=0,"",IF(COUNTA(A1464:D1464,G1464:I1464)&lt;7,"LENGKAPI",IF(H1464+I1464&gt;N(F1464)+G1464,"ABNORMAL",IF(COUNTIFS($A$2:$A$2001,A1464,$B$2:$B$2001,B1464,$C$2:$C$2001,C1464,$D$2:$D$2001,D1464)&gt;1,"DUPLIKAT","OK"))))</f>
        <v/>
      </c>
    </row>
    <row r="1465">
      <c r="A1465" s="4" t="n"/>
      <c r="B1465" s="5" t="n"/>
      <c r="C1465" s="5" t="n"/>
      <c r="D1465" s="5" t="n"/>
      <c r="E1465" s="6">
        <f>IF(A1465="","","B"&amp;TEXT(COUNT($A$2:A1465),"00000"))</f>
        <v/>
      </c>
      <c r="F1465" s="6">
        <f>IF(OR(C1465="",D1465=""),"",IFERROR(LOOKUP(2,1/(($C$1:C1464=C1465)*($D$1:D1464=D1465)*ISNUMBER($J$1:J1464)),$J$1:J1464),SUMIFS(Master!$G$2:$G$13,Master!$E$2:$E$13,C1465,Master!$F$2:$F$13,D1465)))</f>
        <v/>
      </c>
      <c r="G1465" s="5" t="n"/>
      <c r="H1465" s="5" t="n"/>
      <c r="I1465" s="5" t="n"/>
      <c r="J1465" s="6">
        <f>IF(OR(F1465="",COUNT(G1465:I1465)&lt;3),"",F1465+G1465-H1465-I1465)</f>
        <v/>
      </c>
      <c r="K1465" s="6">
        <f>IF(COUNTA(A1465:D1465,G1465:I1465)=0,"",IF(COUNTA(A1465:D1465,G1465:I1465)&lt;7,"LENGKAPI",IF(H1465+I1465&gt;N(F1465)+G1465,"ABNORMAL",IF(COUNTIFS($A$2:$A$2001,A1465,$B$2:$B$2001,B1465,$C$2:$C$2001,C1465,$D$2:$D$2001,D1465)&gt;1,"DUPLIKAT","OK"))))</f>
        <v/>
      </c>
    </row>
    <row r="1466">
      <c r="A1466" s="4" t="n"/>
      <c r="B1466" s="5" t="n"/>
      <c r="C1466" s="5" t="n"/>
      <c r="D1466" s="5" t="n"/>
      <c r="E1466" s="6">
        <f>IF(A1466="","","B"&amp;TEXT(COUNT($A$2:A1466),"00000"))</f>
        <v/>
      </c>
      <c r="F1466" s="6">
        <f>IF(OR(C1466="",D1466=""),"",IFERROR(LOOKUP(2,1/(($C$1:C1465=C1466)*($D$1:D1465=D1466)*ISNUMBER($J$1:J1465)),$J$1:J1465),SUMIFS(Master!$G$2:$G$13,Master!$E$2:$E$13,C1466,Master!$F$2:$F$13,D1466)))</f>
        <v/>
      </c>
      <c r="G1466" s="5" t="n"/>
      <c r="H1466" s="5" t="n"/>
      <c r="I1466" s="5" t="n"/>
      <c r="J1466" s="6">
        <f>IF(OR(F1466="",COUNT(G1466:I1466)&lt;3),"",F1466+G1466-H1466-I1466)</f>
        <v/>
      </c>
      <c r="K1466" s="6">
        <f>IF(COUNTA(A1466:D1466,G1466:I1466)=0,"",IF(COUNTA(A1466:D1466,G1466:I1466)&lt;7,"LENGKAPI",IF(H1466+I1466&gt;N(F1466)+G1466,"ABNORMAL",IF(COUNTIFS($A$2:$A$2001,A1466,$B$2:$B$2001,B1466,$C$2:$C$2001,C1466,$D$2:$D$2001,D1466)&gt;1,"DUPLIKAT","OK"))))</f>
        <v/>
      </c>
    </row>
    <row r="1467">
      <c r="A1467" s="4" t="n"/>
      <c r="B1467" s="5" t="n"/>
      <c r="C1467" s="5" t="n"/>
      <c r="D1467" s="5" t="n"/>
      <c r="E1467" s="6">
        <f>IF(A1467="","","B"&amp;TEXT(COUNT($A$2:A1467),"00000"))</f>
        <v/>
      </c>
      <c r="F1467" s="6">
        <f>IF(OR(C1467="",D1467=""),"",IFERROR(LOOKUP(2,1/(($C$1:C1466=C1467)*($D$1:D1466=D1467)*ISNUMBER($J$1:J1466)),$J$1:J1466),SUMIFS(Master!$G$2:$G$13,Master!$E$2:$E$13,C1467,Master!$F$2:$F$13,D1467)))</f>
        <v/>
      </c>
      <c r="G1467" s="5" t="n"/>
      <c r="H1467" s="5" t="n"/>
      <c r="I1467" s="5" t="n"/>
      <c r="J1467" s="6">
        <f>IF(OR(F1467="",COUNT(G1467:I1467)&lt;3),"",F1467+G1467-H1467-I1467)</f>
        <v/>
      </c>
      <c r="K1467" s="6">
        <f>IF(COUNTA(A1467:D1467,G1467:I1467)=0,"",IF(COUNTA(A1467:D1467,G1467:I1467)&lt;7,"LENGKAPI",IF(H1467+I1467&gt;N(F1467)+G1467,"ABNORMAL",IF(COUNTIFS($A$2:$A$2001,A1467,$B$2:$B$2001,B1467,$C$2:$C$2001,C1467,$D$2:$D$2001,D1467)&gt;1,"DUPLIKAT","OK"))))</f>
        <v/>
      </c>
    </row>
    <row r="1468">
      <c r="A1468" s="4" t="n"/>
      <c r="B1468" s="5" t="n"/>
      <c r="C1468" s="5" t="n"/>
      <c r="D1468" s="5" t="n"/>
      <c r="E1468" s="6">
        <f>IF(A1468="","","B"&amp;TEXT(COUNT($A$2:A1468),"00000"))</f>
        <v/>
      </c>
      <c r="F1468" s="6">
        <f>IF(OR(C1468="",D1468=""),"",IFERROR(LOOKUP(2,1/(($C$1:C1467=C1468)*($D$1:D1467=D1468)*ISNUMBER($J$1:J1467)),$J$1:J1467),SUMIFS(Master!$G$2:$G$13,Master!$E$2:$E$13,C1468,Master!$F$2:$F$13,D1468)))</f>
        <v/>
      </c>
      <c r="G1468" s="5" t="n"/>
      <c r="H1468" s="5" t="n"/>
      <c r="I1468" s="5" t="n"/>
      <c r="J1468" s="6">
        <f>IF(OR(F1468="",COUNT(G1468:I1468)&lt;3),"",F1468+G1468-H1468-I1468)</f>
        <v/>
      </c>
      <c r="K1468" s="6">
        <f>IF(COUNTA(A1468:D1468,G1468:I1468)=0,"",IF(COUNTA(A1468:D1468,G1468:I1468)&lt;7,"LENGKAPI",IF(H1468+I1468&gt;N(F1468)+G1468,"ABNORMAL",IF(COUNTIFS($A$2:$A$2001,A1468,$B$2:$B$2001,B1468,$C$2:$C$2001,C1468,$D$2:$D$2001,D1468)&gt;1,"DUPLIKAT","OK"))))</f>
        <v/>
      </c>
    </row>
    <row r="1469">
      <c r="A1469" s="4" t="n"/>
      <c r="B1469" s="5" t="n"/>
      <c r="C1469" s="5" t="n"/>
      <c r="D1469" s="5" t="n"/>
      <c r="E1469" s="6">
        <f>IF(A1469="","","B"&amp;TEXT(COUNT($A$2:A1469),"00000"))</f>
        <v/>
      </c>
      <c r="F1469" s="6">
        <f>IF(OR(C1469="",D1469=""),"",IFERROR(LOOKUP(2,1/(($C$1:C1468=C1469)*($D$1:D1468=D1469)*ISNUMBER($J$1:J1468)),$J$1:J1468),SUMIFS(Master!$G$2:$G$13,Master!$E$2:$E$13,C1469,Master!$F$2:$F$13,D1469)))</f>
        <v/>
      </c>
      <c r="G1469" s="5" t="n"/>
      <c r="H1469" s="5" t="n"/>
      <c r="I1469" s="5" t="n"/>
      <c r="J1469" s="6">
        <f>IF(OR(F1469="",COUNT(G1469:I1469)&lt;3),"",F1469+G1469-H1469-I1469)</f>
        <v/>
      </c>
      <c r="K1469" s="6">
        <f>IF(COUNTA(A1469:D1469,G1469:I1469)=0,"",IF(COUNTA(A1469:D1469,G1469:I1469)&lt;7,"LENGKAPI",IF(H1469+I1469&gt;N(F1469)+G1469,"ABNORMAL",IF(COUNTIFS($A$2:$A$2001,A1469,$B$2:$B$2001,B1469,$C$2:$C$2001,C1469,$D$2:$D$2001,D1469)&gt;1,"DUPLIKAT","OK"))))</f>
        <v/>
      </c>
    </row>
    <row r="1470">
      <c r="A1470" s="4" t="n"/>
      <c r="B1470" s="5" t="n"/>
      <c r="C1470" s="5" t="n"/>
      <c r="D1470" s="5" t="n"/>
      <c r="E1470" s="6">
        <f>IF(A1470="","","B"&amp;TEXT(COUNT($A$2:A1470),"00000"))</f>
        <v/>
      </c>
      <c r="F1470" s="6">
        <f>IF(OR(C1470="",D1470=""),"",IFERROR(LOOKUP(2,1/(($C$1:C1469=C1470)*($D$1:D1469=D1470)*ISNUMBER($J$1:J1469)),$J$1:J1469),SUMIFS(Master!$G$2:$G$13,Master!$E$2:$E$13,C1470,Master!$F$2:$F$13,D1470)))</f>
        <v/>
      </c>
      <c r="G1470" s="5" t="n"/>
      <c r="H1470" s="5" t="n"/>
      <c r="I1470" s="5" t="n"/>
      <c r="J1470" s="6">
        <f>IF(OR(F1470="",COUNT(G1470:I1470)&lt;3),"",F1470+G1470-H1470-I1470)</f>
        <v/>
      </c>
      <c r="K1470" s="6">
        <f>IF(COUNTA(A1470:D1470,G1470:I1470)=0,"",IF(COUNTA(A1470:D1470,G1470:I1470)&lt;7,"LENGKAPI",IF(H1470+I1470&gt;N(F1470)+G1470,"ABNORMAL",IF(COUNTIFS($A$2:$A$2001,A1470,$B$2:$B$2001,B1470,$C$2:$C$2001,C1470,$D$2:$D$2001,D1470)&gt;1,"DUPLIKAT","OK"))))</f>
        <v/>
      </c>
    </row>
    <row r="1471">
      <c r="A1471" s="4" t="n"/>
      <c r="B1471" s="5" t="n"/>
      <c r="C1471" s="5" t="n"/>
      <c r="D1471" s="5" t="n"/>
      <c r="E1471" s="6">
        <f>IF(A1471="","","B"&amp;TEXT(COUNT($A$2:A1471),"00000"))</f>
        <v/>
      </c>
      <c r="F1471" s="6">
        <f>IF(OR(C1471="",D1471=""),"",IFERROR(LOOKUP(2,1/(($C$1:C1470=C1471)*($D$1:D1470=D1471)*ISNUMBER($J$1:J1470)),$J$1:J1470),SUMIFS(Master!$G$2:$G$13,Master!$E$2:$E$13,C1471,Master!$F$2:$F$13,D1471)))</f>
        <v/>
      </c>
      <c r="G1471" s="5" t="n"/>
      <c r="H1471" s="5" t="n"/>
      <c r="I1471" s="5" t="n"/>
      <c r="J1471" s="6">
        <f>IF(OR(F1471="",COUNT(G1471:I1471)&lt;3),"",F1471+G1471-H1471-I1471)</f>
        <v/>
      </c>
      <c r="K1471" s="6">
        <f>IF(COUNTA(A1471:D1471,G1471:I1471)=0,"",IF(COUNTA(A1471:D1471,G1471:I1471)&lt;7,"LENGKAPI",IF(H1471+I1471&gt;N(F1471)+G1471,"ABNORMAL",IF(COUNTIFS($A$2:$A$2001,A1471,$B$2:$B$2001,B1471,$C$2:$C$2001,C1471,$D$2:$D$2001,D1471)&gt;1,"DUPLIKAT","OK"))))</f>
        <v/>
      </c>
    </row>
    <row r="1472">
      <c r="A1472" s="4" t="n"/>
      <c r="B1472" s="5" t="n"/>
      <c r="C1472" s="5" t="n"/>
      <c r="D1472" s="5" t="n"/>
      <c r="E1472" s="6">
        <f>IF(A1472="","","B"&amp;TEXT(COUNT($A$2:A1472),"00000"))</f>
        <v/>
      </c>
      <c r="F1472" s="6">
        <f>IF(OR(C1472="",D1472=""),"",IFERROR(LOOKUP(2,1/(($C$1:C1471=C1472)*($D$1:D1471=D1472)*ISNUMBER($J$1:J1471)),$J$1:J1471),SUMIFS(Master!$G$2:$G$13,Master!$E$2:$E$13,C1472,Master!$F$2:$F$13,D1472)))</f>
        <v/>
      </c>
      <c r="G1472" s="5" t="n"/>
      <c r="H1472" s="5" t="n"/>
      <c r="I1472" s="5" t="n"/>
      <c r="J1472" s="6">
        <f>IF(OR(F1472="",COUNT(G1472:I1472)&lt;3),"",F1472+G1472-H1472-I1472)</f>
        <v/>
      </c>
      <c r="K1472" s="6">
        <f>IF(COUNTA(A1472:D1472,G1472:I1472)=0,"",IF(COUNTA(A1472:D1472,G1472:I1472)&lt;7,"LENGKAPI",IF(H1472+I1472&gt;N(F1472)+G1472,"ABNORMAL",IF(COUNTIFS($A$2:$A$2001,A1472,$B$2:$B$2001,B1472,$C$2:$C$2001,C1472,$D$2:$D$2001,D1472)&gt;1,"DUPLIKAT","OK"))))</f>
        <v/>
      </c>
    </row>
    <row r="1473">
      <c r="A1473" s="4" t="n"/>
      <c r="B1473" s="5" t="n"/>
      <c r="C1473" s="5" t="n"/>
      <c r="D1473" s="5" t="n"/>
      <c r="E1473" s="6">
        <f>IF(A1473="","","B"&amp;TEXT(COUNT($A$2:A1473),"00000"))</f>
        <v/>
      </c>
      <c r="F1473" s="6">
        <f>IF(OR(C1473="",D1473=""),"",IFERROR(LOOKUP(2,1/(($C$1:C1472=C1473)*($D$1:D1472=D1473)*ISNUMBER($J$1:J1472)),$J$1:J1472),SUMIFS(Master!$G$2:$G$13,Master!$E$2:$E$13,C1473,Master!$F$2:$F$13,D1473)))</f>
        <v/>
      </c>
      <c r="G1473" s="5" t="n"/>
      <c r="H1473" s="5" t="n"/>
      <c r="I1473" s="5" t="n"/>
      <c r="J1473" s="6">
        <f>IF(OR(F1473="",COUNT(G1473:I1473)&lt;3),"",F1473+G1473-H1473-I1473)</f>
        <v/>
      </c>
      <c r="K1473" s="6">
        <f>IF(COUNTA(A1473:D1473,G1473:I1473)=0,"",IF(COUNTA(A1473:D1473,G1473:I1473)&lt;7,"LENGKAPI",IF(H1473+I1473&gt;N(F1473)+G1473,"ABNORMAL",IF(COUNTIFS($A$2:$A$2001,A1473,$B$2:$B$2001,B1473,$C$2:$C$2001,C1473,$D$2:$D$2001,D1473)&gt;1,"DUPLIKAT","OK"))))</f>
        <v/>
      </c>
    </row>
    <row r="1474">
      <c r="A1474" s="4" t="n"/>
      <c r="B1474" s="5" t="n"/>
      <c r="C1474" s="5" t="n"/>
      <c r="D1474" s="5" t="n"/>
      <c r="E1474" s="6">
        <f>IF(A1474="","","B"&amp;TEXT(COUNT($A$2:A1474),"00000"))</f>
        <v/>
      </c>
      <c r="F1474" s="6">
        <f>IF(OR(C1474="",D1474=""),"",IFERROR(LOOKUP(2,1/(($C$1:C1473=C1474)*($D$1:D1473=D1474)*ISNUMBER($J$1:J1473)),$J$1:J1473),SUMIFS(Master!$G$2:$G$13,Master!$E$2:$E$13,C1474,Master!$F$2:$F$13,D1474)))</f>
        <v/>
      </c>
      <c r="G1474" s="5" t="n"/>
      <c r="H1474" s="5" t="n"/>
      <c r="I1474" s="5" t="n"/>
      <c r="J1474" s="6">
        <f>IF(OR(F1474="",COUNT(G1474:I1474)&lt;3),"",F1474+G1474-H1474-I1474)</f>
        <v/>
      </c>
      <c r="K1474" s="6">
        <f>IF(COUNTA(A1474:D1474,G1474:I1474)=0,"",IF(COUNTA(A1474:D1474,G1474:I1474)&lt;7,"LENGKAPI",IF(H1474+I1474&gt;N(F1474)+G1474,"ABNORMAL",IF(COUNTIFS($A$2:$A$2001,A1474,$B$2:$B$2001,B1474,$C$2:$C$2001,C1474,$D$2:$D$2001,D1474)&gt;1,"DUPLIKAT","OK"))))</f>
        <v/>
      </c>
    </row>
    <row r="1475">
      <c r="A1475" s="4" t="n"/>
      <c r="B1475" s="5" t="n"/>
      <c r="C1475" s="5" t="n"/>
      <c r="D1475" s="5" t="n"/>
      <c r="E1475" s="6">
        <f>IF(A1475="","","B"&amp;TEXT(COUNT($A$2:A1475),"00000"))</f>
        <v/>
      </c>
      <c r="F1475" s="6">
        <f>IF(OR(C1475="",D1475=""),"",IFERROR(LOOKUP(2,1/(($C$1:C1474=C1475)*($D$1:D1474=D1475)*ISNUMBER($J$1:J1474)),$J$1:J1474),SUMIFS(Master!$G$2:$G$13,Master!$E$2:$E$13,C1475,Master!$F$2:$F$13,D1475)))</f>
        <v/>
      </c>
      <c r="G1475" s="5" t="n"/>
      <c r="H1475" s="5" t="n"/>
      <c r="I1475" s="5" t="n"/>
      <c r="J1475" s="6">
        <f>IF(OR(F1475="",COUNT(G1475:I1475)&lt;3),"",F1475+G1475-H1475-I1475)</f>
        <v/>
      </c>
      <c r="K1475" s="6">
        <f>IF(COUNTA(A1475:D1475,G1475:I1475)=0,"",IF(COUNTA(A1475:D1475,G1475:I1475)&lt;7,"LENGKAPI",IF(H1475+I1475&gt;N(F1475)+G1475,"ABNORMAL",IF(COUNTIFS($A$2:$A$2001,A1475,$B$2:$B$2001,B1475,$C$2:$C$2001,C1475,$D$2:$D$2001,D1475)&gt;1,"DUPLIKAT","OK"))))</f>
        <v/>
      </c>
    </row>
    <row r="1476">
      <c r="A1476" s="4" t="n"/>
      <c r="B1476" s="5" t="n"/>
      <c r="C1476" s="5" t="n"/>
      <c r="D1476" s="5" t="n"/>
      <c r="E1476" s="6">
        <f>IF(A1476="","","B"&amp;TEXT(COUNT($A$2:A1476),"00000"))</f>
        <v/>
      </c>
      <c r="F1476" s="6">
        <f>IF(OR(C1476="",D1476=""),"",IFERROR(LOOKUP(2,1/(($C$1:C1475=C1476)*($D$1:D1475=D1476)*ISNUMBER($J$1:J1475)),$J$1:J1475),SUMIFS(Master!$G$2:$G$13,Master!$E$2:$E$13,C1476,Master!$F$2:$F$13,D1476)))</f>
        <v/>
      </c>
      <c r="G1476" s="5" t="n"/>
      <c r="H1476" s="5" t="n"/>
      <c r="I1476" s="5" t="n"/>
      <c r="J1476" s="6">
        <f>IF(OR(F1476="",COUNT(G1476:I1476)&lt;3),"",F1476+G1476-H1476-I1476)</f>
        <v/>
      </c>
      <c r="K1476" s="6">
        <f>IF(COUNTA(A1476:D1476,G1476:I1476)=0,"",IF(COUNTA(A1476:D1476,G1476:I1476)&lt;7,"LENGKAPI",IF(H1476+I1476&gt;N(F1476)+G1476,"ABNORMAL",IF(COUNTIFS($A$2:$A$2001,A1476,$B$2:$B$2001,B1476,$C$2:$C$2001,C1476,$D$2:$D$2001,D1476)&gt;1,"DUPLIKAT","OK"))))</f>
        <v/>
      </c>
    </row>
    <row r="1477">
      <c r="A1477" s="4" t="n"/>
      <c r="B1477" s="5" t="n"/>
      <c r="C1477" s="5" t="n"/>
      <c r="D1477" s="5" t="n"/>
      <c r="E1477" s="6">
        <f>IF(A1477="","","B"&amp;TEXT(COUNT($A$2:A1477),"00000"))</f>
        <v/>
      </c>
      <c r="F1477" s="6">
        <f>IF(OR(C1477="",D1477=""),"",IFERROR(LOOKUP(2,1/(($C$1:C1476=C1477)*($D$1:D1476=D1477)*ISNUMBER($J$1:J1476)),$J$1:J1476),SUMIFS(Master!$G$2:$G$13,Master!$E$2:$E$13,C1477,Master!$F$2:$F$13,D1477)))</f>
        <v/>
      </c>
      <c r="G1477" s="5" t="n"/>
      <c r="H1477" s="5" t="n"/>
      <c r="I1477" s="5" t="n"/>
      <c r="J1477" s="6">
        <f>IF(OR(F1477="",COUNT(G1477:I1477)&lt;3),"",F1477+G1477-H1477-I1477)</f>
        <v/>
      </c>
      <c r="K1477" s="6">
        <f>IF(COUNTA(A1477:D1477,G1477:I1477)=0,"",IF(COUNTA(A1477:D1477,G1477:I1477)&lt;7,"LENGKAPI",IF(H1477+I1477&gt;N(F1477)+G1477,"ABNORMAL",IF(COUNTIFS($A$2:$A$2001,A1477,$B$2:$B$2001,B1477,$C$2:$C$2001,C1477,$D$2:$D$2001,D1477)&gt;1,"DUPLIKAT","OK"))))</f>
        <v/>
      </c>
    </row>
    <row r="1478">
      <c r="A1478" s="4" t="n"/>
      <c r="B1478" s="5" t="n"/>
      <c r="C1478" s="5" t="n"/>
      <c r="D1478" s="5" t="n"/>
      <c r="E1478" s="6">
        <f>IF(A1478="","","B"&amp;TEXT(COUNT($A$2:A1478),"00000"))</f>
        <v/>
      </c>
      <c r="F1478" s="6">
        <f>IF(OR(C1478="",D1478=""),"",IFERROR(LOOKUP(2,1/(($C$1:C1477=C1478)*($D$1:D1477=D1478)*ISNUMBER($J$1:J1477)),$J$1:J1477),SUMIFS(Master!$G$2:$G$13,Master!$E$2:$E$13,C1478,Master!$F$2:$F$13,D1478)))</f>
        <v/>
      </c>
      <c r="G1478" s="5" t="n"/>
      <c r="H1478" s="5" t="n"/>
      <c r="I1478" s="5" t="n"/>
      <c r="J1478" s="6">
        <f>IF(OR(F1478="",COUNT(G1478:I1478)&lt;3),"",F1478+G1478-H1478-I1478)</f>
        <v/>
      </c>
      <c r="K1478" s="6">
        <f>IF(COUNTA(A1478:D1478,G1478:I1478)=0,"",IF(COUNTA(A1478:D1478,G1478:I1478)&lt;7,"LENGKAPI",IF(H1478+I1478&gt;N(F1478)+G1478,"ABNORMAL",IF(COUNTIFS($A$2:$A$2001,A1478,$B$2:$B$2001,B1478,$C$2:$C$2001,C1478,$D$2:$D$2001,D1478)&gt;1,"DUPLIKAT","OK"))))</f>
        <v/>
      </c>
    </row>
    <row r="1479">
      <c r="A1479" s="4" t="n"/>
      <c r="B1479" s="5" t="n"/>
      <c r="C1479" s="5" t="n"/>
      <c r="D1479" s="5" t="n"/>
      <c r="E1479" s="6">
        <f>IF(A1479="","","B"&amp;TEXT(COUNT($A$2:A1479),"00000"))</f>
        <v/>
      </c>
      <c r="F1479" s="6">
        <f>IF(OR(C1479="",D1479=""),"",IFERROR(LOOKUP(2,1/(($C$1:C1478=C1479)*($D$1:D1478=D1479)*ISNUMBER($J$1:J1478)),$J$1:J1478),SUMIFS(Master!$G$2:$G$13,Master!$E$2:$E$13,C1479,Master!$F$2:$F$13,D1479)))</f>
        <v/>
      </c>
      <c r="G1479" s="5" t="n"/>
      <c r="H1479" s="5" t="n"/>
      <c r="I1479" s="5" t="n"/>
      <c r="J1479" s="6">
        <f>IF(OR(F1479="",COUNT(G1479:I1479)&lt;3),"",F1479+G1479-H1479-I1479)</f>
        <v/>
      </c>
      <c r="K1479" s="6">
        <f>IF(COUNTA(A1479:D1479,G1479:I1479)=0,"",IF(COUNTA(A1479:D1479,G1479:I1479)&lt;7,"LENGKAPI",IF(H1479+I1479&gt;N(F1479)+G1479,"ABNORMAL",IF(COUNTIFS($A$2:$A$2001,A1479,$B$2:$B$2001,B1479,$C$2:$C$2001,C1479,$D$2:$D$2001,D1479)&gt;1,"DUPLIKAT","OK"))))</f>
        <v/>
      </c>
    </row>
    <row r="1480">
      <c r="A1480" s="4" t="n"/>
      <c r="B1480" s="5" t="n"/>
      <c r="C1480" s="5" t="n"/>
      <c r="D1480" s="5" t="n"/>
      <c r="E1480" s="6">
        <f>IF(A1480="","","B"&amp;TEXT(COUNT($A$2:A1480),"00000"))</f>
        <v/>
      </c>
      <c r="F1480" s="6">
        <f>IF(OR(C1480="",D1480=""),"",IFERROR(LOOKUP(2,1/(($C$1:C1479=C1480)*($D$1:D1479=D1480)*ISNUMBER($J$1:J1479)),$J$1:J1479),SUMIFS(Master!$G$2:$G$13,Master!$E$2:$E$13,C1480,Master!$F$2:$F$13,D1480)))</f>
        <v/>
      </c>
      <c r="G1480" s="5" t="n"/>
      <c r="H1480" s="5" t="n"/>
      <c r="I1480" s="5" t="n"/>
      <c r="J1480" s="6">
        <f>IF(OR(F1480="",COUNT(G1480:I1480)&lt;3),"",F1480+G1480-H1480-I1480)</f>
        <v/>
      </c>
      <c r="K1480" s="6">
        <f>IF(COUNTA(A1480:D1480,G1480:I1480)=0,"",IF(COUNTA(A1480:D1480,G1480:I1480)&lt;7,"LENGKAPI",IF(H1480+I1480&gt;N(F1480)+G1480,"ABNORMAL",IF(COUNTIFS($A$2:$A$2001,A1480,$B$2:$B$2001,B1480,$C$2:$C$2001,C1480,$D$2:$D$2001,D1480)&gt;1,"DUPLIKAT","OK"))))</f>
        <v/>
      </c>
    </row>
    <row r="1481">
      <c r="A1481" s="4" t="n"/>
      <c r="B1481" s="5" t="n"/>
      <c r="C1481" s="5" t="n"/>
      <c r="D1481" s="5" t="n"/>
      <c r="E1481" s="6">
        <f>IF(A1481="","","B"&amp;TEXT(COUNT($A$2:A1481),"00000"))</f>
        <v/>
      </c>
      <c r="F1481" s="6">
        <f>IF(OR(C1481="",D1481=""),"",IFERROR(LOOKUP(2,1/(($C$1:C1480=C1481)*($D$1:D1480=D1481)*ISNUMBER($J$1:J1480)),$J$1:J1480),SUMIFS(Master!$G$2:$G$13,Master!$E$2:$E$13,C1481,Master!$F$2:$F$13,D1481)))</f>
        <v/>
      </c>
      <c r="G1481" s="5" t="n"/>
      <c r="H1481" s="5" t="n"/>
      <c r="I1481" s="5" t="n"/>
      <c r="J1481" s="6">
        <f>IF(OR(F1481="",COUNT(G1481:I1481)&lt;3),"",F1481+G1481-H1481-I1481)</f>
        <v/>
      </c>
      <c r="K1481" s="6">
        <f>IF(COUNTA(A1481:D1481,G1481:I1481)=0,"",IF(COUNTA(A1481:D1481,G1481:I1481)&lt;7,"LENGKAPI",IF(H1481+I1481&gt;N(F1481)+G1481,"ABNORMAL",IF(COUNTIFS($A$2:$A$2001,A1481,$B$2:$B$2001,B1481,$C$2:$C$2001,C1481,$D$2:$D$2001,D1481)&gt;1,"DUPLIKAT","OK"))))</f>
        <v/>
      </c>
    </row>
    <row r="1482">
      <c r="A1482" s="4" t="n"/>
      <c r="B1482" s="5" t="n"/>
      <c r="C1482" s="5" t="n"/>
      <c r="D1482" s="5" t="n"/>
      <c r="E1482" s="6">
        <f>IF(A1482="","","B"&amp;TEXT(COUNT($A$2:A1482),"00000"))</f>
        <v/>
      </c>
      <c r="F1482" s="6">
        <f>IF(OR(C1482="",D1482=""),"",IFERROR(LOOKUP(2,1/(($C$1:C1481=C1482)*($D$1:D1481=D1482)*ISNUMBER($J$1:J1481)),$J$1:J1481),SUMIFS(Master!$G$2:$G$13,Master!$E$2:$E$13,C1482,Master!$F$2:$F$13,D1482)))</f>
        <v/>
      </c>
      <c r="G1482" s="5" t="n"/>
      <c r="H1482" s="5" t="n"/>
      <c r="I1482" s="5" t="n"/>
      <c r="J1482" s="6">
        <f>IF(OR(F1482="",COUNT(G1482:I1482)&lt;3),"",F1482+G1482-H1482-I1482)</f>
        <v/>
      </c>
      <c r="K1482" s="6">
        <f>IF(COUNTA(A1482:D1482,G1482:I1482)=0,"",IF(COUNTA(A1482:D1482,G1482:I1482)&lt;7,"LENGKAPI",IF(H1482+I1482&gt;N(F1482)+G1482,"ABNORMAL",IF(COUNTIFS($A$2:$A$2001,A1482,$B$2:$B$2001,B1482,$C$2:$C$2001,C1482,$D$2:$D$2001,D1482)&gt;1,"DUPLIKAT","OK"))))</f>
        <v/>
      </c>
    </row>
    <row r="1483">
      <c r="A1483" s="4" t="n"/>
      <c r="B1483" s="5" t="n"/>
      <c r="C1483" s="5" t="n"/>
      <c r="D1483" s="5" t="n"/>
      <c r="E1483" s="6">
        <f>IF(A1483="","","B"&amp;TEXT(COUNT($A$2:A1483),"00000"))</f>
        <v/>
      </c>
      <c r="F1483" s="6">
        <f>IF(OR(C1483="",D1483=""),"",IFERROR(LOOKUP(2,1/(($C$1:C1482=C1483)*($D$1:D1482=D1483)*ISNUMBER($J$1:J1482)),$J$1:J1482),SUMIFS(Master!$G$2:$G$13,Master!$E$2:$E$13,C1483,Master!$F$2:$F$13,D1483)))</f>
        <v/>
      </c>
      <c r="G1483" s="5" t="n"/>
      <c r="H1483" s="5" t="n"/>
      <c r="I1483" s="5" t="n"/>
      <c r="J1483" s="6">
        <f>IF(OR(F1483="",COUNT(G1483:I1483)&lt;3),"",F1483+G1483-H1483-I1483)</f>
        <v/>
      </c>
      <c r="K1483" s="6">
        <f>IF(COUNTA(A1483:D1483,G1483:I1483)=0,"",IF(COUNTA(A1483:D1483,G1483:I1483)&lt;7,"LENGKAPI",IF(H1483+I1483&gt;N(F1483)+G1483,"ABNORMAL",IF(COUNTIFS($A$2:$A$2001,A1483,$B$2:$B$2001,B1483,$C$2:$C$2001,C1483,$D$2:$D$2001,D1483)&gt;1,"DUPLIKAT","OK"))))</f>
        <v/>
      </c>
    </row>
    <row r="1484">
      <c r="A1484" s="4" t="n"/>
      <c r="B1484" s="5" t="n"/>
      <c r="C1484" s="5" t="n"/>
      <c r="D1484" s="5" t="n"/>
      <c r="E1484" s="6">
        <f>IF(A1484="","","B"&amp;TEXT(COUNT($A$2:A1484),"00000"))</f>
        <v/>
      </c>
      <c r="F1484" s="6">
        <f>IF(OR(C1484="",D1484=""),"",IFERROR(LOOKUP(2,1/(($C$1:C1483=C1484)*($D$1:D1483=D1484)*ISNUMBER($J$1:J1483)),$J$1:J1483),SUMIFS(Master!$G$2:$G$13,Master!$E$2:$E$13,C1484,Master!$F$2:$F$13,D1484)))</f>
        <v/>
      </c>
      <c r="G1484" s="5" t="n"/>
      <c r="H1484" s="5" t="n"/>
      <c r="I1484" s="5" t="n"/>
      <c r="J1484" s="6">
        <f>IF(OR(F1484="",COUNT(G1484:I1484)&lt;3),"",F1484+G1484-H1484-I1484)</f>
        <v/>
      </c>
      <c r="K1484" s="6">
        <f>IF(COUNTA(A1484:D1484,G1484:I1484)=0,"",IF(COUNTA(A1484:D1484,G1484:I1484)&lt;7,"LENGKAPI",IF(H1484+I1484&gt;N(F1484)+G1484,"ABNORMAL",IF(COUNTIFS($A$2:$A$2001,A1484,$B$2:$B$2001,B1484,$C$2:$C$2001,C1484,$D$2:$D$2001,D1484)&gt;1,"DUPLIKAT","OK"))))</f>
        <v/>
      </c>
    </row>
    <row r="1485">
      <c r="A1485" s="4" t="n"/>
      <c r="B1485" s="5" t="n"/>
      <c r="C1485" s="5" t="n"/>
      <c r="D1485" s="5" t="n"/>
      <c r="E1485" s="6">
        <f>IF(A1485="","","B"&amp;TEXT(COUNT($A$2:A1485),"00000"))</f>
        <v/>
      </c>
      <c r="F1485" s="6">
        <f>IF(OR(C1485="",D1485=""),"",IFERROR(LOOKUP(2,1/(($C$1:C1484=C1485)*($D$1:D1484=D1485)*ISNUMBER($J$1:J1484)),$J$1:J1484),SUMIFS(Master!$G$2:$G$13,Master!$E$2:$E$13,C1485,Master!$F$2:$F$13,D1485)))</f>
        <v/>
      </c>
      <c r="G1485" s="5" t="n"/>
      <c r="H1485" s="5" t="n"/>
      <c r="I1485" s="5" t="n"/>
      <c r="J1485" s="6">
        <f>IF(OR(F1485="",COUNT(G1485:I1485)&lt;3),"",F1485+G1485-H1485-I1485)</f>
        <v/>
      </c>
      <c r="K1485" s="6">
        <f>IF(COUNTA(A1485:D1485,G1485:I1485)=0,"",IF(COUNTA(A1485:D1485,G1485:I1485)&lt;7,"LENGKAPI",IF(H1485+I1485&gt;N(F1485)+G1485,"ABNORMAL",IF(COUNTIFS($A$2:$A$2001,A1485,$B$2:$B$2001,B1485,$C$2:$C$2001,C1485,$D$2:$D$2001,D1485)&gt;1,"DUPLIKAT","OK"))))</f>
        <v/>
      </c>
    </row>
    <row r="1486">
      <c r="A1486" s="4" t="n"/>
      <c r="B1486" s="5" t="n"/>
      <c r="C1486" s="5" t="n"/>
      <c r="D1486" s="5" t="n"/>
      <c r="E1486" s="6">
        <f>IF(A1486="","","B"&amp;TEXT(COUNT($A$2:A1486),"00000"))</f>
        <v/>
      </c>
      <c r="F1486" s="6">
        <f>IF(OR(C1486="",D1486=""),"",IFERROR(LOOKUP(2,1/(($C$1:C1485=C1486)*($D$1:D1485=D1486)*ISNUMBER($J$1:J1485)),$J$1:J1485),SUMIFS(Master!$G$2:$G$13,Master!$E$2:$E$13,C1486,Master!$F$2:$F$13,D1486)))</f>
        <v/>
      </c>
      <c r="G1486" s="5" t="n"/>
      <c r="H1486" s="5" t="n"/>
      <c r="I1486" s="5" t="n"/>
      <c r="J1486" s="6">
        <f>IF(OR(F1486="",COUNT(G1486:I1486)&lt;3),"",F1486+G1486-H1486-I1486)</f>
        <v/>
      </c>
      <c r="K1486" s="6">
        <f>IF(COUNTA(A1486:D1486,G1486:I1486)=0,"",IF(COUNTA(A1486:D1486,G1486:I1486)&lt;7,"LENGKAPI",IF(H1486+I1486&gt;N(F1486)+G1486,"ABNORMAL",IF(COUNTIFS($A$2:$A$2001,A1486,$B$2:$B$2001,B1486,$C$2:$C$2001,C1486,$D$2:$D$2001,D1486)&gt;1,"DUPLIKAT","OK"))))</f>
        <v/>
      </c>
    </row>
    <row r="1487">
      <c r="A1487" s="4" t="n"/>
      <c r="B1487" s="5" t="n"/>
      <c r="C1487" s="5" t="n"/>
      <c r="D1487" s="5" t="n"/>
      <c r="E1487" s="6">
        <f>IF(A1487="","","B"&amp;TEXT(COUNT($A$2:A1487),"00000"))</f>
        <v/>
      </c>
      <c r="F1487" s="6">
        <f>IF(OR(C1487="",D1487=""),"",IFERROR(LOOKUP(2,1/(($C$1:C1486=C1487)*($D$1:D1486=D1487)*ISNUMBER($J$1:J1486)),$J$1:J1486),SUMIFS(Master!$G$2:$G$13,Master!$E$2:$E$13,C1487,Master!$F$2:$F$13,D1487)))</f>
        <v/>
      </c>
      <c r="G1487" s="5" t="n"/>
      <c r="H1487" s="5" t="n"/>
      <c r="I1487" s="5" t="n"/>
      <c r="J1487" s="6">
        <f>IF(OR(F1487="",COUNT(G1487:I1487)&lt;3),"",F1487+G1487-H1487-I1487)</f>
        <v/>
      </c>
      <c r="K1487" s="6">
        <f>IF(COUNTA(A1487:D1487,G1487:I1487)=0,"",IF(COUNTA(A1487:D1487,G1487:I1487)&lt;7,"LENGKAPI",IF(H1487+I1487&gt;N(F1487)+G1487,"ABNORMAL",IF(COUNTIFS($A$2:$A$2001,A1487,$B$2:$B$2001,B1487,$C$2:$C$2001,C1487,$D$2:$D$2001,D1487)&gt;1,"DUPLIKAT","OK"))))</f>
        <v/>
      </c>
    </row>
    <row r="1488">
      <c r="A1488" s="4" t="n"/>
      <c r="B1488" s="5" t="n"/>
      <c r="C1488" s="5" t="n"/>
      <c r="D1488" s="5" t="n"/>
      <c r="E1488" s="6">
        <f>IF(A1488="","","B"&amp;TEXT(COUNT($A$2:A1488),"00000"))</f>
        <v/>
      </c>
      <c r="F1488" s="6">
        <f>IF(OR(C1488="",D1488=""),"",IFERROR(LOOKUP(2,1/(($C$1:C1487=C1488)*($D$1:D1487=D1488)*ISNUMBER($J$1:J1487)),$J$1:J1487),SUMIFS(Master!$G$2:$G$13,Master!$E$2:$E$13,C1488,Master!$F$2:$F$13,D1488)))</f>
        <v/>
      </c>
      <c r="G1488" s="5" t="n"/>
      <c r="H1488" s="5" t="n"/>
      <c r="I1488" s="5" t="n"/>
      <c r="J1488" s="6">
        <f>IF(OR(F1488="",COUNT(G1488:I1488)&lt;3),"",F1488+G1488-H1488-I1488)</f>
        <v/>
      </c>
      <c r="K1488" s="6">
        <f>IF(COUNTA(A1488:D1488,G1488:I1488)=0,"",IF(COUNTA(A1488:D1488,G1488:I1488)&lt;7,"LENGKAPI",IF(H1488+I1488&gt;N(F1488)+G1488,"ABNORMAL",IF(COUNTIFS($A$2:$A$2001,A1488,$B$2:$B$2001,B1488,$C$2:$C$2001,C1488,$D$2:$D$2001,D1488)&gt;1,"DUPLIKAT","OK"))))</f>
        <v/>
      </c>
    </row>
    <row r="1489">
      <c r="A1489" s="4" t="n"/>
      <c r="B1489" s="5" t="n"/>
      <c r="C1489" s="5" t="n"/>
      <c r="D1489" s="5" t="n"/>
      <c r="E1489" s="6">
        <f>IF(A1489="","","B"&amp;TEXT(COUNT($A$2:A1489),"00000"))</f>
        <v/>
      </c>
      <c r="F1489" s="6">
        <f>IF(OR(C1489="",D1489=""),"",IFERROR(LOOKUP(2,1/(($C$1:C1488=C1489)*($D$1:D1488=D1489)*ISNUMBER($J$1:J1488)),$J$1:J1488),SUMIFS(Master!$G$2:$G$13,Master!$E$2:$E$13,C1489,Master!$F$2:$F$13,D1489)))</f>
        <v/>
      </c>
      <c r="G1489" s="5" t="n"/>
      <c r="H1489" s="5" t="n"/>
      <c r="I1489" s="5" t="n"/>
      <c r="J1489" s="6">
        <f>IF(OR(F1489="",COUNT(G1489:I1489)&lt;3),"",F1489+G1489-H1489-I1489)</f>
        <v/>
      </c>
      <c r="K1489" s="6">
        <f>IF(COUNTA(A1489:D1489,G1489:I1489)=0,"",IF(COUNTA(A1489:D1489,G1489:I1489)&lt;7,"LENGKAPI",IF(H1489+I1489&gt;N(F1489)+G1489,"ABNORMAL",IF(COUNTIFS($A$2:$A$2001,A1489,$B$2:$B$2001,B1489,$C$2:$C$2001,C1489,$D$2:$D$2001,D1489)&gt;1,"DUPLIKAT","OK"))))</f>
        <v/>
      </c>
    </row>
    <row r="1490">
      <c r="A1490" s="4" t="n"/>
      <c r="B1490" s="5" t="n"/>
      <c r="C1490" s="5" t="n"/>
      <c r="D1490" s="5" t="n"/>
      <c r="E1490" s="6">
        <f>IF(A1490="","","B"&amp;TEXT(COUNT($A$2:A1490),"00000"))</f>
        <v/>
      </c>
      <c r="F1490" s="6">
        <f>IF(OR(C1490="",D1490=""),"",IFERROR(LOOKUP(2,1/(($C$1:C1489=C1490)*($D$1:D1489=D1490)*ISNUMBER($J$1:J1489)),$J$1:J1489),SUMIFS(Master!$G$2:$G$13,Master!$E$2:$E$13,C1490,Master!$F$2:$F$13,D1490)))</f>
        <v/>
      </c>
      <c r="G1490" s="5" t="n"/>
      <c r="H1490" s="5" t="n"/>
      <c r="I1490" s="5" t="n"/>
      <c r="J1490" s="6">
        <f>IF(OR(F1490="",COUNT(G1490:I1490)&lt;3),"",F1490+G1490-H1490-I1490)</f>
        <v/>
      </c>
      <c r="K1490" s="6">
        <f>IF(COUNTA(A1490:D1490,G1490:I1490)=0,"",IF(COUNTA(A1490:D1490,G1490:I1490)&lt;7,"LENGKAPI",IF(H1490+I1490&gt;N(F1490)+G1490,"ABNORMAL",IF(COUNTIFS($A$2:$A$2001,A1490,$B$2:$B$2001,B1490,$C$2:$C$2001,C1490,$D$2:$D$2001,D1490)&gt;1,"DUPLIKAT","OK"))))</f>
        <v/>
      </c>
    </row>
    <row r="1491">
      <c r="A1491" s="4" t="n"/>
      <c r="B1491" s="5" t="n"/>
      <c r="C1491" s="5" t="n"/>
      <c r="D1491" s="5" t="n"/>
      <c r="E1491" s="6">
        <f>IF(A1491="","","B"&amp;TEXT(COUNT($A$2:A1491),"00000"))</f>
        <v/>
      </c>
      <c r="F1491" s="6">
        <f>IF(OR(C1491="",D1491=""),"",IFERROR(LOOKUP(2,1/(($C$1:C1490=C1491)*($D$1:D1490=D1491)*ISNUMBER($J$1:J1490)),$J$1:J1490),SUMIFS(Master!$G$2:$G$13,Master!$E$2:$E$13,C1491,Master!$F$2:$F$13,D1491)))</f>
        <v/>
      </c>
      <c r="G1491" s="5" t="n"/>
      <c r="H1491" s="5" t="n"/>
      <c r="I1491" s="5" t="n"/>
      <c r="J1491" s="6">
        <f>IF(OR(F1491="",COUNT(G1491:I1491)&lt;3),"",F1491+G1491-H1491-I1491)</f>
        <v/>
      </c>
      <c r="K1491" s="6">
        <f>IF(COUNTA(A1491:D1491,G1491:I1491)=0,"",IF(COUNTA(A1491:D1491,G1491:I1491)&lt;7,"LENGKAPI",IF(H1491+I1491&gt;N(F1491)+G1491,"ABNORMAL",IF(COUNTIFS($A$2:$A$2001,A1491,$B$2:$B$2001,B1491,$C$2:$C$2001,C1491,$D$2:$D$2001,D1491)&gt;1,"DUPLIKAT","OK"))))</f>
        <v/>
      </c>
    </row>
    <row r="1492">
      <c r="A1492" s="4" t="n"/>
      <c r="B1492" s="5" t="n"/>
      <c r="C1492" s="5" t="n"/>
      <c r="D1492" s="5" t="n"/>
      <c r="E1492" s="6">
        <f>IF(A1492="","","B"&amp;TEXT(COUNT($A$2:A1492),"00000"))</f>
        <v/>
      </c>
      <c r="F1492" s="6">
        <f>IF(OR(C1492="",D1492=""),"",IFERROR(LOOKUP(2,1/(($C$1:C1491=C1492)*($D$1:D1491=D1492)*ISNUMBER($J$1:J1491)),$J$1:J1491),SUMIFS(Master!$G$2:$G$13,Master!$E$2:$E$13,C1492,Master!$F$2:$F$13,D1492)))</f>
        <v/>
      </c>
      <c r="G1492" s="5" t="n"/>
      <c r="H1492" s="5" t="n"/>
      <c r="I1492" s="5" t="n"/>
      <c r="J1492" s="6">
        <f>IF(OR(F1492="",COUNT(G1492:I1492)&lt;3),"",F1492+G1492-H1492-I1492)</f>
        <v/>
      </c>
      <c r="K1492" s="6">
        <f>IF(COUNTA(A1492:D1492,G1492:I1492)=0,"",IF(COUNTA(A1492:D1492,G1492:I1492)&lt;7,"LENGKAPI",IF(H1492+I1492&gt;N(F1492)+G1492,"ABNORMAL",IF(COUNTIFS($A$2:$A$2001,A1492,$B$2:$B$2001,B1492,$C$2:$C$2001,C1492,$D$2:$D$2001,D1492)&gt;1,"DUPLIKAT","OK"))))</f>
        <v/>
      </c>
    </row>
    <row r="1493">
      <c r="A1493" s="4" t="n"/>
      <c r="B1493" s="5" t="n"/>
      <c r="C1493" s="5" t="n"/>
      <c r="D1493" s="5" t="n"/>
      <c r="E1493" s="6">
        <f>IF(A1493="","","B"&amp;TEXT(COUNT($A$2:A1493),"00000"))</f>
        <v/>
      </c>
      <c r="F1493" s="6">
        <f>IF(OR(C1493="",D1493=""),"",IFERROR(LOOKUP(2,1/(($C$1:C1492=C1493)*($D$1:D1492=D1493)*ISNUMBER($J$1:J1492)),$J$1:J1492),SUMIFS(Master!$G$2:$G$13,Master!$E$2:$E$13,C1493,Master!$F$2:$F$13,D1493)))</f>
        <v/>
      </c>
      <c r="G1493" s="5" t="n"/>
      <c r="H1493" s="5" t="n"/>
      <c r="I1493" s="5" t="n"/>
      <c r="J1493" s="6">
        <f>IF(OR(F1493="",COUNT(G1493:I1493)&lt;3),"",F1493+G1493-H1493-I1493)</f>
        <v/>
      </c>
      <c r="K1493" s="6">
        <f>IF(COUNTA(A1493:D1493,G1493:I1493)=0,"",IF(COUNTA(A1493:D1493,G1493:I1493)&lt;7,"LENGKAPI",IF(H1493+I1493&gt;N(F1493)+G1493,"ABNORMAL",IF(COUNTIFS($A$2:$A$2001,A1493,$B$2:$B$2001,B1493,$C$2:$C$2001,C1493,$D$2:$D$2001,D1493)&gt;1,"DUPLIKAT","OK"))))</f>
        <v/>
      </c>
    </row>
    <row r="1494">
      <c r="A1494" s="4" t="n"/>
      <c r="B1494" s="5" t="n"/>
      <c r="C1494" s="5" t="n"/>
      <c r="D1494" s="5" t="n"/>
      <c r="E1494" s="6">
        <f>IF(A1494="","","B"&amp;TEXT(COUNT($A$2:A1494),"00000"))</f>
        <v/>
      </c>
      <c r="F1494" s="6">
        <f>IF(OR(C1494="",D1494=""),"",IFERROR(LOOKUP(2,1/(($C$1:C1493=C1494)*($D$1:D1493=D1494)*ISNUMBER($J$1:J1493)),$J$1:J1493),SUMIFS(Master!$G$2:$G$13,Master!$E$2:$E$13,C1494,Master!$F$2:$F$13,D1494)))</f>
        <v/>
      </c>
      <c r="G1494" s="5" t="n"/>
      <c r="H1494" s="5" t="n"/>
      <c r="I1494" s="5" t="n"/>
      <c r="J1494" s="6">
        <f>IF(OR(F1494="",COUNT(G1494:I1494)&lt;3),"",F1494+G1494-H1494-I1494)</f>
        <v/>
      </c>
      <c r="K1494" s="6">
        <f>IF(COUNTA(A1494:D1494,G1494:I1494)=0,"",IF(COUNTA(A1494:D1494,G1494:I1494)&lt;7,"LENGKAPI",IF(H1494+I1494&gt;N(F1494)+G1494,"ABNORMAL",IF(COUNTIFS($A$2:$A$2001,A1494,$B$2:$B$2001,B1494,$C$2:$C$2001,C1494,$D$2:$D$2001,D1494)&gt;1,"DUPLIKAT","OK"))))</f>
        <v/>
      </c>
    </row>
    <row r="1495">
      <c r="A1495" s="4" t="n"/>
      <c r="B1495" s="5" t="n"/>
      <c r="C1495" s="5" t="n"/>
      <c r="D1495" s="5" t="n"/>
      <c r="E1495" s="6">
        <f>IF(A1495="","","B"&amp;TEXT(COUNT($A$2:A1495),"00000"))</f>
        <v/>
      </c>
      <c r="F1495" s="6">
        <f>IF(OR(C1495="",D1495=""),"",IFERROR(LOOKUP(2,1/(($C$1:C1494=C1495)*($D$1:D1494=D1495)*ISNUMBER($J$1:J1494)),$J$1:J1494),SUMIFS(Master!$G$2:$G$13,Master!$E$2:$E$13,C1495,Master!$F$2:$F$13,D1495)))</f>
        <v/>
      </c>
      <c r="G1495" s="5" t="n"/>
      <c r="H1495" s="5" t="n"/>
      <c r="I1495" s="5" t="n"/>
      <c r="J1495" s="6">
        <f>IF(OR(F1495="",COUNT(G1495:I1495)&lt;3),"",F1495+G1495-H1495-I1495)</f>
        <v/>
      </c>
      <c r="K1495" s="6">
        <f>IF(COUNTA(A1495:D1495,G1495:I1495)=0,"",IF(COUNTA(A1495:D1495,G1495:I1495)&lt;7,"LENGKAPI",IF(H1495+I1495&gt;N(F1495)+G1495,"ABNORMAL",IF(COUNTIFS($A$2:$A$2001,A1495,$B$2:$B$2001,B1495,$C$2:$C$2001,C1495,$D$2:$D$2001,D1495)&gt;1,"DUPLIKAT","OK"))))</f>
        <v/>
      </c>
    </row>
    <row r="1496">
      <c r="A1496" s="4" t="n"/>
      <c r="B1496" s="5" t="n"/>
      <c r="C1496" s="5" t="n"/>
      <c r="D1496" s="5" t="n"/>
      <c r="E1496" s="6">
        <f>IF(A1496="","","B"&amp;TEXT(COUNT($A$2:A1496),"00000"))</f>
        <v/>
      </c>
      <c r="F1496" s="6">
        <f>IF(OR(C1496="",D1496=""),"",IFERROR(LOOKUP(2,1/(($C$1:C1495=C1496)*($D$1:D1495=D1496)*ISNUMBER($J$1:J1495)),$J$1:J1495),SUMIFS(Master!$G$2:$G$13,Master!$E$2:$E$13,C1496,Master!$F$2:$F$13,D1496)))</f>
        <v/>
      </c>
      <c r="G1496" s="5" t="n"/>
      <c r="H1496" s="5" t="n"/>
      <c r="I1496" s="5" t="n"/>
      <c r="J1496" s="6">
        <f>IF(OR(F1496="",COUNT(G1496:I1496)&lt;3),"",F1496+G1496-H1496-I1496)</f>
        <v/>
      </c>
      <c r="K1496" s="6">
        <f>IF(COUNTA(A1496:D1496,G1496:I1496)=0,"",IF(COUNTA(A1496:D1496,G1496:I1496)&lt;7,"LENGKAPI",IF(H1496+I1496&gt;N(F1496)+G1496,"ABNORMAL",IF(COUNTIFS($A$2:$A$2001,A1496,$B$2:$B$2001,B1496,$C$2:$C$2001,C1496,$D$2:$D$2001,D1496)&gt;1,"DUPLIKAT","OK"))))</f>
        <v/>
      </c>
    </row>
    <row r="1497">
      <c r="A1497" s="4" t="n"/>
      <c r="B1497" s="5" t="n"/>
      <c r="C1497" s="5" t="n"/>
      <c r="D1497" s="5" t="n"/>
      <c r="E1497" s="6">
        <f>IF(A1497="","","B"&amp;TEXT(COUNT($A$2:A1497),"00000"))</f>
        <v/>
      </c>
      <c r="F1497" s="6">
        <f>IF(OR(C1497="",D1497=""),"",IFERROR(LOOKUP(2,1/(($C$1:C1496=C1497)*($D$1:D1496=D1497)*ISNUMBER($J$1:J1496)),$J$1:J1496),SUMIFS(Master!$G$2:$G$13,Master!$E$2:$E$13,C1497,Master!$F$2:$F$13,D1497)))</f>
        <v/>
      </c>
      <c r="G1497" s="5" t="n"/>
      <c r="H1497" s="5" t="n"/>
      <c r="I1497" s="5" t="n"/>
      <c r="J1497" s="6">
        <f>IF(OR(F1497="",COUNT(G1497:I1497)&lt;3),"",F1497+G1497-H1497-I1497)</f>
        <v/>
      </c>
      <c r="K1497" s="6">
        <f>IF(COUNTA(A1497:D1497,G1497:I1497)=0,"",IF(COUNTA(A1497:D1497,G1497:I1497)&lt;7,"LENGKAPI",IF(H1497+I1497&gt;N(F1497)+G1497,"ABNORMAL",IF(COUNTIFS($A$2:$A$2001,A1497,$B$2:$B$2001,B1497,$C$2:$C$2001,C1497,$D$2:$D$2001,D1497)&gt;1,"DUPLIKAT","OK"))))</f>
        <v/>
      </c>
    </row>
    <row r="1498">
      <c r="A1498" s="4" t="n"/>
      <c r="B1498" s="5" t="n"/>
      <c r="C1498" s="5" t="n"/>
      <c r="D1498" s="5" t="n"/>
      <c r="E1498" s="6">
        <f>IF(A1498="","","B"&amp;TEXT(COUNT($A$2:A1498),"00000"))</f>
        <v/>
      </c>
      <c r="F1498" s="6">
        <f>IF(OR(C1498="",D1498=""),"",IFERROR(LOOKUP(2,1/(($C$1:C1497=C1498)*($D$1:D1497=D1498)*ISNUMBER($J$1:J1497)),$J$1:J1497),SUMIFS(Master!$G$2:$G$13,Master!$E$2:$E$13,C1498,Master!$F$2:$F$13,D1498)))</f>
        <v/>
      </c>
      <c r="G1498" s="5" t="n"/>
      <c r="H1498" s="5" t="n"/>
      <c r="I1498" s="5" t="n"/>
      <c r="J1498" s="6">
        <f>IF(OR(F1498="",COUNT(G1498:I1498)&lt;3),"",F1498+G1498-H1498-I1498)</f>
        <v/>
      </c>
      <c r="K1498" s="6">
        <f>IF(COUNTA(A1498:D1498,G1498:I1498)=0,"",IF(COUNTA(A1498:D1498,G1498:I1498)&lt;7,"LENGKAPI",IF(H1498+I1498&gt;N(F1498)+G1498,"ABNORMAL",IF(COUNTIFS($A$2:$A$2001,A1498,$B$2:$B$2001,B1498,$C$2:$C$2001,C1498,$D$2:$D$2001,D1498)&gt;1,"DUPLIKAT","OK"))))</f>
        <v/>
      </c>
    </row>
    <row r="1499">
      <c r="A1499" s="4" t="n"/>
      <c r="B1499" s="5" t="n"/>
      <c r="C1499" s="5" t="n"/>
      <c r="D1499" s="5" t="n"/>
      <c r="E1499" s="6">
        <f>IF(A1499="","","B"&amp;TEXT(COUNT($A$2:A1499),"00000"))</f>
        <v/>
      </c>
      <c r="F1499" s="6">
        <f>IF(OR(C1499="",D1499=""),"",IFERROR(LOOKUP(2,1/(($C$1:C1498=C1499)*($D$1:D1498=D1499)*ISNUMBER($J$1:J1498)),$J$1:J1498),SUMIFS(Master!$G$2:$G$13,Master!$E$2:$E$13,C1499,Master!$F$2:$F$13,D1499)))</f>
        <v/>
      </c>
      <c r="G1499" s="5" t="n"/>
      <c r="H1499" s="5" t="n"/>
      <c r="I1499" s="5" t="n"/>
      <c r="J1499" s="6">
        <f>IF(OR(F1499="",COUNT(G1499:I1499)&lt;3),"",F1499+G1499-H1499-I1499)</f>
        <v/>
      </c>
      <c r="K1499" s="6">
        <f>IF(COUNTA(A1499:D1499,G1499:I1499)=0,"",IF(COUNTA(A1499:D1499,G1499:I1499)&lt;7,"LENGKAPI",IF(H1499+I1499&gt;N(F1499)+G1499,"ABNORMAL",IF(COUNTIFS($A$2:$A$2001,A1499,$B$2:$B$2001,B1499,$C$2:$C$2001,C1499,$D$2:$D$2001,D1499)&gt;1,"DUPLIKAT","OK"))))</f>
        <v/>
      </c>
    </row>
    <row r="1500">
      <c r="A1500" s="4" t="n"/>
      <c r="B1500" s="5" t="n"/>
      <c r="C1500" s="5" t="n"/>
      <c r="D1500" s="5" t="n"/>
      <c r="E1500" s="6">
        <f>IF(A1500="","","B"&amp;TEXT(COUNT($A$2:A1500),"00000"))</f>
        <v/>
      </c>
      <c r="F1500" s="6">
        <f>IF(OR(C1500="",D1500=""),"",IFERROR(LOOKUP(2,1/(($C$1:C1499=C1500)*($D$1:D1499=D1500)*ISNUMBER($J$1:J1499)),$J$1:J1499),SUMIFS(Master!$G$2:$G$13,Master!$E$2:$E$13,C1500,Master!$F$2:$F$13,D1500)))</f>
        <v/>
      </c>
      <c r="G1500" s="5" t="n"/>
      <c r="H1500" s="5" t="n"/>
      <c r="I1500" s="5" t="n"/>
      <c r="J1500" s="6">
        <f>IF(OR(F1500="",COUNT(G1500:I1500)&lt;3),"",F1500+G1500-H1500-I1500)</f>
        <v/>
      </c>
      <c r="K1500" s="6">
        <f>IF(COUNTA(A1500:D1500,G1500:I1500)=0,"",IF(COUNTA(A1500:D1500,G1500:I1500)&lt;7,"LENGKAPI",IF(H1500+I1500&gt;N(F1500)+G1500,"ABNORMAL",IF(COUNTIFS($A$2:$A$2001,A1500,$B$2:$B$2001,B1500,$C$2:$C$2001,C1500,$D$2:$D$2001,D1500)&gt;1,"DUPLIKAT","OK"))))</f>
        <v/>
      </c>
    </row>
    <row r="1501">
      <c r="A1501" s="4" t="n"/>
      <c r="B1501" s="5" t="n"/>
      <c r="C1501" s="5" t="n"/>
      <c r="D1501" s="5" t="n"/>
      <c r="E1501" s="6">
        <f>IF(A1501="","","B"&amp;TEXT(COUNT($A$2:A1501),"00000"))</f>
        <v/>
      </c>
      <c r="F1501" s="6">
        <f>IF(OR(C1501="",D1501=""),"",IFERROR(LOOKUP(2,1/(($C$1:C1500=C1501)*($D$1:D1500=D1501)*ISNUMBER($J$1:J1500)),$J$1:J1500),SUMIFS(Master!$G$2:$G$13,Master!$E$2:$E$13,C1501,Master!$F$2:$F$13,D1501)))</f>
        <v/>
      </c>
      <c r="G1501" s="5" t="n"/>
      <c r="H1501" s="5" t="n"/>
      <c r="I1501" s="5" t="n"/>
      <c r="J1501" s="6">
        <f>IF(OR(F1501="",COUNT(G1501:I1501)&lt;3),"",F1501+G1501-H1501-I1501)</f>
        <v/>
      </c>
      <c r="K1501" s="6">
        <f>IF(COUNTA(A1501:D1501,G1501:I1501)=0,"",IF(COUNTA(A1501:D1501,G1501:I1501)&lt;7,"LENGKAPI",IF(H1501+I1501&gt;N(F1501)+G1501,"ABNORMAL",IF(COUNTIFS($A$2:$A$2001,A1501,$B$2:$B$2001,B1501,$C$2:$C$2001,C1501,$D$2:$D$2001,D1501)&gt;1,"DUPLIKAT","OK"))))</f>
        <v/>
      </c>
    </row>
    <row r="1502">
      <c r="A1502" s="4" t="n"/>
      <c r="B1502" s="5" t="n"/>
      <c r="C1502" s="5" t="n"/>
      <c r="D1502" s="5" t="n"/>
      <c r="E1502" s="6">
        <f>IF(A1502="","","B"&amp;TEXT(COUNT($A$2:A1502),"00000"))</f>
        <v/>
      </c>
      <c r="F1502" s="6">
        <f>IF(OR(C1502="",D1502=""),"",IFERROR(LOOKUP(2,1/(($C$1:C1501=C1502)*($D$1:D1501=D1502)*ISNUMBER($J$1:J1501)),$J$1:J1501),SUMIFS(Master!$G$2:$G$13,Master!$E$2:$E$13,C1502,Master!$F$2:$F$13,D1502)))</f>
        <v/>
      </c>
      <c r="G1502" s="5" t="n"/>
      <c r="H1502" s="5" t="n"/>
      <c r="I1502" s="5" t="n"/>
      <c r="J1502" s="6">
        <f>IF(OR(F1502="",COUNT(G1502:I1502)&lt;3),"",F1502+G1502-H1502-I1502)</f>
        <v/>
      </c>
      <c r="K1502" s="6">
        <f>IF(COUNTA(A1502:D1502,G1502:I1502)=0,"",IF(COUNTA(A1502:D1502,G1502:I1502)&lt;7,"LENGKAPI",IF(H1502+I1502&gt;N(F1502)+G1502,"ABNORMAL",IF(COUNTIFS($A$2:$A$2001,A1502,$B$2:$B$2001,B1502,$C$2:$C$2001,C1502,$D$2:$D$2001,D1502)&gt;1,"DUPLIKAT","OK"))))</f>
        <v/>
      </c>
    </row>
    <row r="1503">
      <c r="A1503" s="4" t="n"/>
      <c r="B1503" s="5" t="n"/>
      <c r="C1503" s="5" t="n"/>
      <c r="D1503" s="5" t="n"/>
      <c r="E1503" s="6">
        <f>IF(A1503="","","B"&amp;TEXT(COUNT($A$2:A1503),"00000"))</f>
        <v/>
      </c>
      <c r="F1503" s="6">
        <f>IF(OR(C1503="",D1503=""),"",IFERROR(LOOKUP(2,1/(($C$1:C1502=C1503)*($D$1:D1502=D1503)*ISNUMBER($J$1:J1502)),$J$1:J1502),SUMIFS(Master!$G$2:$G$13,Master!$E$2:$E$13,C1503,Master!$F$2:$F$13,D1503)))</f>
        <v/>
      </c>
      <c r="G1503" s="5" t="n"/>
      <c r="H1503" s="5" t="n"/>
      <c r="I1503" s="5" t="n"/>
      <c r="J1503" s="6">
        <f>IF(OR(F1503="",COUNT(G1503:I1503)&lt;3),"",F1503+G1503-H1503-I1503)</f>
        <v/>
      </c>
      <c r="K1503" s="6">
        <f>IF(COUNTA(A1503:D1503,G1503:I1503)=0,"",IF(COUNTA(A1503:D1503,G1503:I1503)&lt;7,"LENGKAPI",IF(H1503+I1503&gt;N(F1503)+G1503,"ABNORMAL",IF(COUNTIFS($A$2:$A$2001,A1503,$B$2:$B$2001,B1503,$C$2:$C$2001,C1503,$D$2:$D$2001,D1503)&gt;1,"DUPLIKAT","OK"))))</f>
        <v/>
      </c>
    </row>
    <row r="1504">
      <c r="A1504" s="4" t="n"/>
      <c r="B1504" s="5" t="n"/>
      <c r="C1504" s="5" t="n"/>
      <c r="D1504" s="5" t="n"/>
      <c r="E1504" s="6">
        <f>IF(A1504="","","B"&amp;TEXT(COUNT($A$2:A1504),"00000"))</f>
        <v/>
      </c>
      <c r="F1504" s="6">
        <f>IF(OR(C1504="",D1504=""),"",IFERROR(LOOKUP(2,1/(($C$1:C1503=C1504)*($D$1:D1503=D1504)*ISNUMBER($J$1:J1503)),$J$1:J1503),SUMIFS(Master!$G$2:$G$13,Master!$E$2:$E$13,C1504,Master!$F$2:$F$13,D1504)))</f>
        <v/>
      </c>
      <c r="G1504" s="5" t="n"/>
      <c r="H1504" s="5" t="n"/>
      <c r="I1504" s="5" t="n"/>
      <c r="J1504" s="6">
        <f>IF(OR(F1504="",COUNT(G1504:I1504)&lt;3),"",F1504+G1504-H1504-I1504)</f>
        <v/>
      </c>
      <c r="K1504" s="6">
        <f>IF(COUNTA(A1504:D1504,G1504:I1504)=0,"",IF(COUNTA(A1504:D1504,G1504:I1504)&lt;7,"LENGKAPI",IF(H1504+I1504&gt;N(F1504)+G1504,"ABNORMAL",IF(COUNTIFS($A$2:$A$2001,A1504,$B$2:$B$2001,B1504,$C$2:$C$2001,C1504,$D$2:$D$2001,D1504)&gt;1,"DUPLIKAT","OK"))))</f>
        <v/>
      </c>
    </row>
    <row r="1505">
      <c r="A1505" s="4" t="n"/>
      <c r="B1505" s="5" t="n"/>
      <c r="C1505" s="5" t="n"/>
      <c r="D1505" s="5" t="n"/>
      <c r="E1505" s="6">
        <f>IF(A1505="","","B"&amp;TEXT(COUNT($A$2:A1505),"00000"))</f>
        <v/>
      </c>
      <c r="F1505" s="6">
        <f>IF(OR(C1505="",D1505=""),"",IFERROR(LOOKUP(2,1/(($C$1:C1504=C1505)*($D$1:D1504=D1505)*ISNUMBER($J$1:J1504)),$J$1:J1504),SUMIFS(Master!$G$2:$G$13,Master!$E$2:$E$13,C1505,Master!$F$2:$F$13,D1505)))</f>
        <v/>
      </c>
      <c r="G1505" s="5" t="n"/>
      <c r="H1505" s="5" t="n"/>
      <c r="I1505" s="5" t="n"/>
      <c r="J1505" s="6">
        <f>IF(OR(F1505="",COUNT(G1505:I1505)&lt;3),"",F1505+G1505-H1505-I1505)</f>
        <v/>
      </c>
      <c r="K1505" s="6">
        <f>IF(COUNTA(A1505:D1505,G1505:I1505)=0,"",IF(COUNTA(A1505:D1505,G1505:I1505)&lt;7,"LENGKAPI",IF(H1505+I1505&gt;N(F1505)+G1505,"ABNORMAL",IF(COUNTIFS($A$2:$A$2001,A1505,$B$2:$B$2001,B1505,$C$2:$C$2001,C1505,$D$2:$D$2001,D1505)&gt;1,"DUPLIKAT","OK"))))</f>
        <v/>
      </c>
    </row>
    <row r="1506">
      <c r="A1506" s="4" t="n"/>
      <c r="B1506" s="5" t="n"/>
      <c r="C1506" s="5" t="n"/>
      <c r="D1506" s="5" t="n"/>
      <c r="E1506" s="6">
        <f>IF(A1506="","","B"&amp;TEXT(COUNT($A$2:A1506),"00000"))</f>
        <v/>
      </c>
      <c r="F1506" s="6">
        <f>IF(OR(C1506="",D1506=""),"",IFERROR(LOOKUP(2,1/(($C$1:C1505=C1506)*($D$1:D1505=D1506)*ISNUMBER($J$1:J1505)),$J$1:J1505),SUMIFS(Master!$G$2:$G$13,Master!$E$2:$E$13,C1506,Master!$F$2:$F$13,D1506)))</f>
        <v/>
      </c>
      <c r="G1506" s="5" t="n"/>
      <c r="H1506" s="5" t="n"/>
      <c r="I1506" s="5" t="n"/>
      <c r="J1506" s="6">
        <f>IF(OR(F1506="",COUNT(G1506:I1506)&lt;3),"",F1506+G1506-H1506-I1506)</f>
        <v/>
      </c>
      <c r="K1506" s="6">
        <f>IF(COUNTA(A1506:D1506,G1506:I1506)=0,"",IF(COUNTA(A1506:D1506,G1506:I1506)&lt;7,"LENGKAPI",IF(H1506+I1506&gt;N(F1506)+G1506,"ABNORMAL",IF(COUNTIFS($A$2:$A$2001,A1506,$B$2:$B$2001,B1506,$C$2:$C$2001,C1506,$D$2:$D$2001,D1506)&gt;1,"DUPLIKAT","OK"))))</f>
        <v/>
      </c>
    </row>
    <row r="1507">
      <c r="A1507" s="4" t="n"/>
      <c r="B1507" s="5" t="n"/>
      <c r="C1507" s="5" t="n"/>
      <c r="D1507" s="5" t="n"/>
      <c r="E1507" s="6">
        <f>IF(A1507="","","B"&amp;TEXT(COUNT($A$2:A1507),"00000"))</f>
        <v/>
      </c>
      <c r="F1507" s="6">
        <f>IF(OR(C1507="",D1507=""),"",IFERROR(LOOKUP(2,1/(($C$1:C1506=C1507)*($D$1:D1506=D1507)*ISNUMBER($J$1:J1506)),$J$1:J1506),SUMIFS(Master!$G$2:$G$13,Master!$E$2:$E$13,C1507,Master!$F$2:$F$13,D1507)))</f>
        <v/>
      </c>
      <c r="G1507" s="5" t="n"/>
      <c r="H1507" s="5" t="n"/>
      <c r="I1507" s="5" t="n"/>
      <c r="J1507" s="6">
        <f>IF(OR(F1507="",COUNT(G1507:I1507)&lt;3),"",F1507+G1507-H1507-I1507)</f>
        <v/>
      </c>
      <c r="K1507" s="6">
        <f>IF(COUNTA(A1507:D1507,G1507:I1507)=0,"",IF(COUNTA(A1507:D1507,G1507:I1507)&lt;7,"LENGKAPI",IF(H1507+I1507&gt;N(F1507)+G1507,"ABNORMAL",IF(COUNTIFS($A$2:$A$2001,A1507,$B$2:$B$2001,B1507,$C$2:$C$2001,C1507,$D$2:$D$2001,D1507)&gt;1,"DUPLIKAT","OK"))))</f>
        <v/>
      </c>
    </row>
    <row r="1508">
      <c r="A1508" s="4" t="n"/>
      <c r="B1508" s="5" t="n"/>
      <c r="C1508" s="5" t="n"/>
      <c r="D1508" s="5" t="n"/>
      <c r="E1508" s="6">
        <f>IF(A1508="","","B"&amp;TEXT(COUNT($A$2:A1508),"00000"))</f>
        <v/>
      </c>
      <c r="F1508" s="6">
        <f>IF(OR(C1508="",D1508=""),"",IFERROR(LOOKUP(2,1/(($C$1:C1507=C1508)*($D$1:D1507=D1508)*ISNUMBER($J$1:J1507)),$J$1:J1507),SUMIFS(Master!$G$2:$G$13,Master!$E$2:$E$13,C1508,Master!$F$2:$F$13,D1508)))</f>
        <v/>
      </c>
      <c r="G1508" s="5" t="n"/>
      <c r="H1508" s="5" t="n"/>
      <c r="I1508" s="5" t="n"/>
      <c r="J1508" s="6">
        <f>IF(OR(F1508="",COUNT(G1508:I1508)&lt;3),"",F1508+G1508-H1508-I1508)</f>
        <v/>
      </c>
      <c r="K1508" s="6">
        <f>IF(COUNTA(A1508:D1508,G1508:I1508)=0,"",IF(COUNTA(A1508:D1508,G1508:I1508)&lt;7,"LENGKAPI",IF(H1508+I1508&gt;N(F1508)+G1508,"ABNORMAL",IF(COUNTIFS($A$2:$A$2001,A1508,$B$2:$B$2001,B1508,$C$2:$C$2001,C1508,$D$2:$D$2001,D1508)&gt;1,"DUPLIKAT","OK"))))</f>
        <v/>
      </c>
    </row>
    <row r="1509">
      <c r="A1509" s="4" t="n"/>
      <c r="B1509" s="5" t="n"/>
      <c r="C1509" s="5" t="n"/>
      <c r="D1509" s="5" t="n"/>
      <c r="E1509" s="6">
        <f>IF(A1509="","","B"&amp;TEXT(COUNT($A$2:A1509),"00000"))</f>
        <v/>
      </c>
      <c r="F1509" s="6">
        <f>IF(OR(C1509="",D1509=""),"",IFERROR(LOOKUP(2,1/(($C$1:C1508=C1509)*($D$1:D1508=D1509)*ISNUMBER($J$1:J1508)),$J$1:J1508),SUMIFS(Master!$G$2:$G$13,Master!$E$2:$E$13,C1509,Master!$F$2:$F$13,D1509)))</f>
        <v/>
      </c>
      <c r="G1509" s="5" t="n"/>
      <c r="H1509" s="5" t="n"/>
      <c r="I1509" s="5" t="n"/>
      <c r="J1509" s="6">
        <f>IF(OR(F1509="",COUNT(G1509:I1509)&lt;3),"",F1509+G1509-H1509-I1509)</f>
        <v/>
      </c>
      <c r="K1509" s="6">
        <f>IF(COUNTA(A1509:D1509,G1509:I1509)=0,"",IF(COUNTA(A1509:D1509,G1509:I1509)&lt;7,"LENGKAPI",IF(H1509+I1509&gt;N(F1509)+G1509,"ABNORMAL",IF(COUNTIFS($A$2:$A$2001,A1509,$B$2:$B$2001,B1509,$C$2:$C$2001,C1509,$D$2:$D$2001,D1509)&gt;1,"DUPLIKAT","OK"))))</f>
        <v/>
      </c>
    </row>
    <row r="1510">
      <c r="A1510" s="4" t="n"/>
      <c r="B1510" s="5" t="n"/>
      <c r="C1510" s="5" t="n"/>
      <c r="D1510" s="5" t="n"/>
      <c r="E1510" s="6">
        <f>IF(A1510="","","B"&amp;TEXT(COUNT($A$2:A1510),"00000"))</f>
        <v/>
      </c>
      <c r="F1510" s="6">
        <f>IF(OR(C1510="",D1510=""),"",IFERROR(LOOKUP(2,1/(($C$1:C1509=C1510)*($D$1:D1509=D1510)*ISNUMBER($J$1:J1509)),$J$1:J1509),SUMIFS(Master!$G$2:$G$13,Master!$E$2:$E$13,C1510,Master!$F$2:$F$13,D1510)))</f>
        <v/>
      </c>
      <c r="G1510" s="5" t="n"/>
      <c r="H1510" s="5" t="n"/>
      <c r="I1510" s="5" t="n"/>
      <c r="J1510" s="6">
        <f>IF(OR(F1510="",COUNT(G1510:I1510)&lt;3),"",F1510+G1510-H1510-I1510)</f>
        <v/>
      </c>
      <c r="K1510" s="6">
        <f>IF(COUNTA(A1510:D1510,G1510:I1510)=0,"",IF(COUNTA(A1510:D1510,G1510:I1510)&lt;7,"LENGKAPI",IF(H1510+I1510&gt;N(F1510)+G1510,"ABNORMAL",IF(COUNTIFS($A$2:$A$2001,A1510,$B$2:$B$2001,B1510,$C$2:$C$2001,C1510,$D$2:$D$2001,D1510)&gt;1,"DUPLIKAT","OK"))))</f>
        <v/>
      </c>
    </row>
    <row r="1511">
      <c r="A1511" s="4" t="n"/>
      <c r="B1511" s="5" t="n"/>
      <c r="C1511" s="5" t="n"/>
      <c r="D1511" s="5" t="n"/>
      <c r="E1511" s="6">
        <f>IF(A1511="","","B"&amp;TEXT(COUNT($A$2:A1511),"00000"))</f>
        <v/>
      </c>
      <c r="F1511" s="6">
        <f>IF(OR(C1511="",D1511=""),"",IFERROR(LOOKUP(2,1/(($C$1:C1510=C1511)*($D$1:D1510=D1511)*ISNUMBER($J$1:J1510)),$J$1:J1510),SUMIFS(Master!$G$2:$G$13,Master!$E$2:$E$13,C1511,Master!$F$2:$F$13,D1511)))</f>
        <v/>
      </c>
      <c r="G1511" s="5" t="n"/>
      <c r="H1511" s="5" t="n"/>
      <c r="I1511" s="5" t="n"/>
      <c r="J1511" s="6">
        <f>IF(OR(F1511="",COUNT(G1511:I1511)&lt;3),"",F1511+G1511-H1511-I1511)</f>
        <v/>
      </c>
      <c r="K1511" s="6">
        <f>IF(COUNTA(A1511:D1511,G1511:I1511)=0,"",IF(COUNTA(A1511:D1511,G1511:I1511)&lt;7,"LENGKAPI",IF(H1511+I1511&gt;N(F1511)+G1511,"ABNORMAL",IF(COUNTIFS($A$2:$A$2001,A1511,$B$2:$B$2001,B1511,$C$2:$C$2001,C1511,$D$2:$D$2001,D1511)&gt;1,"DUPLIKAT","OK"))))</f>
        <v/>
      </c>
    </row>
    <row r="1512">
      <c r="A1512" s="4" t="n"/>
      <c r="B1512" s="5" t="n"/>
      <c r="C1512" s="5" t="n"/>
      <c r="D1512" s="5" t="n"/>
      <c r="E1512" s="6">
        <f>IF(A1512="","","B"&amp;TEXT(COUNT($A$2:A1512),"00000"))</f>
        <v/>
      </c>
      <c r="F1512" s="6">
        <f>IF(OR(C1512="",D1512=""),"",IFERROR(LOOKUP(2,1/(($C$1:C1511=C1512)*($D$1:D1511=D1512)*ISNUMBER($J$1:J1511)),$J$1:J1511),SUMIFS(Master!$G$2:$G$13,Master!$E$2:$E$13,C1512,Master!$F$2:$F$13,D1512)))</f>
        <v/>
      </c>
      <c r="G1512" s="5" t="n"/>
      <c r="H1512" s="5" t="n"/>
      <c r="I1512" s="5" t="n"/>
      <c r="J1512" s="6">
        <f>IF(OR(F1512="",COUNT(G1512:I1512)&lt;3),"",F1512+G1512-H1512-I1512)</f>
        <v/>
      </c>
      <c r="K1512" s="6">
        <f>IF(COUNTA(A1512:D1512,G1512:I1512)=0,"",IF(COUNTA(A1512:D1512,G1512:I1512)&lt;7,"LENGKAPI",IF(H1512+I1512&gt;N(F1512)+G1512,"ABNORMAL",IF(COUNTIFS($A$2:$A$2001,A1512,$B$2:$B$2001,B1512,$C$2:$C$2001,C1512,$D$2:$D$2001,D1512)&gt;1,"DUPLIKAT","OK"))))</f>
        <v/>
      </c>
    </row>
    <row r="1513">
      <c r="A1513" s="4" t="n"/>
      <c r="B1513" s="5" t="n"/>
      <c r="C1513" s="5" t="n"/>
      <c r="D1513" s="5" t="n"/>
      <c r="E1513" s="6">
        <f>IF(A1513="","","B"&amp;TEXT(COUNT($A$2:A1513),"00000"))</f>
        <v/>
      </c>
      <c r="F1513" s="6">
        <f>IF(OR(C1513="",D1513=""),"",IFERROR(LOOKUP(2,1/(($C$1:C1512=C1513)*($D$1:D1512=D1513)*ISNUMBER($J$1:J1512)),$J$1:J1512),SUMIFS(Master!$G$2:$G$13,Master!$E$2:$E$13,C1513,Master!$F$2:$F$13,D1513)))</f>
        <v/>
      </c>
      <c r="G1513" s="5" t="n"/>
      <c r="H1513" s="5" t="n"/>
      <c r="I1513" s="5" t="n"/>
      <c r="J1513" s="6">
        <f>IF(OR(F1513="",COUNT(G1513:I1513)&lt;3),"",F1513+G1513-H1513-I1513)</f>
        <v/>
      </c>
      <c r="K1513" s="6">
        <f>IF(COUNTA(A1513:D1513,G1513:I1513)=0,"",IF(COUNTA(A1513:D1513,G1513:I1513)&lt;7,"LENGKAPI",IF(H1513+I1513&gt;N(F1513)+G1513,"ABNORMAL",IF(COUNTIFS($A$2:$A$2001,A1513,$B$2:$B$2001,B1513,$C$2:$C$2001,C1513,$D$2:$D$2001,D1513)&gt;1,"DUPLIKAT","OK"))))</f>
        <v/>
      </c>
    </row>
    <row r="1514">
      <c r="A1514" s="4" t="n"/>
      <c r="B1514" s="5" t="n"/>
      <c r="C1514" s="5" t="n"/>
      <c r="D1514" s="5" t="n"/>
      <c r="E1514" s="6">
        <f>IF(A1514="","","B"&amp;TEXT(COUNT($A$2:A1514),"00000"))</f>
        <v/>
      </c>
      <c r="F1514" s="6">
        <f>IF(OR(C1514="",D1514=""),"",IFERROR(LOOKUP(2,1/(($C$1:C1513=C1514)*($D$1:D1513=D1514)*ISNUMBER($J$1:J1513)),$J$1:J1513),SUMIFS(Master!$G$2:$G$13,Master!$E$2:$E$13,C1514,Master!$F$2:$F$13,D1514)))</f>
        <v/>
      </c>
      <c r="G1514" s="5" t="n"/>
      <c r="H1514" s="5" t="n"/>
      <c r="I1514" s="5" t="n"/>
      <c r="J1514" s="6">
        <f>IF(OR(F1514="",COUNT(G1514:I1514)&lt;3),"",F1514+G1514-H1514-I1514)</f>
        <v/>
      </c>
      <c r="K1514" s="6">
        <f>IF(COUNTA(A1514:D1514,G1514:I1514)=0,"",IF(COUNTA(A1514:D1514,G1514:I1514)&lt;7,"LENGKAPI",IF(H1514+I1514&gt;N(F1514)+G1514,"ABNORMAL",IF(COUNTIFS($A$2:$A$2001,A1514,$B$2:$B$2001,B1514,$C$2:$C$2001,C1514,$D$2:$D$2001,D1514)&gt;1,"DUPLIKAT","OK"))))</f>
        <v/>
      </c>
    </row>
    <row r="1515">
      <c r="A1515" s="4" t="n"/>
      <c r="B1515" s="5" t="n"/>
      <c r="C1515" s="5" t="n"/>
      <c r="D1515" s="5" t="n"/>
      <c r="E1515" s="6">
        <f>IF(A1515="","","B"&amp;TEXT(COUNT($A$2:A1515),"00000"))</f>
        <v/>
      </c>
      <c r="F1515" s="6">
        <f>IF(OR(C1515="",D1515=""),"",IFERROR(LOOKUP(2,1/(($C$1:C1514=C1515)*($D$1:D1514=D1515)*ISNUMBER($J$1:J1514)),$J$1:J1514),SUMIFS(Master!$G$2:$G$13,Master!$E$2:$E$13,C1515,Master!$F$2:$F$13,D1515)))</f>
        <v/>
      </c>
      <c r="G1515" s="5" t="n"/>
      <c r="H1515" s="5" t="n"/>
      <c r="I1515" s="5" t="n"/>
      <c r="J1515" s="6">
        <f>IF(OR(F1515="",COUNT(G1515:I1515)&lt;3),"",F1515+G1515-H1515-I1515)</f>
        <v/>
      </c>
      <c r="K1515" s="6">
        <f>IF(COUNTA(A1515:D1515,G1515:I1515)=0,"",IF(COUNTA(A1515:D1515,G1515:I1515)&lt;7,"LENGKAPI",IF(H1515+I1515&gt;N(F1515)+G1515,"ABNORMAL",IF(COUNTIFS($A$2:$A$2001,A1515,$B$2:$B$2001,B1515,$C$2:$C$2001,C1515,$D$2:$D$2001,D1515)&gt;1,"DUPLIKAT","OK"))))</f>
        <v/>
      </c>
    </row>
    <row r="1516">
      <c r="A1516" s="4" t="n"/>
      <c r="B1516" s="5" t="n"/>
      <c r="C1516" s="5" t="n"/>
      <c r="D1516" s="5" t="n"/>
      <c r="E1516" s="6">
        <f>IF(A1516="","","B"&amp;TEXT(COUNT($A$2:A1516),"00000"))</f>
        <v/>
      </c>
      <c r="F1516" s="6">
        <f>IF(OR(C1516="",D1516=""),"",IFERROR(LOOKUP(2,1/(($C$1:C1515=C1516)*($D$1:D1515=D1516)*ISNUMBER($J$1:J1515)),$J$1:J1515),SUMIFS(Master!$G$2:$G$13,Master!$E$2:$E$13,C1516,Master!$F$2:$F$13,D1516)))</f>
        <v/>
      </c>
      <c r="G1516" s="5" t="n"/>
      <c r="H1516" s="5" t="n"/>
      <c r="I1516" s="5" t="n"/>
      <c r="J1516" s="6">
        <f>IF(OR(F1516="",COUNT(G1516:I1516)&lt;3),"",F1516+G1516-H1516-I1516)</f>
        <v/>
      </c>
      <c r="K1516" s="6">
        <f>IF(COUNTA(A1516:D1516,G1516:I1516)=0,"",IF(COUNTA(A1516:D1516,G1516:I1516)&lt;7,"LENGKAPI",IF(H1516+I1516&gt;N(F1516)+G1516,"ABNORMAL",IF(COUNTIFS($A$2:$A$2001,A1516,$B$2:$B$2001,B1516,$C$2:$C$2001,C1516,$D$2:$D$2001,D1516)&gt;1,"DUPLIKAT","OK"))))</f>
        <v/>
      </c>
    </row>
    <row r="1517">
      <c r="A1517" s="4" t="n"/>
      <c r="B1517" s="5" t="n"/>
      <c r="C1517" s="5" t="n"/>
      <c r="D1517" s="5" t="n"/>
      <c r="E1517" s="6">
        <f>IF(A1517="","","B"&amp;TEXT(COUNT($A$2:A1517),"00000"))</f>
        <v/>
      </c>
      <c r="F1517" s="6">
        <f>IF(OR(C1517="",D1517=""),"",IFERROR(LOOKUP(2,1/(($C$1:C1516=C1517)*($D$1:D1516=D1517)*ISNUMBER($J$1:J1516)),$J$1:J1516),SUMIFS(Master!$G$2:$G$13,Master!$E$2:$E$13,C1517,Master!$F$2:$F$13,D1517)))</f>
        <v/>
      </c>
      <c r="G1517" s="5" t="n"/>
      <c r="H1517" s="5" t="n"/>
      <c r="I1517" s="5" t="n"/>
      <c r="J1517" s="6">
        <f>IF(OR(F1517="",COUNT(G1517:I1517)&lt;3),"",F1517+G1517-H1517-I1517)</f>
        <v/>
      </c>
      <c r="K1517" s="6">
        <f>IF(COUNTA(A1517:D1517,G1517:I1517)=0,"",IF(COUNTA(A1517:D1517,G1517:I1517)&lt;7,"LENGKAPI",IF(H1517+I1517&gt;N(F1517)+G1517,"ABNORMAL",IF(COUNTIFS($A$2:$A$2001,A1517,$B$2:$B$2001,B1517,$C$2:$C$2001,C1517,$D$2:$D$2001,D1517)&gt;1,"DUPLIKAT","OK"))))</f>
        <v/>
      </c>
    </row>
    <row r="1518">
      <c r="A1518" s="4" t="n"/>
      <c r="B1518" s="5" t="n"/>
      <c r="C1518" s="5" t="n"/>
      <c r="D1518" s="5" t="n"/>
      <c r="E1518" s="6">
        <f>IF(A1518="","","B"&amp;TEXT(COUNT($A$2:A1518),"00000"))</f>
        <v/>
      </c>
      <c r="F1518" s="6">
        <f>IF(OR(C1518="",D1518=""),"",IFERROR(LOOKUP(2,1/(($C$1:C1517=C1518)*($D$1:D1517=D1518)*ISNUMBER($J$1:J1517)),$J$1:J1517),SUMIFS(Master!$G$2:$G$13,Master!$E$2:$E$13,C1518,Master!$F$2:$F$13,D1518)))</f>
        <v/>
      </c>
      <c r="G1518" s="5" t="n"/>
      <c r="H1518" s="5" t="n"/>
      <c r="I1518" s="5" t="n"/>
      <c r="J1518" s="6">
        <f>IF(OR(F1518="",COUNT(G1518:I1518)&lt;3),"",F1518+G1518-H1518-I1518)</f>
        <v/>
      </c>
      <c r="K1518" s="6">
        <f>IF(COUNTA(A1518:D1518,G1518:I1518)=0,"",IF(COUNTA(A1518:D1518,G1518:I1518)&lt;7,"LENGKAPI",IF(H1518+I1518&gt;N(F1518)+G1518,"ABNORMAL",IF(COUNTIFS($A$2:$A$2001,A1518,$B$2:$B$2001,B1518,$C$2:$C$2001,C1518,$D$2:$D$2001,D1518)&gt;1,"DUPLIKAT","OK"))))</f>
        <v/>
      </c>
    </row>
    <row r="1519">
      <c r="A1519" s="4" t="n"/>
      <c r="B1519" s="5" t="n"/>
      <c r="C1519" s="5" t="n"/>
      <c r="D1519" s="5" t="n"/>
      <c r="E1519" s="6">
        <f>IF(A1519="","","B"&amp;TEXT(COUNT($A$2:A1519),"00000"))</f>
        <v/>
      </c>
      <c r="F1519" s="6">
        <f>IF(OR(C1519="",D1519=""),"",IFERROR(LOOKUP(2,1/(($C$1:C1518=C1519)*($D$1:D1518=D1519)*ISNUMBER($J$1:J1518)),$J$1:J1518),SUMIFS(Master!$G$2:$G$13,Master!$E$2:$E$13,C1519,Master!$F$2:$F$13,D1519)))</f>
        <v/>
      </c>
      <c r="G1519" s="5" t="n"/>
      <c r="H1519" s="5" t="n"/>
      <c r="I1519" s="5" t="n"/>
      <c r="J1519" s="6">
        <f>IF(OR(F1519="",COUNT(G1519:I1519)&lt;3),"",F1519+G1519-H1519-I1519)</f>
        <v/>
      </c>
      <c r="K1519" s="6">
        <f>IF(COUNTA(A1519:D1519,G1519:I1519)=0,"",IF(COUNTA(A1519:D1519,G1519:I1519)&lt;7,"LENGKAPI",IF(H1519+I1519&gt;N(F1519)+G1519,"ABNORMAL",IF(COUNTIFS($A$2:$A$2001,A1519,$B$2:$B$2001,B1519,$C$2:$C$2001,C1519,$D$2:$D$2001,D1519)&gt;1,"DUPLIKAT","OK"))))</f>
        <v/>
      </c>
    </row>
    <row r="1520">
      <c r="A1520" s="4" t="n"/>
      <c r="B1520" s="5" t="n"/>
      <c r="C1520" s="5" t="n"/>
      <c r="D1520" s="5" t="n"/>
      <c r="E1520" s="6">
        <f>IF(A1520="","","B"&amp;TEXT(COUNT($A$2:A1520),"00000"))</f>
        <v/>
      </c>
      <c r="F1520" s="6">
        <f>IF(OR(C1520="",D1520=""),"",IFERROR(LOOKUP(2,1/(($C$1:C1519=C1520)*($D$1:D1519=D1520)*ISNUMBER($J$1:J1519)),$J$1:J1519),SUMIFS(Master!$G$2:$G$13,Master!$E$2:$E$13,C1520,Master!$F$2:$F$13,D1520)))</f>
        <v/>
      </c>
      <c r="G1520" s="5" t="n"/>
      <c r="H1520" s="5" t="n"/>
      <c r="I1520" s="5" t="n"/>
      <c r="J1520" s="6">
        <f>IF(OR(F1520="",COUNT(G1520:I1520)&lt;3),"",F1520+G1520-H1520-I1520)</f>
        <v/>
      </c>
      <c r="K1520" s="6">
        <f>IF(COUNTA(A1520:D1520,G1520:I1520)=0,"",IF(COUNTA(A1520:D1520,G1520:I1520)&lt;7,"LENGKAPI",IF(H1520+I1520&gt;N(F1520)+G1520,"ABNORMAL",IF(COUNTIFS($A$2:$A$2001,A1520,$B$2:$B$2001,B1520,$C$2:$C$2001,C1520,$D$2:$D$2001,D1520)&gt;1,"DUPLIKAT","OK"))))</f>
        <v/>
      </c>
    </row>
    <row r="1521">
      <c r="A1521" s="4" t="n"/>
      <c r="B1521" s="5" t="n"/>
      <c r="C1521" s="5" t="n"/>
      <c r="D1521" s="5" t="n"/>
      <c r="E1521" s="6">
        <f>IF(A1521="","","B"&amp;TEXT(COUNT($A$2:A1521),"00000"))</f>
        <v/>
      </c>
      <c r="F1521" s="6">
        <f>IF(OR(C1521="",D1521=""),"",IFERROR(LOOKUP(2,1/(($C$1:C1520=C1521)*($D$1:D1520=D1521)*ISNUMBER($J$1:J1520)),$J$1:J1520),SUMIFS(Master!$G$2:$G$13,Master!$E$2:$E$13,C1521,Master!$F$2:$F$13,D1521)))</f>
        <v/>
      </c>
      <c r="G1521" s="5" t="n"/>
      <c r="H1521" s="5" t="n"/>
      <c r="I1521" s="5" t="n"/>
      <c r="J1521" s="6">
        <f>IF(OR(F1521="",COUNT(G1521:I1521)&lt;3),"",F1521+G1521-H1521-I1521)</f>
        <v/>
      </c>
      <c r="K1521" s="6">
        <f>IF(COUNTA(A1521:D1521,G1521:I1521)=0,"",IF(COUNTA(A1521:D1521,G1521:I1521)&lt;7,"LENGKAPI",IF(H1521+I1521&gt;N(F1521)+G1521,"ABNORMAL",IF(COUNTIFS($A$2:$A$2001,A1521,$B$2:$B$2001,B1521,$C$2:$C$2001,C1521,$D$2:$D$2001,D1521)&gt;1,"DUPLIKAT","OK"))))</f>
        <v/>
      </c>
    </row>
    <row r="1522">
      <c r="A1522" s="4" t="n"/>
      <c r="B1522" s="5" t="n"/>
      <c r="C1522" s="5" t="n"/>
      <c r="D1522" s="5" t="n"/>
      <c r="E1522" s="6">
        <f>IF(A1522="","","B"&amp;TEXT(COUNT($A$2:A1522),"00000"))</f>
        <v/>
      </c>
      <c r="F1522" s="6">
        <f>IF(OR(C1522="",D1522=""),"",IFERROR(LOOKUP(2,1/(($C$1:C1521=C1522)*($D$1:D1521=D1522)*ISNUMBER($J$1:J1521)),$J$1:J1521),SUMIFS(Master!$G$2:$G$13,Master!$E$2:$E$13,C1522,Master!$F$2:$F$13,D1522)))</f>
        <v/>
      </c>
      <c r="G1522" s="5" t="n"/>
      <c r="H1522" s="5" t="n"/>
      <c r="I1522" s="5" t="n"/>
      <c r="J1522" s="6">
        <f>IF(OR(F1522="",COUNT(G1522:I1522)&lt;3),"",F1522+G1522-H1522-I1522)</f>
        <v/>
      </c>
      <c r="K1522" s="6">
        <f>IF(COUNTA(A1522:D1522,G1522:I1522)=0,"",IF(COUNTA(A1522:D1522,G1522:I1522)&lt;7,"LENGKAPI",IF(H1522+I1522&gt;N(F1522)+G1522,"ABNORMAL",IF(COUNTIFS($A$2:$A$2001,A1522,$B$2:$B$2001,B1522,$C$2:$C$2001,C1522,$D$2:$D$2001,D1522)&gt;1,"DUPLIKAT","OK"))))</f>
        <v/>
      </c>
    </row>
    <row r="1523">
      <c r="A1523" s="4" t="n"/>
      <c r="B1523" s="5" t="n"/>
      <c r="C1523" s="5" t="n"/>
      <c r="D1523" s="5" t="n"/>
      <c r="E1523" s="6">
        <f>IF(A1523="","","B"&amp;TEXT(COUNT($A$2:A1523),"00000"))</f>
        <v/>
      </c>
      <c r="F1523" s="6">
        <f>IF(OR(C1523="",D1523=""),"",IFERROR(LOOKUP(2,1/(($C$1:C1522=C1523)*($D$1:D1522=D1523)*ISNUMBER($J$1:J1522)),$J$1:J1522),SUMIFS(Master!$G$2:$G$13,Master!$E$2:$E$13,C1523,Master!$F$2:$F$13,D1523)))</f>
        <v/>
      </c>
      <c r="G1523" s="5" t="n"/>
      <c r="H1523" s="5" t="n"/>
      <c r="I1523" s="5" t="n"/>
      <c r="J1523" s="6">
        <f>IF(OR(F1523="",COUNT(G1523:I1523)&lt;3),"",F1523+G1523-H1523-I1523)</f>
        <v/>
      </c>
      <c r="K1523" s="6">
        <f>IF(COUNTA(A1523:D1523,G1523:I1523)=0,"",IF(COUNTA(A1523:D1523,G1523:I1523)&lt;7,"LENGKAPI",IF(H1523+I1523&gt;N(F1523)+G1523,"ABNORMAL",IF(COUNTIFS($A$2:$A$2001,A1523,$B$2:$B$2001,B1523,$C$2:$C$2001,C1523,$D$2:$D$2001,D1523)&gt;1,"DUPLIKAT","OK"))))</f>
        <v/>
      </c>
    </row>
    <row r="1524">
      <c r="A1524" s="4" t="n"/>
      <c r="B1524" s="5" t="n"/>
      <c r="C1524" s="5" t="n"/>
      <c r="D1524" s="5" t="n"/>
      <c r="E1524" s="6">
        <f>IF(A1524="","","B"&amp;TEXT(COUNT($A$2:A1524),"00000"))</f>
        <v/>
      </c>
      <c r="F1524" s="6">
        <f>IF(OR(C1524="",D1524=""),"",IFERROR(LOOKUP(2,1/(($C$1:C1523=C1524)*($D$1:D1523=D1524)*ISNUMBER($J$1:J1523)),$J$1:J1523),SUMIFS(Master!$G$2:$G$13,Master!$E$2:$E$13,C1524,Master!$F$2:$F$13,D1524)))</f>
        <v/>
      </c>
      <c r="G1524" s="5" t="n"/>
      <c r="H1524" s="5" t="n"/>
      <c r="I1524" s="5" t="n"/>
      <c r="J1524" s="6">
        <f>IF(OR(F1524="",COUNT(G1524:I1524)&lt;3),"",F1524+G1524-H1524-I1524)</f>
        <v/>
      </c>
      <c r="K1524" s="6">
        <f>IF(COUNTA(A1524:D1524,G1524:I1524)=0,"",IF(COUNTA(A1524:D1524,G1524:I1524)&lt;7,"LENGKAPI",IF(H1524+I1524&gt;N(F1524)+G1524,"ABNORMAL",IF(COUNTIFS($A$2:$A$2001,A1524,$B$2:$B$2001,B1524,$C$2:$C$2001,C1524,$D$2:$D$2001,D1524)&gt;1,"DUPLIKAT","OK"))))</f>
        <v/>
      </c>
    </row>
    <row r="1525">
      <c r="A1525" s="4" t="n"/>
      <c r="B1525" s="5" t="n"/>
      <c r="C1525" s="5" t="n"/>
      <c r="D1525" s="5" t="n"/>
      <c r="E1525" s="6">
        <f>IF(A1525="","","B"&amp;TEXT(COUNT($A$2:A1525),"00000"))</f>
        <v/>
      </c>
      <c r="F1525" s="6">
        <f>IF(OR(C1525="",D1525=""),"",IFERROR(LOOKUP(2,1/(($C$1:C1524=C1525)*($D$1:D1524=D1525)*ISNUMBER($J$1:J1524)),$J$1:J1524),SUMIFS(Master!$G$2:$G$13,Master!$E$2:$E$13,C1525,Master!$F$2:$F$13,D1525)))</f>
        <v/>
      </c>
      <c r="G1525" s="5" t="n"/>
      <c r="H1525" s="5" t="n"/>
      <c r="I1525" s="5" t="n"/>
      <c r="J1525" s="6">
        <f>IF(OR(F1525="",COUNT(G1525:I1525)&lt;3),"",F1525+G1525-H1525-I1525)</f>
        <v/>
      </c>
      <c r="K1525" s="6">
        <f>IF(COUNTA(A1525:D1525,G1525:I1525)=0,"",IF(COUNTA(A1525:D1525,G1525:I1525)&lt;7,"LENGKAPI",IF(H1525+I1525&gt;N(F1525)+G1525,"ABNORMAL",IF(COUNTIFS($A$2:$A$2001,A1525,$B$2:$B$2001,B1525,$C$2:$C$2001,C1525,$D$2:$D$2001,D1525)&gt;1,"DUPLIKAT","OK"))))</f>
        <v/>
      </c>
    </row>
    <row r="1526">
      <c r="A1526" s="4" t="n"/>
      <c r="B1526" s="5" t="n"/>
      <c r="C1526" s="5" t="n"/>
      <c r="D1526" s="5" t="n"/>
      <c r="E1526" s="6">
        <f>IF(A1526="","","B"&amp;TEXT(COUNT($A$2:A1526),"00000"))</f>
        <v/>
      </c>
      <c r="F1526" s="6">
        <f>IF(OR(C1526="",D1526=""),"",IFERROR(LOOKUP(2,1/(($C$1:C1525=C1526)*($D$1:D1525=D1526)*ISNUMBER($J$1:J1525)),$J$1:J1525),SUMIFS(Master!$G$2:$G$13,Master!$E$2:$E$13,C1526,Master!$F$2:$F$13,D1526)))</f>
        <v/>
      </c>
      <c r="G1526" s="5" t="n"/>
      <c r="H1526" s="5" t="n"/>
      <c r="I1526" s="5" t="n"/>
      <c r="J1526" s="6">
        <f>IF(OR(F1526="",COUNT(G1526:I1526)&lt;3),"",F1526+G1526-H1526-I1526)</f>
        <v/>
      </c>
      <c r="K1526" s="6">
        <f>IF(COUNTA(A1526:D1526,G1526:I1526)=0,"",IF(COUNTA(A1526:D1526,G1526:I1526)&lt;7,"LENGKAPI",IF(H1526+I1526&gt;N(F1526)+G1526,"ABNORMAL",IF(COUNTIFS($A$2:$A$2001,A1526,$B$2:$B$2001,B1526,$C$2:$C$2001,C1526,$D$2:$D$2001,D1526)&gt;1,"DUPLIKAT","OK"))))</f>
        <v/>
      </c>
    </row>
    <row r="1527">
      <c r="A1527" s="4" t="n"/>
      <c r="B1527" s="5" t="n"/>
      <c r="C1527" s="5" t="n"/>
      <c r="D1527" s="5" t="n"/>
      <c r="E1527" s="6">
        <f>IF(A1527="","","B"&amp;TEXT(COUNT($A$2:A1527),"00000"))</f>
        <v/>
      </c>
      <c r="F1527" s="6">
        <f>IF(OR(C1527="",D1527=""),"",IFERROR(LOOKUP(2,1/(($C$1:C1526=C1527)*($D$1:D1526=D1527)*ISNUMBER($J$1:J1526)),$J$1:J1526),SUMIFS(Master!$G$2:$G$13,Master!$E$2:$E$13,C1527,Master!$F$2:$F$13,D1527)))</f>
        <v/>
      </c>
      <c r="G1527" s="5" t="n"/>
      <c r="H1527" s="5" t="n"/>
      <c r="I1527" s="5" t="n"/>
      <c r="J1527" s="6">
        <f>IF(OR(F1527="",COUNT(G1527:I1527)&lt;3),"",F1527+G1527-H1527-I1527)</f>
        <v/>
      </c>
      <c r="K1527" s="6">
        <f>IF(COUNTA(A1527:D1527,G1527:I1527)=0,"",IF(COUNTA(A1527:D1527,G1527:I1527)&lt;7,"LENGKAPI",IF(H1527+I1527&gt;N(F1527)+G1527,"ABNORMAL",IF(COUNTIFS($A$2:$A$2001,A1527,$B$2:$B$2001,B1527,$C$2:$C$2001,C1527,$D$2:$D$2001,D1527)&gt;1,"DUPLIKAT","OK"))))</f>
        <v/>
      </c>
    </row>
    <row r="1528">
      <c r="A1528" s="4" t="n"/>
      <c r="B1528" s="5" t="n"/>
      <c r="C1528" s="5" t="n"/>
      <c r="D1528" s="5" t="n"/>
      <c r="E1528" s="6">
        <f>IF(A1528="","","B"&amp;TEXT(COUNT($A$2:A1528),"00000"))</f>
        <v/>
      </c>
      <c r="F1528" s="6">
        <f>IF(OR(C1528="",D1528=""),"",IFERROR(LOOKUP(2,1/(($C$1:C1527=C1528)*($D$1:D1527=D1528)*ISNUMBER($J$1:J1527)),$J$1:J1527),SUMIFS(Master!$G$2:$G$13,Master!$E$2:$E$13,C1528,Master!$F$2:$F$13,D1528)))</f>
        <v/>
      </c>
      <c r="G1528" s="5" t="n"/>
      <c r="H1528" s="5" t="n"/>
      <c r="I1528" s="5" t="n"/>
      <c r="J1528" s="6">
        <f>IF(OR(F1528="",COUNT(G1528:I1528)&lt;3),"",F1528+G1528-H1528-I1528)</f>
        <v/>
      </c>
      <c r="K1528" s="6">
        <f>IF(COUNTA(A1528:D1528,G1528:I1528)=0,"",IF(COUNTA(A1528:D1528,G1528:I1528)&lt;7,"LENGKAPI",IF(H1528+I1528&gt;N(F1528)+G1528,"ABNORMAL",IF(COUNTIFS($A$2:$A$2001,A1528,$B$2:$B$2001,B1528,$C$2:$C$2001,C1528,$D$2:$D$2001,D1528)&gt;1,"DUPLIKAT","OK"))))</f>
        <v/>
      </c>
    </row>
    <row r="1529">
      <c r="A1529" s="4" t="n"/>
      <c r="B1529" s="5" t="n"/>
      <c r="C1529" s="5" t="n"/>
      <c r="D1529" s="5" t="n"/>
      <c r="E1529" s="6">
        <f>IF(A1529="","","B"&amp;TEXT(COUNT($A$2:A1529),"00000"))</f>
        <v/>
      </c>
      <c r="F1529" s="6">
        <f>IF(OR(C1529="",D1529=""),"",IFERROR(LOOKUP(2,1/(($C$1:C1528=C1529)*($D$1:D1528=D1529)*ISNUMBER($J$1:J1528)),$J$1:J1528),SUMIFS(Master!$G$2:$G$13,Master!$E$2:$E$13,C1529,Master!$F$2:$F$13,D1529)))</f>
        <v/>
      </c>
      <c r="G1529" s="5" t="n"/>
      <c r="H1529" s="5" t="n"/>
      <c r="I1529" s="5" t="n"/>
      <c r="J1529" s="6">
        <f>IF(OR(F1529="",COUNT(G1529:I1529)&lt;3),"",F1529+G1529-H1529-I1529)</f>
        <v/>
      </c>
      <c r="K1529" s="6">
        <f>IF(COUNTA(A1529:D1529,G1529:I1529)=0,"",IF(COUNTA(A1529:D1529,G1529:I1529)&lt;7,"LENGKAPI",IF(H1529+I1529&gt;N(F1529)+G1529,"ABNORMAL",IF(COUNTIFS($A$2:$A$2001,A1529,$B$2:$B$2001,B1529,$C$2:$C$2001,C1529,$D$2:$D$2001,D1529)&gt;1,"DUPLIKAT","OK"))))</f>
        <v/>
      </c>
    </row>
    <row r="1530">
      <c r="A1530" s="4" t="n"/>
      <c r="B1530" s="5" t="n"/>
      <c r="C1530" s="5" t="n"/>
      <c r="D1530" s="5" t="n"/>
      <c r="E1530" s="6">
        <f>IF(A1530="","","B"&amp;TEXT(COUNT($A$2:A1530),"00000"))</f>
        <v/>
      </c>
      <c r="F1530" s="6">
        <f>IF(OR(C1530="",D1530=""),"",IFERROR(LOOKUP(2,1/(($C$1:C1529=C1530)*($D$1:D1529=D1530)*ISNUMBER($J$1:J1529)),$J$1:J1529),SUMIFS(Master!$G$2:$G$13,Master!$E$2:$E$13,C1530,Master!$F$2:$F$13,D1530)))</f>
        <v/>
      </c>
      <c r="G1530" s="5" t="n"/>
      <c r="H1530" s="5" t="n"/>
      <c r="I1530" s="5" t="n"/>
      <c r="J1530" s="6">
        <f>IF(OR(F1530="",COUNT(G1530:I1530)&lt;3),"",F1530+G1530-H1530-I1530)</f>
        <v/>
      </c>
      <c r="K1530" s="6">
        <f>IF(COUNTA(A1530:D1530,G1530:I1530)=0,"",IF(COUNTA(A1530:D1530,G1530:I1530)&lt;7,"LENGKAPI",IF(H1530+I1530&gt;N(F1530)+G1530,"ABNORMAL",IF(COUNTIFS($A$2:$A$2001,A1530,$B$2:$B$2001,B1530,$C$2:$C$2001,C1530,$D$2:$D$2001,D1530)&gt;1,"DUPLIKAT","OK"))))</f>
        <v/>
      </c>
    </row>
    <row r="1531">
      <c r="A1531" s="4" t="n"/>
      <c r="B1531" s="5" t="n"/>
      <c r="C1531" s="5" t="n"/>
      <c r="D1531" s="5" t="n"/>
      <c r="E1531" s="6">
        <f>IF(A1531="","","B"&amp;TEXT(COUNT($A$2:A1531),"00000"))</f>
        <v/>
      </c>
      <c r="F1531" s="6">
        <f>IF(OR(C1531="",D1531=""),"",IFERROR(LOOKUP(2,1/(($C$1:C1530=C1531)*($D$1:D1530=D1531)*ISNUMBER($J$1:J1530)),$J$1:J1530),SUMIFS(Master!$G$2:$G$13,Master!$E$2:$E$13,C1531,Master!$F$2:$F$13,D1531)))</f>
        <v/>
      </c>
      <c r="G1531" s="5" t="n"/>
      <c r="H1531" s="5" t="n"/>
      <c r="I1531" s="5" t="n"/>
      <c r="J1531" s="6">
        <f>IF(OR(F1531="",COUNT(G1531:I1531)&lt;3),"",F1531+G1531-H1531-I1531)</f>
        <v/>
      </c>
      <c r="K1531" s="6">
        <f>IF(COUNTA(A1531:D1531,G1531:I1531)=0,"",IF(COUNTA(A1531:D1531,G1531:I1531)&lt;7,"LENGKAPI",IF(H1531+I1531&gt;N(F1531)+G1531,"ABNORMAL",IF(COUNTIFS($A$2:$A$2001,A1531,$B$2:$B$2001,B1531,$C$2:$C$2001,C1531,$D$2:$D$2001,D1531)&gt;1,"DUPLIKAT","OK"))))</f>
        <v/>
      </c>
    </row>
    <row r="1532">
      <c r="A1532" s="4" t="n"/>
      <c r="B1532" s="5" t="n"/>
      <c r="C1532" s="5" t="n"/>
      <c r="D1532" s="5" t="n"/>
      <c r="E1532" s="6">
        <f>IF(A1532="","","B"&amp;TEXT(COUNT($A$2:A1532),"00000"))</f>
        <v/>
      </c>
      <c r="F1532" s="6">
        <f>IF(OR(C1532="",D1532=""),"",IFERROR(LOOKUP(2,1/(($C$1:C1531=C1532)*($D$1:D1531=D1532)*ISNUMBER($J$1:J1531)),$J$1:J1531),SUMIFS(Master!$G$2:$G$13,Master!$E$2:$E$13,C1532,Master!$F$2:$F$13,D1532)))</f>
        <v/>
      </c>
      <c r="G1532" s="5" t="n"/>
      <c r="H1532" s="5" t="n"/>
      <c r="I1532" s="5" t="n"/>
      <c r="J1532" s="6">
        <f>IF(OR(F1532="",COUNT(G1532:I1532)&lt;3),"",F1532+G1532-H1532-I1532)</f>
        <v/>
      </c>
      <c r="K1532" s="6">
        <f>IF(COUNTA(A1532:D1532,G1532:I1532)=0,"",IF(COUNTA(A1532:D1532,G1532:I1532)&lt;7,"LENGKAPI",IF(H1532+I1532&gt;N(F1532)+G1532,"ABNORMAL",IF(COUNTIFS($A$2:$A$2001,A1532,$B$2:$B$2001,B1532,$C$2:$C$2001,C1532,$D$2:$D$2001,D1532)&gt;1,"DUPLIKAT","OK"))))</f>
        <v/>
      </c>
    </row>
    <row r="1533">
      <c r="A1533" s="4" t="n"/>
      <c r="B1533" s="5" t="n"/>
      <c r="C1533" s="5" t="n"/>
      <c r="D1533" s="5" t="n"/>
      <c r="E1533" s="6">
        <f>IF(A1533="","","B"&amp;TEXT(COUNT($A$2:A1533),"00000"))</f>
        <v/>
      </c>
      <c r="F1533" s="6">
        <f>IF(OR(C1533="",D1533=""),"",IFERROR(LOOKUP(2,1/(($C$1:C1532=C1533)*($D$1:D1532=D1533)*ISNUMBER($J$1:J1532)),$J$1:J1532),SUMIFS(Master!$G$2:$G$13,Master!$E$2:$E$13,C1533,Master!$F$2:$F$13,D1533)))</f>
        <v/>
      </c>
      <c r="G1533" s="5" t="n"/>
      <c r="H1533" s="5" t="n"/>
      <c r="I1533" s="5" t="n"/>
      <c r="J1533" s="6">
        <f>IF(OR(F1533="",COUNT(G1533:I1533)&lt;3),"",F1533+G1533-H1533-I1533)</f>
        <v/>
      </c>
      <c r="K1533" s="6">
        <f>IF(COUNTA(A1533:D1533,G1533:I1533)=0,"",IF(COUNTA(A1533:D1533,G1533:I1533)&lt;7,"LENGKAPI",IF(H1533+I1533&gt;N(F1533)+G1533,"ABNORMAL",IF(COUNTIFS($A$2:$A$2001,A1533,$B$2:$B$2001,B1533,$C$2:$C$2001,C1533,$D$2:$D$2001,D1533)&gt;1,"DUPLIKAT","OK"))))</f>
        <v/>
      </c>
    </row>
    <row r="1534">
      <c r="A1534" s="4" t="n"/>
      <c r="B1534" s="5" t="n"/>
      <c r="C1534" s="5" t="n"/>
      <c r="D1534" s="5" t="n"/>
      <c r="E1534" s="6">
        <f>IF(A1534="","","B"&amp;TEXT(COUNT($A$2:A1534),"00000"))</f>
        <v/>
      </c>
      <c r="F1534" s="6">
        <f>IF(OR(C1534="",D1534=""),"",IFERROR(LOOKUP(2,1/(($C$1:C1533=C1534)*($D$1:D1533=D1534)*ISNUMBER($J$1:J1533)),$J$1:J1533),SUMIFS(Master!$G$2:$G$13,Master!$E$2:$E$13,C1534,Master!$F$2:$F$13,D1534)))</f>
        <v/>
      </c>
      <c r="G1534" s="5" t="n"/>
      <c r="H1534" s="5" t="n"/>
      <c r="I1534" s="5" t="n"/>
      <c r="J1534" s="6">
        <f>IF(OR(F1534="",COUNT(G1534:I1534)&lt;3),"",F1534+G1534-H1534-I1534)</f>
        <v/>
      </c>
      <c r="K1534" s="6">
        <f>IF(COUNTA(A1534:D1534,G1534:I1534)=0,"",IF(COUNTA(A1534:D1534,G1534:I1534)&lt;7,"LENGKAPI",IF(H1534+I1534&gt;N(F1534)+G1534,"ABNORMAL",IF(COUNTIFS($A$2:$A$2001,A1534,$B$2:$B$2001,B1534,$C$2:$C$2001,C1534,$D$2:$D$2001,D1534)&gt;1,"DUPLIKAT","OK"))))</f>
        <v/>
      </c>
    </row>
    <row r="1535">
      <c r="A1535" s="4" t="n"/>
      <c r="B1535" s="5" t="n"/>
      <c r="C1535" s="5" t="n"/>
      <c r="D1535" s="5" t="n"/>
      <c r="E1535" s="6">
        <f>IF(A1535="","","B"&amp;TEXT(COUNT($A$2:A1535),"00000"))</f>
        <v/>
      </c>
      <c r="F1535" s="6">
        <f>IF(OR(C1535="",D1535=""),"",IFERROR(LOOKUP(2,1/(($C$1:C1534=C1535)*($D$1:D1534=D1535)*ISNUMBER($J$1:J1534)),$J$1:J1534),SUMIFS(Master!$G$2:$G$13,Master!$E$2:$E$13,C1535,Master!$F$2:$F$13,D1535)))</f>
        <v/>
      </c>
      <c r="G1535" s="5" t="n"/>
      <c r="H1535" s="5" t="n"/>
      <c r="I1535" s="5" t="n"/>
      <c r="J1535" s="6">
        <f>IF(OR(F1535="",COUNT(G1535:I1535)&lt;3),"",F1535+G1535-H1535-I1535)</f>
        <v/>
      </c>
      <c r="K1535" s="6">
        <f>IF(COUNTA(A1535:D1535,G1535:I1535)=0,"",IF(COUNTA(A1535:D1535,G1535:I1535)&lt;7,"LENGKAPI",IF(H1535+I1535&gt;N(F1535)+G1535,"ABNORMAL",IF(COUNTIFS($A$2:$A$2001,A1535,$B$2:$B$2001,B1535,$C$2:$C$2001,C1535,$D$2:$D$2001,D1535)&gt;1,"DUPLIKAT","OK"))))</f>
        <v/>
      </c>
    </row>
    <row r="1536">
      <c r="A1536" s="4" t="n"/>
      <c r="B1536" s="5" t="n"/>
      <c r="C1536" s="5" t="n"/>
      <c r="D1536" s="5" t="n"/>
      <c r="E1536" s="6">
        <f>IF(A1536="","","B"&amp;TEXT(COUNT($A$2:A1536),"00000"))</f>
        <v/>
      </c>
      <c r="F1536" s="6">
        <f>IF(OR(C1536="",D1536=""),"",IFERROR(LOOKUP(2,1/(($C$1:C1535=C1536)*($D$1:D1535=D1536)*ISNUMBER($J$1:J1535)),$J$1:J1535),SUMIFS(Master!$G$2:$G$13,Master!$E$2:$E$13,C1536,Master!$F$2:$F$13,D1536)))</f>
        <v/>
      </c>
      <c r="G1536" s="5" t="n"/>
      <c r="H1536" s="5" t="n"/>
      <c r="I1536" s="5" t="n"/>
      <c r="J1536" s="6">
        <f>IF(OR(F1536="",COUNT(G1536:I1536)&lt;3),"",F1536+G1536-H1536-I1536)</f>
        <v/>
      </c>
      <c r="K1536" s="6">
        <f>IF(COUNTA(A1536:D1536,G1536:I1536)=0,"",IF(COUNTA(A1536:D1536,G1536:I1536)&lt;7,"LENGKAPI",IF(H1536+I1536&gt;N(F1536)+G1536,"ABNORMAL",IF(COUNTIFS($A$2:$A$2001,A1536,$B$2:$B$2001,B1536,$C$2:$C$2001,C1536,$D$2:$D$2001,D1536)&gt;1,"DUPLIKAT","OK"))))</f>
        <v/>
      </c>
    </row>
    <row r="1537">
      <c r="A1537" s="4" t="n"/>
      <c r="B1537" s="5" t="n"/>
      <c r="C1537" s="5" t="n"/>
      <c r="D1537" s="5" t="n"/>
      <c r="E1537" s="6">
        <f>IF(A1537="","","B"&amp;TEXT(COUNT($A$2:A1537),"00000"))</f>
        <v/>
      </c>
      <c r="F1537" s="6">
        <f>IF(OR(C1537="",D1537=""),"",IFERROR(LOOKUP(2,1/(($C$1:C1536=C1537)*($D$1:D1536=D1537)*ISNUMBER($J$1:J1536)),$J$1:J1536),SUMIFS(Master!$G$2:$G$13,Master!$E$2:$E$13,C1537,Master!$F$2:$F$13,D1537)))</f>
        <v/>
      </c>
      <c r="G1537" s="5" t="n"/>
      <c r="H1537" s="5" t="n"/>
      <c r="I1537" s="5" t="n"/>
      <c r="J1537" s="6">
        <f>IF(OR(F1537="",COUNT(G1537:I1537)&lt;3),"",F1537+G1537-H1537-I1537)</f>
        <v/>
      </c>
      <c r="K1537" s="6">
        <f>IF(COUNTA(A1537:D1537,G1537:I1537)=0,"",IF(COUNTA(A1537:D1537,G1537:I1537)&lt;7,"LENGKAPI",IF(H1537+I1537&gt;N(F1537)+G1537,"ABNORMAL",IF(COUNTIFS($A$2:$A$2001,A1537,$B$2:$B$2001,B1537,$C$2:$C$2001,C1537,$D$2:$D$2001,D1537)&gt;1,"DUPLIKAT","OK"))))</f>
        <v/>
      </c>
    </row>
    <row r="1538">
      <c r="A1538" s="4" t="n"/>
      <c r="B1538" s="5" t="n"/>
      <c r="C1538" s="5" t="n"/>
      <c r="D1538" s="5" t="n"/>
      <c r="E1538" s="6">
        <f>IF(A1538="","","B"&amp;TEXT(COUNT($A$2:A1538),"00000"))</f>
        <v/>
      </c>
      <c r="F1538" s="6">
        <f>IF(OR(C1538="",D1538=""),"",IFERROR(LOOKUP(2,1/(($C$1:C1537=C1538)*($D$1:D1537=D1538)*ISNUMBER($J$1:J1537)),$J$1:J1537),SUMIFS(Master!$G$2:$G$13,Master!$E$2:$E$13,C1538,Master!$F$2:$F$13,D1538)))</f>
        <v/>
      </c>
      <c r="G1538" s="5" t="n"/>
      <c r="H1538" s="5" t="n"/>
      <c r="I1538" s="5" t="n"/>
      <c r="J1538" s="6">
        <f>IF(OR(F1538="",COUNT(G1538:I1538)&lt;3),"",F1538+G1538-H1538-I1538)</f>
        <v/>
      </c>
      <c r="K1538" s="6">
        <f>IF(COUNTA(A1538:D1538,G1538:I1538)=0,"",IF(COUNTA(A1538:D1538,G1538:I1538)&lt;7,"LENGKAPI",IF(H1538+I1538&gt;N(F1538)+G1538,"ABNORMAL",IF(COUNTIFS($A$2:$A$2001,A1538,$B$2:$B$2001,B1538,$C$2:$C$2001,C1538,$D$2:$D$2001,D1538)&gt;1,"DUPLIKAT","OK"))))</f>
        <v/>
      </c>
    </row>
    <row r="1539">
      <c r="A1539" s="4" t="n"/>
      <c r="B1539" s="5" t="n"/>
      <c r="C1539" s="5" t="n"/>
      <c r="D1539" s="5" t="n"/>
      <c r="E1539" s="6">
        <f>IF(A1539="","","B"&amp;TEXT(COUNT($A$2:A1539),"00000"))</f>
        <v/>
      </c>
      <c r="F1539" s="6">
        <f>IF(OR(C1539="",D1539=""),"",IFERROR(LOOKUP(2,1/(($C$1:C1538=C1539)*($D$1:D1538=D1539)*ISNUMBER($J$1:J1538)),$J$1:J1538),SUMIFS(Master!$G$2:$G$13,Master!$E$2:$E$13,C1539,Master!$F$2:$F$13,D1539)))</f>
        <v/>
      </c>
      <c r="G1539" s="5" t="n"/>
      <c r="H1539" s="5" t="n"/>
      <c r="I1539" s="5" t="n"/>
      <c r="J1539" s="6">
        <f>IF(OR(F1539="",COUNT(G1539:I1539)&lt;3),"",F1539+G1539-H1539-I1539)</f>
        <v/>
      </c>
      <c r="K1539" s="6">
        <f>IF(COUNTA(A1539:D1539,G1539:I1539)=0,"",IF(COUNTA(A1539:D1539,G1539:I1539)&lt;7,"LENGKAPI",IF(H1539+I1539&gt;N(F1539)+G1539,"ABNORMAL",IF(COUNTIFS($A$2:$A$2001,A1539,$B$2:$B$2001,B1539,$C$2:$C$2001,C1539,$D$2:$D$2001,D1539)&gt;1,"DUPLIKAT","OK"))))</f>
        <v/>
      </c>
    </row>
    <row r="1540">
      <c r="A1540" s="4" t="n"/>
      <c r="B1540" s="5" t="n"/>
      <c r="C1540" s="5" t="n"/>
      <c r="D1540" s="5" t="n"/>
      <c r="E1540" s="6">
        <f>IF(A1540="","","B"&amp;TEXT(COUNT($A$2:A1540),"00000"))</f>
        <v/>
      </c>
      <c r="F1540" s="6">
        <f>IF(OR(C1540="",D1540=""),"",IFERROR(LOOKUP(2,1/(($C$1:C1539=C1540)*($D$1:D1539=D1540)*ISNUMBER($J$1:J1539)),$J$1:J1539),SUMIFS(Master!$G$2:$G$13,Master!$E$2:$E$13,C1540,Master!$F$2:$F$13,D1540)))</f>
        <v/>
      </c>
      <c r="G1540" s="5" t="n"/>
      <c r="H1540" s="5" t="n"/>
      <c r="I1540" s="5" t="n"/>
      <c r="J1540" s="6">
        <f>IF(OR(F1540="",COUNT(G1540:I1540)&lt;3),"",F1540+G1540-H1540-I1540)</f>
        <v/>
      </c>
      <c r="K1540" s="6">
        <f>IF(COUNTA(A1540:D1540,G1540:I1540)=0,"",IF(COUNTA(A1540:D1540,G1540:I1540)&lt;7,"LENGKAPI",IF(H1540+I1540&gt;N(F1540)+G1540,"ABNORMAL",IF(COUNTIFS($A$2:$A$2001,A1540,$B$2:$B$2001,B1540,$C$2:$C$2001,C1540,$D$2:$D$2001,D1540)&gt;1,"DUPLIKAT","OK"))))</f>
        <v/>
      </c>
    </row>
    <row r="1541">
      <c r="A1541" s="4" t="n"/>
      <c r="B1541" s="5" t="n"/>
      <c r="C1541" s="5" t="n"/>
      <c r="D1541" s="5" t="n"/>
      <c r="E1541" s="6">
        <f>IF(A1541="","","B"&amp;TEXT(COUNT($A$2:A1541),"00000"))</f>
        <v/>
      </c>
      <c r="F1541" s="6">
        <f>IF(OR(C1541="",D1541=""),"",IFERROR(LOOKUP(2,1/(($C$1:C1540=C1541)*($D$1:D1540=D1541)*ISNUMBER($J$1:J1540)),$J$1:J1540),SUMIFS(Master!$G$2:$G$13,Master!$E$2:$E$13,C1541,Master!$F$2:$F$13,D1541)))</f>
        <v/>
      </c>
      <c r="G1541" s="5" t="n"/>
      <c r="H1541" s="5" t="n"/>
      <c r="I1541" s="5" t="n"/>
      <c r="J1541" s="6">
        <f>IF(OR(F1541="",COUNT(G1541:I1541)&lt;3),"",F1541+G1541-H1541-I1541)</f>
        <v/>
      </c>
      <c r="K1541" s="6">
        <f>IF(COUNTA(A1541:D1541,G1541:I1541)=0,"",IF(COUNTA(A1541:D1541,G1541:I1541)&lt;7,"LENGKAPI",IF(H1541+I1541&gt;N(F1541)+G1541,"ABNORMAL",IF(COUNTIFS($A$2:$A$2001,A1541,$B$2:$B$2001,B1541,$C$2:$C$2001,C1541,$D$2:$D$2001,D1541)&gt;1,"DUPLIKAT","OK"))))</f>
        <v/>
      </c>
    </row>
    <row r="1542">
      <c r="A1542" s="4" t="n"/>
      <c r="B1542" s="5" t="n"/>
      <c r="C1542" s="5" t="n"/>
      <c r="D1542" s="5" t="n"/>
      <c r="E1542" s="6">
        <f>IF(A1542="","","B"&amp;TEXT(COUNT($A$2:A1542),"00000"))</f>
        <v/>
      </c>
      <c r="F1542" s="6">
        <f>IF(OR(C1542="",D1542=""),"",IFERROR(LOOKUP(2,1/(($C$1:C1541=C1542)*($D$1:D1541=D1542)*ISNUMBER($J$1:J1541)),$J$1:J1541),SUMIFS(Master!$G$2:$G$13,Master!$E$2:$E$13,C1542,Master!$F$2:$F$13,D1542)))</f>
        <v/>
      </c>
      <c r="G1542" s="5" t="n"/>
      <c r="H1542" s="5" t="n"/>
      <c r="I1542" s="5" t="n"/>
      <c r="J1542" s="6">
        <f>IF(OR(F1542="",COUNT(G1542:I1542)&lt;3),"",F1542+G1542-H1542-I1542)</f>
        <v/>
      </c>
      <c r="K1542" s="6">
        <f>IF(COUNTA(A1542:D1542,G1542:I1542)=0,"",IF(COUNTA(A1542:D1542,G1542:I1542)&lt;7,"LENGKAPI",IF(H1542+I1542&gt;N(F1542)+G1542,"ABNORMAL",IF(COUNTIFS($A$2:$A$2001,A1542,$B$2:$B$2001,B1542,$C$2:$C$2001,C1542,$D$2:$D$2001,D1542)&gt;1,"DUPLIKAT","OK"))))</f>
        <v/>
      </c>
    </row>
    <row r="1543">
      <c r="A1543" s="4" t="n"/>
      <c r="B1543" s="5" t="n"/>
      <c r="C1543" s="5" t="n"/>
      <c r="D1543" s="5" t="n"/>
      <c r="E1543" s="6">
        <f>IF(A1543="","","B"&amp;TEXT(COUNT($A$2:A1543),"00000"))</f>
        <v/>
      </c>
      <c r="F1543" s="6">
        <f>IF(OR(C1543="",D1543=""),"",IFERROR(LOOKUP(2,1/(($C$1:C1542=C1543)*($D$1:D1542=D1543)*ISNUMBER($J$1:J1542)),$J$1:J1542),SUMIFS(Master!$G$2:$G$13,Master!$E$2:$E$13,C1543,Master!$F$2:$F$13,D1543)))</f>
        <v/>
      </c>
      <c r="G1543" s="5" t="n"/>
      <c r="H1543" s="5" t="n"/>
      <c r="I1543" s="5" t="n"/>
      <c r="J1543" s="6">
        <f>IF(OR(F1543="",COUNT(G1543:I1543)&lt;3),"",F1543+G1543-H1543-I1543)</f>
        <v/>
      </c>
      <c r="K1543" s="6">
        <f>IF(COUNTA(A1543:D1543,G1543:I1543)=0,"",IF(COUNTA(A1543:D1543,G1543:I1543)&lt;7,"LENGKAPI",IF(H1543+I1543&gt;N(F1543)+G1543,"ABNORMAL",IF(COUNTIFS($A$2:$A$2001,A1543,$B$2:$B$2001,B1543,$C$2:$C$2001,C1543,$D$2:$D$2001,D1543)&gt;1,"DUPLIKAT","OK"))))</f>
        <v/>
      </c>
    </row>
    <row r="1544">
      <c r="A1544" s="4" t="n"/>
      <c r="B1544" s="5" t="n"/>
      <c r="C1544" s="5" t="n"/>
      <c r="D1544" s="5" t="n"/>
      <c r="E1544" s="6">
        <f>IF(A1544="","","B"&amp;TEXT(COUNT($A$2:A1544),"00000"))</f>
        <v/>
      </c>
      <c r="F1544" s="6">
        <f>IF(OR(C1544="",D1544=""),"",IFERROR(LOOKUP(2,1/(($C$1:C1543=C1544)*($D$1:D1543=D1544)*ISNUMBER($J$1:J1543)),$J$1:J1543),SUMIFS(Master!$G$2:$G$13,Master!$E$2:$E$13,C1544,Master!$F$2:$F$13,D1544)))</f>
        <v/>
      </c>
      <c r="G1544" s="5" t="n"/>
      <c r="H1544" s="5" t="n"/>
      <c r="I1544" s="5" t="n"/>
      <c r="J1544" s="6">
        <f>IF(OR(F1544="",COUNT(G1544:I1544)&lt;3),"",F1544+G1544-H1544-I1544)</f>
        <v/>
      </c>
      <c r="K1544" s="6">
        <f>IF(COUNTA(A1544:D1544,G1544:I1544)=0,"",IF(COUNTA(A1544:D1544,G1544:I1544)&lt;7,"LENGKAPI",IF(H1544+I1544&gt;N(F1544)+G1544,"ABNORMAL",IF(COUNTIFS($A$2:$A$2001,A1544,$B$2:$B$2001,B1544,$C$2:$C$2001,C1544,$D$2:$D$2001,D1544)&gt;1,"DUPLIKAT","OK"))))</f>
        <v/>
      </c>
    </row>
    <row r="1545">
      <c r="A1545" s="4" t="n"/>
      <c r="B1545" s="5" t="n"/>
      <c r="C1545" s="5" t="n"/>
      <c r="D1545" s="5" t="n"/>
      <c r="E1545" s="6">
        <f>IF(A1545="","","B"&amp;TEXT(COUNT($A$2:A1545),"00000"))</f>
        <v/>
      </c>
      <c r="F1545" s="6">
        <f>IF(OR(C1545="",D1545=""),"",IFERROR(LOOKUP(2,1/(($C$1:C1544=C1545)*($D$1:D1544=D1545)*ISNUMBER($J$1:J1544)),$J$1:J1544),SUMIFS(Master!$G$2:$G$13,Master!$E$2:$E$13,C1545,Master!$F$2:$F$13,D1545)))</f>
        <v/>
      </c>
      <c r="G1545" s="5" t="n"/>
      <c r="H1545" s="5" t="n"/>
      <c r="I1545" s="5" t="n"/>
      <c r="J1545" s="6">
        <f>IF(OR(F1545="",COUNT(G1545:I1545)&lt;3),"",F1545+G1545-H1545-I1545)</f>
        <v/>
      </c>
      <c r="K1545" s="6">
        <f>IF(COUNTA(A1545:D1545,G1545:I1545)=0,"",IF(COUNTA(A1545:D1545,G1545:I1545)&lt;7,"LENGKAPI",IF(H1545+I1545&gt;N(F1545)+G1545,"ABNORMAL",IF(COUNTIFS($A$2:$A$2001,A1545,$B$2:$B$2001,B1545,$C$2:$C$2001,C1545,$D$2:$D$2001,D1545)&gt;1,"DUPLIKAT","OK"))))</f>
        <v/>
      </c>
    </row>
    <row r="1546">
      <c r="A1546" s="4" t="n"/>
      <c r="B1546" s="5" t="n"/>
      <c r="C1546" s="5" t="n"/>
      <c r="D1546" s="5" t="n"/>
      <c r="E1546" s="6">
        <f>IF(A1546="","","B"&amp;TEXT(COUNT($A$2:A1546),"00000"))</f>
        <v/>
      </c>
      <c r="F1546" s="6">
        <f>IF(OR(C1546="",D1546=""),"",IFERROR(LOOKUP(2,1/(($C$1:C1545=C1546)*($D$1:D1545=D1546)*ISNUMBER($J$1:J1545)),$J$1:J1545),SUMIFS(Master!$G$2:$G$13,Master!$E$2:$E$13,C1546,Master!$F$2:$F$13,D1546)))</f>
        <v/>
      </c>
      <c r="G1546" s="5" t="n"/>
      <c r="H1546" s="5" t="n"/>
      <c r="I1546" s="5" t="n"/>
      <c r="J1546" s="6">
        <f>IF(OR(F1546="",COUNT(G1546:I1546)&lt;3),"",F1546+G1546-H1546-I1546)</f>
        <v/>
      </c>
      <c r="K1546" s="6">
        <f>IF(COUNTA(A1546:D1546,G1546:I1546)=0,"",IF(COUNTA(A1546:D1546,G1546:I1546)&lt;7,"LENGKAPI",IF(H1546+I1546&gt;N(F1546)+G1546,"ABNORMAL",IF(COUNTIFS($A$2:$A$2001,A1546,$B$2:$B$2001,B1546,$C$2:$C$2001,C1546,$D$2:$D$2001,D1546)&gt;1,"DUPLIKAT","OK"))))</f>
        <v/>
      </c>
    </row>
    <row r="1547">
      <c r="A1547" s="4" t="n"/>
      <c r="B1547" s="5" t="n"/>
      <c r="C1547" s="5" t="n"/>
      <c r="D1547" s="5" t="n"/>
      <c r="E1547" s="6">
        <f>IF(A1547="","","B"&amp;TEXT(COUNT($A$2:A1547),"00000"))</f>
        <v/>
      </c>
      <c r="F1547" s="6">
        <f>IF(OR(C1547="",D1547=""),"",IFERROR(LOOKUP(2,1/(($C$1:C1546=C1547)*($D$1:D1546=D1547)*ISNUMBER($J$1:J1546)),$J$1:J1546),SUMIFS(Master!$G$2:$G$13,Master!$E$2:$E$13,C1547,Master!$F$2:$F$13,D1547)))</f>
        <v/>
      </c>
      <c r="G1547" s="5" t="n"/>
      <c r="H1547" s="5" t="n"/>
      <c r="I1547" s="5" t="n"/>
      <c r="J1547" s="6">
        <f>IF(OR(F1547="",COUNT(G1547:I1547)&lt;3),"",F1547+G1547-H1547-I1547)</f>
        <v/>
      </c>
      <c r="K1547" s="6">
        <f>IF(COUNTA(A1547:D1547,G1547:I1547)=0,"",IF(COUNTA(A1547:D1547,G1547:I1547)&lt;7,"LENGKAPI",IF(H1547+I1547&gt;N(F1547)+G1547,"ABNORMAL",IF(COUNTIFS($A$2:$A$2001,A1547,$B$2:$B$2001,B1547,$C$2:$C$2001,C1547,$D$2:$D$2001,D1547)&gt;1,"DUPLIKAT","OK"))))</f>
        <v/>
      </c>
    </row>
    <row r="1548">
      <c r="A1548" s="4" t="n"/>
      <c r="B1548" s="5" t="n"/>
      <c r="C1548" s="5" t="n"/>
      <c r="D1548" s="5" t="n"/>
      <c r="E1548" s="6">
        <f>IF(A1548="","","B"&amp;TEXT(COUNT($A$2:A1548),"00000"))</f>
        <v/>
      </c>
      <c r="F1548" s="6">
        <f>IF(OR(C1548="",D1548=""),"",IFERROR(LOOKUP(2,1/(($C$1:C1547=C1548)*($D$1:D1547=D1548)*ISNUMBER($J$1:J1547)),$J$1:J1547),SUMIFS(Master!$G$2:$G$13,Master!$E$2:$E$13,C1548,Master!$F$2:$F$13,D1548)))</f>
        <v/>
      </c>
      <c r="G1548" s="5" t="n"/>
      <c r="H1548" s="5" t="n"/>
      <c r="I1548" s="5" t="n"/>
      <c r="J1548" s="6">
        <f>IF(OR(F1548="",COUNT(G1548:I1548)&lt;3),"",F1548+G1548-H1548-I1548)</f>
        <v/>
      </c>
      <c r="K1548" s="6">
        <f>IF(COUNTA(A1548:D1548,G1548:I1548)=0,"",IF(COUNTA(A1548:D1548,G1548:I1548)&lt;7,"LENGKAPI",IF(H1548+I1548&gt;N(F1548)+G1548,"ABNORMAL",IF(COUNTIFS($A$2:$A$2001,A1548,$B$2:$B$2001,B1548,$C$2:$C$2001,C1548,$D$2:$D$2001,D1548)&gt;1,"DUPLIKAT","OK"))))</f>
        <v/>
      </c>
    </row>
    <row r="1549">
      <c r="A1549" s="4" t="n"/>
      <c r="B1549" s="5" t="n"/>
      <c r="C1549" s="5" t="n"/>
      <c r="D1549" s="5" t="n"/>
      <c r="E1549" s="6">
        <f>IF(A1549="","","B"&amp;TEXT(COUNT($A$2:A1549),"00000"))</f>
        <v/>
      </c>
      <c r="F1549" s="6">
        <f>IF(OR(C1549="",D1549=""),"",IFERROR(LOOKUP(2,1/(($C$1:C1548=C1549)*($D$1:D1548=D1549)*ISNUMBER($J$1:J1548)),$J$1:J1548),SUMIFS(Master!$G$2:$G$13,Master!$E$2:$E$13,C1549,Master!$F$2:$F$13,D1549)))</f>
        <v/>
      </c>
      <c r="G1549" s="5" t="n"/>
      <c r="H1549" s="5" t="n"/>
      <c r="I1549" s="5" t="n"/>
      <c r="J1549" s="6">
        <f>IF(OR(F1549="",COUNT(G1549:I1549)&lt;3),"",F1549+G1549-H1549-I1549)</f>
        <v/>
      </c>
      <c r="K1549" s="6">
        <f>IF(COUNTA(A1549:D1549,G1549:I1549)=0,"",IF(COUNTA(A1549:D1549,G1549:I1549)&lt;7,"LENGKAPI",IF(H1549+I1549&gt;N(F1549)+G1549,"ABNORMAL",IF(COUNTIFS($A$2:$A$2001,A1549,$B$2:$B$2001,B1549,$C$2:$C$2001,C1549,$D$2:$D$2001,D1549)&gt;1,"DUPLIKAT","OK"))))</f>
        <v/>
      </c>
    </row>
    <row r="1550">
      <c r="A1550" s="4" t="n"/>
      <c r="B1550" s="5" t="n"/>
      <c r="C1550" s="5" t="n"/>
      <c r="D1550" s="5" t="n"/>
      <c r="E1550" s="6">
        <f>IF(A1550="","","B"&amp;TEXT(COUNT($A$2:A1550),"00000"))</f>
        <v/>
      </c>
      <c r="F1550" s="6">
        <f>IF(OR(C1550="",D1550=""),"",IFERROR(LOOKUP(2,1/(($C$1:C1549=C1550)*($D$1:D1549=D1550)*ISNUMBER($J$1:J1549)),$J$1:J1549),SUMIFS(Master!$G$2:$G$13,Master!$E$2:$E$13,C1550,Master!$F$2:$F$13,D1550)))</f>
        <v/>
      </c>
      <c r="G1550" s="5" t="n"/>
      <c r="H1550" s="5" t="n"/>
      <c r="I1550" s="5" t="n"/>
      <c r="J1550" s="6">
        <f>IF(OR(F1550="",COUNT(G1550:I1550)&lt;3),"",F1550+G1550-H1550-I1550)</f>
        <v/>
      </c>
      <c r="K1550" s="6">
        <f>IF(COUNTA(A1550:D1550,G1550:I1550)=0,"",IF(COUNTA(A1550:D1550,G1550:I1550)&lt;7,"LENGKAPI",IF(H1550+I1550&gt;N(F1550)+G1550,"ABNORMAL",IF(COUNTIFS($A$2:$A$2001,A1550,$B$2:$B$2001,B1550,$C$2:$C$2001,C1550,$D$2:$D$2001,D1550)&gt;1,"DUPLIKAT","OK"))))</f>
        <v/>
      </c>
    </row>
    <row r="1551">
      <c r="A1551" s="4" t="n"/>
      <c r="B1551" s="5" t="n"/>
      <c r="C1551" s="5" t="n"/>
      <c r="D1551" s="5" t="n"/>
      <c r="E1551" s="6">
        <f>IF(A1551="","","B"&amp;TEXT(COUNT($A$2:A1551),"00000"))</f>
        <v/>
      </c>
      <c r="F1551" s="6">
        <f>IF(OR(C1551="",D1551=""),"",IFERROR(LOOKUP(2,1/(($C$1:C1550=C1551)*($D$1:D1550=D1551)*ISNUMBER($J$1:J1550)),$J$1:J1550),SUMIFS(Master!$G$2:$G$13,Master!$E$2:$E$13,C1551,Master!$F$2:$F$13,D1551)))</f>
        <v/>
      </c>
      <c r="G1551" s="5" t="n"/>
      <c r="H1551" s="5" t="n"/>
      <c r="I1551" s="5" t="n"/>
      <c r="J1551" s="6">
        <f>IF(OR(F1551="",COUNT(G1551:I1551)&lt;3),"",F1551+G1551-H1551-I1551)</f>
        <v/>
      </c>
      <c r="K1551" s="6">
        <f>IF(COUNTA(A1551:D1551,G1551:I1551)=0,"",IF(COUNTA(A1551:D1551,G1551:I1551)&lt;7,"LENGKAPI",IF(H1551+I1551&gt;N(F1551)+G1551,"ABNORMAL",IF(COUNTIFS($A$2:$A$2001,A1551,$B$2:$B$2001,B1551,$C$2:$C$2001,C1551,$D$2:$D$2001,D1551)&gt;1,"DUPLIKAT","OK"))))</f>
        <v/>
      </c>
    </row>
    <row r="1552">
      <c r="A1552" s="4" t="n"/>
      <c r="B1552" s="5" t="n"/>
      <c r="C1552" s="5" t="n"/>
      <c r="D1552" s="5" t="n"/>
      <c r="E1552" s="6">
        <f>IF(A1552="","","B"&amp;TEXT(COUNT($A$2:A1552),"00000"))</f>
        <v/>
      </c>
      <c r="F1552" s="6">
        <f>IF(OR(C1552="",D1552=""),"",IFERROR(LOOKUP(2,1/(($C$1:C1551=C1552)*($D$1:D1551=D1552)*ISNUMBER($J$1:J1551)),$J$1:J1551),SUMIFS(Master!$G$2:$G$13,Master!$E$2:$E$13,C1552,Master!$F$2:$F$13,D1552)))</f>
        <v/>
      </c>
      <c r="G1552" s="5" t="n"/>
      <c r="H1552" s="5" t="n"/>
      <c r="I1552" s="5" t="n"/>
      <c r="J1552" s="6">
        <f>IF(OR(F1552="",COUNT(G1552:I1552)&lt;3),"",F1552+G1552-H1552-I1552)</f>
        <v/>
      </c>
      <c r="K1552" s="6">
        <f>IF(COUNTA(A1552:D1552,G1552:I1552)=0,"",IF(COUNTA(A1552:D1552,G1552:I1552)&lt;7,"LENGKAPI",IF(H1552+I1552&gt;N(F1552)+G1552,"ABNORMAL",IF(COUNTIFS($A$2:$A$2001,A1552,$B$2:$B$2001,B1552,$C$2:$C$2001,C1552,$D$2:$D$2001,D1552)&gt;1,"DUPLIKAT","OK"))))</f>
        <v/>
      </c>
    </row>
    <row r="1553">
      <c r="A1553" s="4" t="n"/>
      <c r="B1553" s="5" t="n"/>
      <c r="C1553" s="5" t="n"/>
      <c r="D1553" s="5" t="n"/>
      <c r="E1553" s="6">
        <f>IF(A1553="","","B"&amp;TEXT(COUNT($A$2:A1553),"00000"))</f>
        <v/>
      </c>
      <c r="F1553" s="6">
        <f>IF(OR(C1553="",D1553=""),"",IFERROR(LOOKUP(2,1/(($C$1:C1552=C1553)*($D$1:D1552=D1553)*ISNUMBER($J$1:J1552)),$J$1:J1552),SUMIFS(Master!$G$2:$G$13,Master!$E$2:$E$13,C1553,Master!$F$2:$F$13,D1553)))</f>
        <v/>
      </c>
      <c r="G1553" s="5" t="n"/>
      <c r="H1553" s="5" t="n"/>
      <c r="I1553" s="5" t="n"/>
      <c r="J1553" s="6">
        <f>IF(OR(F1553="",COUNT(G1553:I1553)&lt;3),"",F1553+G1553-H1553-I1553)</f>
        <v/>
      </c>
      <c r="K1553" s="6">
        <f>IF(COUNTA(A1553:D1553,G1553:I1553)=0,"",IF(COUNTA(A1553:D1553,G1553:I1553)&lt;7,"LENGKAPI",IF(H1553+I1553&gt;N(F1553)+G1553,"ABNORMAL",IF(COUNTIFS($A$2:$A$2001,A1553,$B$2:$B$2001,B1553,$C$2:$C$2001,C1553,$D$2:$D$2001,D1553)&gt;1,"DUPLIKAT","OK"))))</f>
        <v/>
      </c>
    </row>
    <row r="1554">
      <c r="A1554" s="4" t="n"/>
      <c r="B1554" s="5" t="n"/>
      <c r="C1554" s="5" t="n"/>
      <c r="D1554" s="5" t="n"/>
      <c r="E1554" s="6">
        <f>IF(A1554="","","B"&amp;TEXT(COUNT($A$2:A1554),"00000"))</f>
        <v/>
      </c>
      <c r="F1554" s="6">
        <f>IF(OR(C1554="",D1554=""),"",IFERROR(LOOKUP(2,1/(($C$1:C1553=C1554)*($D$1:D1553=D1554)*ISNUMBER($J$1:J1553)),$J$1:J1553),SUMIFS(Master!$G$2:$G$13,Master!$E$2:$E$13,C1554,Master!$F$2:$F$13,D1554)))</f>
        <v/>
      </c>
      <c r="G1554" s="5" t="n"/>
      <c r="H1554" s="5" t="n"/>
      <c r="I1554" s="5" t="n"/>
      <c r="J1554" s="6">
        <f>IF(OR(F1554="",COUNT(G1554:I1554)&lt;3),"",F1554+G1554-H1554-I1554)</f>
        <v/>
      </c>
      <c r="K1554" s="6">
        <f>IF(COUNTA(A1554:D1554,G1554:I1554)=0,"",IF(COUNTA(A1554:D1554,G1554:I1554)&lt;7,"LENGKAPI",IF(H1554+I1554&gt;N(F1554)+G1554,"ABNORMAL",IF(COUNTIFS($A$2:$A$2001,A1554,$B$2:$B$2001,B1554,$C$2:$C$2001,C1554,$D$2:$D$2001,D1554)&gt;1,"DUPLIKAT","OK"))))</f>
        <v/>
      </c>
    </row>
    <row r="1555">
      <c r="A1555" s="4" t="n"/>
      <c r="B1555" s="5" t="n"/>
      <c r="C1555" s="5" t="n"/>
      <c r="D1555" s="5" t="n"/>
      <c r="E1555" s="6">
        <f>IF(A1555="","","B"&amp;TEXT(COUNT($A$2:A1555),"00000"))</f>
        <v/>
      </c>
      <c r="F1555" s="6">
        <f>IF(OR(C1555="",D1555=""),"",IFERROR(LOOKUP(2,1/(($C$1:C1554=C1555)*($D$1:D1554=D1555)*ISNUMBER($J$1:J1554)),$J$1:J1554),SUMIFS(Master!$G$2:$G$13,Master!$E$2:$E$13,C1555,Master!$F$2:$F$13,D1555)))</f>
        <v/>
      </c>
      <c r="G1555" s="5" t="n"/>
      <c r="H1555" s="5" t="n"/>
      <c r="I1555" s="5" t="n"/>
      <c r="J1555" s="6">
        <f>IF(OR(F1555="",COUNT(G1555:I1555)&lt;3),"",F1555+G1555-H1555-I1555)</f>
        <v/>
      </c>
      <c r="K1555" s="6">
        <f>IF(COUNTA(A1555:D1555,G1555:I1555)=0,"",IF(COUNTA(A1555:D1555,G1555:I1555)&lt;7,"LENGKAPI",IF(H1555+I1555&gt;N(F1555)+G1555,"ABNORMAL",IF(COUNTIFS($A$2:$A$2001,A1555,$B$2:$B$2001,B1555,$C$2:$C$2001,C1555,$D$2:$D$2001,D1555)&gt;1,"DUPLIKAT","OK"))))</f>
        <v/>
      </c>
    </row>
    <row r="1556">
      <c r="A1556" s="4" t="n"/>
      <c r="B1556" s="5" t="n"/>
      <c r="C1556" s="5" t="n"/>
      <c r="D1556" s="5" t="n"/>
      <c r="E1556" s="6">
        <f>IF(A1556="","","B"&amp;TEXT(COUNT($A$2:A1556),"00000"))</f>
        <v/>
      </c>
      <c r="F1556" s="6">
        <f>IF(OR(C1556="",D1556=""),"",IFERROR(LOOKUP(2,1/(($C$1:C1555=C1556)*($D$1:D1555=D1556)*ISNUMBER($J$1:J1555)),$J$1:J1555),SUMIFS(Master!$G$2:$G$13,Master!$E$2:$E$13,C1556,Master!$F$2:$F$13,D1556)))</f>
        <v/>
      </c>
      <c r="G1556" s="5" t="n"/>
      <c r="H1556" s="5" t="n"/>
      <c r="I1556" s="5" t="n"/>
      <c r="J1556" s="6">
        <f>IF(OR(F1556="",COUNT(G1556:I1556)&lt;3),"",F1556+G1556-H1556-I1556)</f>
        <v/>
      </c>
      <c r="K1556" s="6">
        <f>IF(COUNTA(A1556:D1556,G1556:I1556)=0,"",IF(COUNTA(A1556:D1556,G1556:I1556)&lt;7,"LENGKAPI",IF(H1556+I1556&gt;N(F1556)+G1556,"ABNORMAL",IF(COUNTIFS($A$2:$A$2001,A1556,$B$2:$B$2001,B1556,$C$2:$C$2001,C1556,$D$2:$D$2001,D1556)&gt;1,"DUPLIKAT","OK"))))</f>
        <v/>
      </c>
    </row>
    <row r="1557">
      <c r="A1557" s="4" t="n"/>
      <c r="B1557" s="5" t="n"/>
      <c r="C1557" s="5" t="n"/>
      <c r="D1557" s="5" t="n"/>
      <c r="E1557" s="6">
        <f>IF(A1557="","","B"&amp;TEXT(COUNT($A$2:A1557),"00000"))</f>
        <v/>
      </c>
      <c r="F1557" s="6">
        <f>IF(OR(C1557="",D1557=""),"",IFERROR(LOOKUP(2,1/(($C$1:C1556=C1557)*($D$1:D1556=D1557)*ISNUMBER($J$1:J1556)),$J$1:J1556),SUMIFS(Master!$G$2:$G$13,Master!$E$2:$E$13,C1557,Master!$F$2:$F$13,D1557)))</f>
        <v/>
      </c>
      <c r="G1557" s="5" t="n"/>
      <c r="H1557" s="5" t="n"/>
      <c r="I1557" s="5" t="n"/>
      <c r="J1557" s="6">
        <f>IF(OR(F1557="",COUNT(G1557:I1557)&lt;3),"",F1557+G1557-H1557-I1557)</f>
        <v/>
      </c>
      <c r="K1557" s="6">
        <f>IF(COUNTA(A1557:D1557,G1557:I1557)=0,"",IF(COUNTA(A1557:D1557,G1557:I1557)&lt;7,"LENGKAPI",IF(H1557+I1557&gt;N(F1557)+G1557,"ABNORMAL",IF(COUNTIFS($A$2:$A$2001,A1557,$B$2:$B$2001,B1557,$C$2:$C$2001,C1557,$D$2:$D$2001,D1557)&gt;1,"DUPLIKAT","OK"))))</f>
        <v/>
      </c>
    </row>
    <row r="1558">
      <c r="A1558" s="4" t="n"/>
      <c r="B1558" s="5" t="n"/>
      <c r="C1558" s="5" t="n"/>
      <c r="D1558" s="5" t="n"/>
      <c r="E1558" s="6">
        <f>IF(A1558="","","B"&amp;TEXT(COUNT($A$2:A1558),"00000"))</f>
        <v/>
      </c>
      <c r="F1558" s="6">
        <f>IF(OR(C1558="",D1558=""),"",IFERROR(LOOKUP(2,1/(($C$1:C1557=C1558)*($D$1:D1557=D1558)*ISNUMBER($J$1:J1557)),$J$1:J1557),SUMIFS(Master!$G$2:$G$13,Master!$E$2:$E$13,C1558,Master!$F$2:$F$13,D1558)))</f>
        <v/>
      </c>
      <c r="G1558" s="5" t="n"/>
      <c r="H1558" s="5" t="n"/>
      <c r="I1558" s="5" t="n"/>
      <c r="J1558" s="6">
        <f>IF(OR(F1558="",COUNT(G1558:I1558)&lt;3),"",F1558+G1558-H1558-I1558)</f>
        <v/>
      </c>
      <c r="K1558" s="6">
        <f>IF(COUNTA(A1558:D1558,G1558:I1558)=0,"",IF(COUNTA(A1558:D1558,G1558:I1558)&lt;7,"LENGKAPI",IF(H1558+I1558&gt;N(F1558)+G1558,"ABNORMAL",IF(COUNTIFS($A$2:$A$2001,A1558,$B$2:$B$2001,B1558,$C$2:$C$2001,C1558,$D$2:$D$2001,D1558)&gt;1,"DUPLIKAT","OK"))))</f>
        <v/>
      </c>
    </row>
    <row r="1559">
      <c r="A1559" s="4" t="n"/>
      <c r="B1559" s="5" t="n"/>
      <c r="C1559" s="5" t="n"/>
      <c r="D1559" s="5" t="n"/>
      <c r="E1559" s="6">
        <f>IF(A1559="","","B"&amp;TEXT(COUNT($A$2:A1559),"00000"))</f>
        <v/>
      </c>
      <c r="F1559" s="6">
        <f>IF(OR(C1559="",D1559=""),"",IFERROR(LOOKUP(2,1/(($C$1:C1558=C1559)*($D$1:D1558=D1559)*ISNUMBER($J$1:J1558)),$J$1:J1558),SUMIFS(Master!$G$2:$G$13,Master!$E$2:$E$13,C1559,Master!$F$2:$F$13,D1559)))</f>
        <v/>
      </c>
      <c r="G1559" s="5" t="n"/>
      <c r="H1559" s="5" t="n"/>
      <c r="I1559" s="5" t="n"/>
      <c r="J1559" s="6">
        <f>IF(OR(F1559="",COUNT(G1559:I1559)&lt;3),"",F1559+G1559-H1559-I1559)</f>
        <v/>
      </c>
      <c r="K1559" s="6">
        <f>IF(COUNTA(A1559:D1559,G1559:I1559)=0,"",IF(COUNTA(A1559:D1559,G1559:I1559)&lt;7,"LENGKAPI",IF(H1559+I1559&gt;N(F1559)+G1559,"ABNORMAL",IF(COUNTIFS($A$2:$A$2001,A1559,$B$2:$B$2001,B1559,$C$2:$C$2001,C1559,$D$2:$D$2001,D1559)&gt;1,"DUPLIKAT","OK"))))</f>
        <v/>
      </c>
    </row>
    <row r="1560">
      <c r="A1560" s="4" t="n"/>
      <c r="B1560" s="5" t="n"/>
      <c r="C1560" s="5" t="n"/>
      <c r="D1560" s="5" t="n"/>
      <c r="E1560" s="6">
        <f>IF(A1560="","","B"&amp;TEXT(COUNT($A$2:A1560),"00000"))</f>
        <v/>
      </c>
      <c r="F1560" s="6">
        <f>IF(OR(C1560="",D1560=""),"",IFERROR(LOOKUP(2,1/(($C$1:C1559=C1560)*($D$1:D1559=D1560)*ISNUMBER($J$1:J1559)),$J$1:J1559),SUMIFS(Master!$G$2:$G$13,Master!$E$2:$E$13,C1560,Master!$F$2:$F$13,D1560)))</f>
        <v/>
      </c>
      <c r="G1560" s="5" t="n"/>
      <c r="H1560" s="5" t="n"/>
      <c r="I1560" s="5" t="n"/>
      <c r="J1560" s="6">
        <f>IF(OR(F1560="",COUNT(G1560:I1560)&lt;3),"",F1560+G1560-H1560-I1560)</f>
        <v/>
      </c>
      <c r="K1560" s="6">
        <f>IF(COUNTA(A1560:D1560,G1560:I1560)=0,"",IF(COUNTA(A1560:D1560,G1560:I1560)&lt;7,"LENGKAPI",IF(H1560+I1560&gt;N(F1560)+G1560,"ABNORMAL",IF(COUNTIFS($A$2:$A$2001,A1560,$B$2:$B$2001,B1560,$C$2:$C$2001,C1560,$D$2:$D$2001,D1560)&gt;1,"DUPLIKAT","OK"))))</f>
        <v/>
      </c>
    </row>
    <row r="1561">
      <c r="A1561" s="4" t="n"/>
      <c r="B1561" s="5" t="n"/>
      <c r="C1561" s="5" t="n"/>
      <c r="D1561" s="5" t="n"/>
      <c r="E1561" s="6">
        <f>IF(A1561="","","B"&amp;TEXT(COUNT($A$2:A1561),"00000"))</f>
        <v/>
      </c>
      <c r="F1561" s="6">
        <f>IF(OR(C1561="",D1561=""),"",IFERROR(LOOKUP(2,1/(($C$1:C1560=C1561)*($D$1:D1560=D1561)*ISNUMBER($J$1:J1560)),$J$1:J1560),SUMIFS(Master!$G$2:$G$13,Master!$E$2:$E$13,C1561,Master!$F$2:$F$13,D1561)))</f>
        <v/>
      </c>
      <c r="G1561" s="5" t="n"/>
      <c r="H1561" s="5" t="n"/>
      <c r="I1561" s="5" t="n"/>
      <c r="J1561" s="6">
        <f>IF(OR(F1561="",COUNT(G1561:I1561)&lt;3),"",F1561+G1561-H1561-I1561)</f>
        <v/>
      </c>
      <c r="K1561" s="6">
        <f>IF(COUNTA(A1561:D1561,G1561:I1561)=0,"",IF(COUNTA(A1561:D1561,G1561:I1561)&lt;7,"LENGKAPI",IF(H1561+I1561&gt;N(F1561)+G1561,"ABNORMAL",IF(COUNTIFS($A$2:$A$2001,A1561,$B$2:$B$2001,B1561,$C$2:$C$2001,C1561,$D$2:$D$2001,D1561)&gt;1,"DUPLIKAT","OK"))))</f>
        <v/>
      </c>
    </row>
    <row r="1562">
      <c r="A1562" s="4" t="n"/>
      <c r="B1562" s="5" t="n"/>
      <c r="C1562" s="5" t="n"/>
      <c r="D1562" s="5" t="n"/>
      <c r="E1562" s="6">
        <f>IF(A1562="","","B"&amp;TEXT(COUNT($A$2:A1562),"00000"))</f>
        <v/>
      </c>
      <c r="F1562" s="6">
        <f>IF(OR(C1562="",D1562=""),"",IFERROR(LOOKUP(2,1/(($C$1:C1561=C1562)*($D$1:D1561=D1562)*ISNUMBER($J$1:J1561)),$J$1:J1561),SUMIFS(Master!$G$2:$G$13,Master!$E$2:$E$13,C1562,Master!$F$2:$F$13,D1562)))</f>
        <v/>
      </c>
      <c r="G1562" s="5" t="n"/>
      <c r="H1562" s="5" t="n"/>
      <c r="I1562" s="5" t="n"/>
      <c r="J1562" s="6">
        <f>IF(OR(F1562="",COUNT(G1562:I1562)&lt;3),"",F1562+G1562-H1562-I1562)</f>
        <v/>
      </c>
      <c r="K1562" s="6">
        <f>IF(COUNTA(A1562:D1562,G1562:I1562)=0,"",IF(COUNTA(A1562:D1562,G1562:I1562)&lt;7,"LENGKAPI",IF(H1562+I1562&gt;N(F1562)+G1562,"ABNORMAL",IF(COUNTIFS($A$2:$A$2001,A1562,$B$2:$B$2001,B1562,$C$2:$C$2001,C1562,$D$2:$D$2001,D1562)&gt;1,"DUPLIKAT","OK"))))</f>
        <v/>
      </c>
    </row>
    <row r="1563">
      <c r="A1563" s="4" t="n"/>
      <c r="B1563" s="5" t="n"/>
      <c r="C1563" s="5" t="n"/>
      <c r="D1563" s="5" t="n"/>
      <c r="E1563" s="6">
        <f>IF(A1563="","","B"&amp;TEXT(COUNT($A$2:A1563),"00000"))</f>
        <v/>
      </c>
      <c r="F1563" s="6">
        <f>IF(OR(C1563="",D1563=""),"",IFERROR(LOOKUP(2,1/(($C$1:C1562=C1563)*($D$1:D1562=D1563)*ISNUMBER($J$1:J1562)),$J$1:J1562),SUMIFS(Master!$G$2:$G$13,Master!$E$2:$E$13,C1563,Master!$F$2:$F$13,D1563)))</f>
        <v/>
      </c>
      <c r="G1563" s="5" t="n"/>
      <c r="H1563" s="5" t="n"/>
      <c r="I1563" s="5" t="n"/>
      <c r="J1563" s="6">
        <f>IF(OR(F1563="",COUNT(G1563:I1563)&lt;3),"",F1563+G1563-H1563-I1563)</f>
        <v/>
      </c>
      <c r="K1563" s="6">
        <f>IF(COUNTA(A1563:D1563,G1563:I1563)=0,"",IF(COUNTA(A1563:D1563,G1563:I1563)&lt;7,"LENGKAPI",IF(H1563+I1563&gt;N(F1563)+G1563,"ABNORMAL",IF(COUNTIFS($A$2:$A$2001,A1563,$B$2:$B$2001,B1563,$C$2:$C$2001,C1563,$D$2:$D$2001,D1563)&gt;1,"DUPLIKAT","OK"))))</f>
        <v/>
      </c>
    </row>
    <row r="1564">
      <c r="A1564" s="4" t="n"/>
      <c r="B1564" s="5" t="n"/>
      <c r="C1564" s="5" t="n"/>
      <c r="D1564" s="5" t="n"/>
      <c r="E1564" s="6">
        <f>IF(A1564="","","B"&amp;TEXT(COUNT($A$2:A1564),"00000"))</f>
        <v/>
      </c>
      <c r="F1564" s="6">
        <f>IF(OR(C1564="",D1564=""),"",IFERROR(LOOKUP(2,1/(($C$1:C1563=C1564)*($D$1:D1563=D1564)*ISNUMBER($J$1:J1563)),$J$1:J1563),SUMIFS(Master!$G$2:$G$13,Master!$E$2:$E$13,C1564,Master!$F$2:$F$13,D1564)))</f>
        <v/>
      </c>
      <c r="G1564" s="5" t="n"/>
      <c r="H1564" s="5" t="n"/>
      <c r="I1564" s="5" t="n"/>
      <c r="J1564" s="6">
        <f>IF(OR(F1564="",COUNT(G1564:I1564)&lt;3),"",F1564+G1564-H1564-I1564)</f>
        <v/>
      </c>
      <c r="K1564" s="6">
        <f>IF(COUNTA(A1564:D1564,G1564:I1564)=0,"",IF(COUNTA(A1564:D1564,G1564:I1564)&lt;7,"LENGKAPI",IF(H1564+I1564&gt;N(F1564)+G1564,"ABNORMAL",IF(COUNTIFS($A$2:$A$2001,A1564,$B$2:$B$2001,B1564,$C$2:$C$2001,C1564,$D$2:$D$2001,D1564)&gt;1,"DUPLIKAT","OK"))))</f>
        <v/>
      </c>
    </row>
    <row r="1565">
      <c r="A1565" s="4" t="n"/>
      <c r="B1565" s="5" t="n"/>
      <c r="C1565" s="5" t="n"/>
      <c r="D1565" s="5" t="n"/>
      <c r="E1565" s="6">
        <f>IF(A1565="","","B"&amp;TEXT(COUNT($A$2:A1565),"00000"))</f>
        <v/>
      </c>
      <c r="F1565" s="6">
        <f>IF(OR(C1565="",D1565=""),"",IFERROR(LOOKUP(2,1/(($C$1:C1564=C1565)*($D$1:D1564=D1565)*ISNUMBER($J$1:J1564)),$J$1:J1564),SUMIFS(Master!$G$2:$G$13,Master!$E$2:$E$13,C1565,Master!$F$2:$F$13,D1565)))</f>
        <v/>
      </c>
      <c r="G1565" s="5" t="n"/>
      <c r="H1565" s="5" t="n"/>
      <c r="I1565" s="5" t="n"/>
      <c r="J1565" s="6">
        <f>IF(OR(F1565="",COUNT(G1565:I1565)&lt;3),"",F1565+G1565-H1565-I1565)</f>
        <v/>
      </c>
      <c r="K1565" s="6">
        <f>IF(COUNTA(A1565:D1565,G1565:I1565)=0,"",IF(COUNTA(A1565:D1565,G1565:I1565)&lt;7,"LENGKAPI",IF(H1565+I1565&gt;N(F1565)+G1565,"ABNORMAL",IF(COUNTIFS($A$2:$A$2001,A1565,$B$2:$B$2001,B1565,$C$2:$C$2001,C1565,$D$2:$D$2001,D1565)&gt;1,"DUPLIKAT","OK"))))</f>
        <v/>
      </c>
    </row>
    <row r="1566">
      <c r="A1566" s="4" t="n"/>
      <c r="B1566" s="5" t="n"/>
      <c r="C1566" s="5" t="n"/>
      <c r="D1566" s="5" t="n"/>
      <c r="E1566" s="6">
        <f>IF(A1566="","","B"&amp;TEXT(COUNT($A$2:A1566),"00000"))</f>
        <v/>
      </c>
      <c r="F1566" s="6">
        <f>IF(OR(C1566="",D1566=""),"",IFERROR(LOOKUP(2,1/(($C$1:C1565=C1566)*($D$1:D1565=D1566)*ISNUMBER($J$1:J1565)),$J$1:J1565),SUMIFS(Master!$G$2:$G$13,Master!$E$2:$E$13,C1566,Master!$F$2:$F$13,D1566)))</f>
        <v/>
      </c>
      <c r="G1566" s="5" t="n"/>
      <c r="H1566" s="5" t="n"/>
      <c r="I1566" s="5" t="n"/>
      <c r="J1566" s="6">
        <f>IF(OR(F1566="",COUNT(G1566:I1566)&lt;3),"",F1566+G1566-H1566-I1566)</f>
        <v/>
      </c>
      <c r="K1566" s="6">
        <f>IF(COUNTA(A1566:D1566,G1566:I1566)=0,"",IF(COUNTA(A1566:D1566,G1566:I1566)&lt;7,"LENGKAPI",IF(H1566+I1566&gt;N(F1566)+G1566,"ABNORMAL",IF(COUNTIFS($A$2:$A$2001,A1566,$B$2:$B$2001,B1566,$C$2:$C$2001,C1566,$D$2:$D$2001,D1566)&gt;1,"DUPLIKAT","OK"))))</f>
        <v/>
      </c>
    </row>
    <row r="1567">
      <c r="A1567" s="4" t="n"/>
      <c r="B1567" s="5" t="n"/>
      <c r="C1567" s="5" t="n"/>
      <c r="D1567" s="5" t="n"/>
      <c r="E1567" s="6">
        <f>IF(A1567="","","B"&amp;TEXT(COUNT($A$2:A1567),"00000"))</f>
        <v/>
      </c>
      <c r="F1567" s="6">
        <f>IF(OR(C1567="",D1567=""),"",IFERROR(LOOKUP(2,1/(($C$1:C1566=C1567)*($D$1:D1566=D1567)*ISNUMBER($J$1:J1566)),$J$1:J1566),SUMIFS(Master!$G$2:$G$13,Master!$E$2:$E$13,C1567,Master!$F$2:$F$13,D1567)))</f>
        <v/>
      </c>
      <c r="G1567" s="5" t="n"/>
      <c r="H1567" s="5" t="n"/>
      <c r="I1567" s="5" t="n"/>
      <c r="J1567" s="6">
        <f>IF(OR(F1567="",COUNT(G1567:I1567)&lt;3),"",F1567+G1567-H1567-I1567)</f>
        <v/>
      </c>
      <c r="K1567" s="6">
        <f>IF(COUNTA(A1567:D1567,G1567:I1567)=0,"",IF(COUNTA(A1567:D1567,G1567:I1567)&lt;7,"LENGKAPI",IF(H1567+I1567&gt;N(F1567)+G1567,"ABNORMAL",IF(COUNTIFS($A$2:$A$2001,A1567,$B$2:$B$2001,B1567,$C$2:$C$2001,C1567,$D$2:$D$2001,D1567)&gt;1,"DUPLIKAT","OK"))))</f>
        <v/>
      </c>
    </row>
    <row r="1568">
      <c r="A1568" s="4" t="n"/>
      <c r="B1568" s="5" t="n"/>
      <c r="C1568" s="5" t="n"/>
      <c r="D1568" s="5" t="n"/>
      <c r="E1568" s="6">
        <f>IF(A1568="","","B"&amp;TEXT(COUNT($A$2:A1568),"00000"))</f>
        <v/>
      </c>
      <c r="F1568" s="6">
        <f>IF(OR(C1568="",D1568=""),"",IFERROR(LOOKUP(2,1/(($C$1:C1567=C1568)*($D$1:D1567=D1568)*ISNUMBER($J$1:J1567)),$J$1:J1567),SUMIFS(Master!$G$2:$G$13,Master!$E$2:$E$13,C1568,Master!$F$2:$F$13,D1568)))</f>
        <v/>
      </c>
      <c r="G1568" s="5" t="n"/>
      <c r="H1568" s="5" t="n"/>
      <c r="I1568" s="5" t="n"/>
      <c r="J1568" s="6">
        <f>IF(OR(F1568="",COUNT(G1568:I1568)&lt;3),"",F1568+G1568-H1568-I1568)</f>
        <v/>
      </c>
      <c r="K1568" s="6">
        <f>IF(COUNTA(A1568:D1568,G1568:I1568)=0,"",IF(COUNTA(A1568:D1568,G1568:I1568)&lt;7,"LENGKAPI",IF(H1568+I1568&gt;N(F1568)+G1568,"ABNORMAL",IF(COUNTIFS($A$2:$A$2001,A1568,$B$2:$B$2001,B1568,$C$2:$C$2001,C1568,$D$2:$D$2001,D1568)&gt;1,"DUPLIKAT","OK"))))</f>
        <v/>
      </c>
    </row>
    <row r="1569">
      <c r="A1569" s="4" t="n"/>
      <c r="B1569" s="5" t="n"/>
      <c r="C1569" s="5" t="n"/>
      <c r="D1569" s="5" t="n"/>
      <c r="E1569" s="6">
        <f>IF(A1569="","","B"&amp;TEXT(COUNT($A$2:A1569),"00000"))</f>
        <v/>
      </c>
      <c r="F1569" s="6">
        <f>IF(OR(C1569="",D1569=""),"",IFERROR(LOOKUP(2,1/(($C$1:C1568=C1569)*($D$1:D1568=D1569)*ISNUMBER($J$1:J1568)),$J$1:J1568),SUMIFS(Master!$G$2:$G$13,Master!$E$2:$E$13,C1569,Master!$F$2:$F$13,D1569)))</f>
        <v/>
      </c>
      <c r="G1569" s="5" t="n"/>
      <c r="H1569" s="5" t="n"/>
      <c r="I1569" s="5" t="n"/>
      <c r="J1569" s="6">
        <f>IF(OR(F1569="",COUNT(G1569:I1569)&lt;3),"",F1569+G1569-H1569-I1569)</f>
        <v/>
      </c>
      <c r="K1569" s="6">
        <f>IF(COUNTA(A1569:D1569,G1569:I1569)=0,"",IF(COUNTA(A1569:D1569,G1569:I1569)&lt;7,"LENGKAPI",IF(H1569+I1569&gt;N(F1569)+G1569,"ABNORMAL",IF(COUNTIFS($A$2:$A$2001,A1569,$B$2:$B$2001,B1569,$C$2:$C$2001,C1569,$D$2:$D$2001,D1569)&gt;1,"DUPLIKAT","OK"))))</f>
        <v/>
      </c>
    </row>
    <row r="1570">
      <c r="A1570" s="4" t="n"/>
      <c r="B1570" s="5" t="n"/>
      <c r="C1570" s="5" t="n"/>
      <c r="D1570" s="5" t="n"/>
      <c r="E1570" s="6">
        <f>IF(A1570="","","B"&amp;TEXT(COUNT($A$2:A1570),"00000"))</f>
        <v/>
      </c>
      <c r="F1570" s="6">
        <f>IF(OR(C1570="",D1570=""),"",IFERROR(LOOKUP(2,1/(($C$1:C1569=C1570)*($D$1:D1569=D1570)*ISNUMBER($J$1:J1569)),$J$1:J1569),SUMIFS(Master!$G$2:$G$13,Master!$E$2:$E$13,C1570,Master!$F$2:$F$13,D1570)))</f>
        <v/>
      </c>
      <c r="G1570" s="5" t="n"/>
      <c r="H1570" s="5" t="n"/>
      <c r="I1570" s="5" t="n"/>
      <c r="J1570" s="6">
        <f>IF(OR(F1570="",COUNT(G1570:I1570)&lt;3),"",F1570+G1570-H1570-I1570)</f>
        <v/>
      </c>
      <c r="K1570" s="6">
        <f>IF(COUNTA(A1570:D1570,G1570:I1570)=0,"",IF(COUNTA(A1570:D1570,G1570:I1570)&lt;7,"LENGKAPI",IF(H1570+I1570&gt;N(F1570)+G1570,"ABNORMAL",IF(COUNTIFS($A$2:$A$2001,A1570,$B$2:$B$2001,B1570,$C$2:$C$2001,C1570,$D$2:$D$2001,D1570)&gt;1,"DUPLIKAT","OK"))))</f>
        <v/>
      </c>
    </row>
    <row r="1571">
      <c r="A1571" s="4" t="n"/>
      <c r="B1571" s="5" t="n"/>
      <c r="C1571" s="5" t="n"/>
      <c r="D1571" s="5" t="n"/>
      <c r="E1571" s="6">
        <f>IF(A1571="","","B"&amp;TEXT(COUNT($A$2:A1571),"00000"))</f>
        <v/>
      </c>
      <c r="F1571" s="6">
        <f>IF(OR(C1571="",D1571=""),"",IFERROR(LOOKUP(2,1/(($C$1:C1570=C1571)*($D$1:D1570=D1571)*ISNUMBER($J$1:J1570)),$J$1:J1570),SUMIFS(Master!$G$2:$G$13,Master!$E$2:$E$13,C1571,Master!$F$2:$F$13,D1571)))</f>
        <v/>
      </c>
      <c r="G1571" s="5" t="n"/>
      <c r="H1571" s="5" t="n"/>
      <c r="I1571" s="5" t="n"/>
      <c r="J1571" s="6">
        <f>IF(OR(F1571="",COUNT(G1571:I1571)&lt;3),"",F1571+G1571-H1571-I1571)</f>
        <v/>
      </c>
      <c r="K1571" s="6">
        <f>IF(COUNTA(A1571:D1571,G1571:I1571)=0,"",IF(COUNTA(A1571:D1571,G1571:I1571)&lt;7,"LENGKAPI",IF(H1571+I1571&gt;N(F1571)+G1571,"ABNORMAL",IF(COUNTIFS($A$2:$A$2001,A1571,$B$2:$B$2001,B1571,$C$2:$C$2001,C1571,$D$2:$D$2001,D1571)&gt;1,"DUPLIKAT","OK"))))</f>
        <v/>
      </c>
    </row>
    <row r="1572">
      <c r="A1572" s="4" t="n"/>
      <c r="B1572" s="5" t="n"/>
      <c r="C1572" s="5" t="n"/>
      <c r="D1572" s="5" t="n"/>
      <c r="E1572" s="6">
        <f>IF(A1572="","","B"&amp;TEXT(COUNT($A$2:A1572),"00000"))</f>
        <v/>
      </c>
      <c r="F1572" s="6">
        <f>IF(OR(C1572="",D1572=""),"",IFERROR(LOOKUP(2,1/(($C$1:C1571=C1572)*($D$1:D1571=D1572)*ISNUMBER($J$1:J1571)),$J$1:J1571),SUMIFS(Master!$G$2:$G$13,Master!$E$2:$E$13,C1572,Master!$F$2:$F$13,D1572)))</f>
        <v/>
      </c>
      <c r="G1572" s="5" t="n"/>
      <c r="H1572" s="5" t="n"/>
      <c r="I1572" s="5" t="n"/>
      <c r="J1572" s="6">
        <f>IF(OR(F1572="",COUNT(G1572:I1572)&lt;3),"",F1572+G1572-H1572-I1572)</f>
        <v/>
      </c>
      <c r="K1572" s="6">
        <f>IF(COUNTA(A1572:D1572,G1572:I1572)=0,"",IF(COUNTA(A1572:D1572,G1572:I1572)&lt;7,"LENGKAPI",IF(H1572+I1572&gt;N(F1572)+G1572,"ABNORMAL",IF(COUNTIFS($A$2:$A$2001,A1572,$B$2:$B$2001,B1572,$C$2:$C$2001,C1572,$D$2:$D$2001,D1572)&gt;1,"DUPLIKAT","OK"))))</f>
        <v/>
      </c>
    </row>
    <row r="1573">
      <c r="A1573" s="4" t="n"/>
      <c r="B1573" s="5" t="n"/>
      <c r="C1573" s="5" t="n"/>
      <c r="D1573" s="5" t="n"/>
      <c r="E1573" s="6">
        <f>IF(A1573="","","B"&amp;TEXT(COUNT($A$2:A1573),"00000"))</f>
        <v/>
      </c>
      <c r="F1573" s="6">
        <f>IF(OR(C1573="",D1573=""),"",IFERROR(LOOKUP(2,1/(($C$1:C1572=C1573)*($D$1:D1572=D1573)*ISNUMBER($J$1:J1572)),$J$1:J1572),SUMIFS(Master!$G$2:$G$13,Master!$E$2:$E$13,C1573,Master!$F$2:$F$13,D1573)))</f>
        <v/>
      </c>
      <c r="G1573" s="5" t="n"/>
      <c r="H1573" s="5" t="n"/>
      <c r="I1573" s="5" t="n"/>
      <c r="J1573" s="6">
        <f>IF(OR(F1573="",COUNT(G1573:I1573)&lt;3),"",F1573+G1573-H1573-I1573)</f>
        <v/>
      </c>
      <c r="K1573" s="6">
        <f>IF(COUNTA(A1573:D1573,G1573:I1573)=0,"",IF(COUNTA(A1573:D1573,G1573:I1573)&lt;7,"LENGKAPI",IF(H1573+I1573&gt;N(F1573)+G1573,"ABNORMAL",IF(COUNTIFS($A$2:$A$2001,A1573,$B$2:$B$2001,B1573,$C$2:$C$2001,C1573,$D$2:$D$2001,D1573)&gt;1,"DUPLIKAT","OK"))))</f>
        <v/>
      </c>
    </row>
    <row r="1574">
      <c r="A1574" s="4" t="n"/>
      <c r="B1574" s="5" t="n"/>
      <c r="C1574" s="5" t="n"/>
      <c r="D1574" s="5" t="n"/>
      <c r="E1574" s="6">
        <f>IF(A1574="","","B"&amp;TEXT(COUNT($A$2:A1574),"00000"))</f>
        <v/>
      </c>
      <c r="F1574" s="6">
        <f>IF(OR(C1574="",D1574=""),"",IFERROR(LOOKUP(2,1/(($C$1:C1573=C1574)*($D$1:D1573=D1574)*ISNUMBER($J$1:J1573)),$J$1:J1573),SUMIFS(Master!$G$2:$G$13,Master!$E$2:$E$13,C1574,Master!$F$2:$F$13,D1574)))</f>
        <v/>
      </c>
      <c r="G1574" s="5" t="n"/>
      <c r="H1574" s="5" t="n"/>
      <c r="I1574" s="5" t="n"/>
      <c r="J1574" s="6">
        <f>IF(OR(F1574="",COUNT(G1574:I1574)&lt;3),"",F1574+G1574-H1574-I1574)</f>
        <v/>
      </c>
      <c r="K1574" s="6">
        <f>IF(COUNTA(A1574:D1574,G1574:I1574)=0,"",IF(COUNTA(A1574:D1574,G1574:I1574)&lt;7,"LENGKAPI",IF(H1574+I1574&gt;N(F1574)+G1574,"ABNORMAL",IF(COUNTIFS($A$2:$A$2001,A1574,$B$2:$B$2001,B1574,$C$2:$C$2001,C1574,$D$2:$D$2001,D1574)&gt;1,"DUPLIKAT","OK"))))</f>
        <v/>
      </c>
    </row>
    <row r="1575">
      <c r="A1575" s="4" t="n"/>
      <c r="B1575" s="5" t="n"/>
      <c r="C1575" s="5" t="n"/>
      <c r="D1575" s="5" t="n"/>
      <c r="E1575" s="6">
        <f>IF(A1575="","","B"&amp;TEXT(COUNT($A$2:A1575),"00000"))</f>
        <v/>
      </c>
      <c r="F1575" s="6">
        <f>IF(OR(C1575="",D1575=""),"",IFERROR(LOOKUP(2,1/(($C$1:C1574=C1575)*($D$1:D1574=D1575)*ISNUMBER($J$1:J1574)),$J$1:J1574),SUMIFS(Master!$G$2:$G$13,Master!$E$2:$E$13,C1575,Master!$F$2:$F$13,D1575)))</f>
        <v/>
      </c>
      <c r="G1575" s="5" t="n"/>
      <c r="H1575" s="5" t="n"/>
      <c r="I1575" s="5" t="n"/>
      <c r="J1575" s="6">
        <f>IF(OR(F1575="",COUNT(G1575:I1575)&lt;3),"",F1575+G1575-H1575-I1575)</f>
        <v/>
      </c>
      <c r="K1575" s="6">
        <f>IF(COUNTA(A1575:D1575,G1575:I1575)=0,"",IF(COUNTA(A1575:D1575,G1575:I1575)&lt;7,"LENGKAPI",IF(H1575+I1575&gt;N(F1575)+G1575,"ABNORMAL",IF(COUNTIFS($A$2:$A$2001,A1575,$B$2:$B$2001,B1575,$C$2:$C$2001,C1575,$D$2:$D$2001,D1575)&gt;1,"DUPLIKAT","OK"))))</f>
        <v/>
      </c>
    </row>
    <row r="1576">
      <c r="A1576" s="4" t="n"/>
      <c r="B1576" s="5" t="n"/>
      <c r="C1576" s="5" t="n"/>
      <c r="D1576" s="5" t="n"/>
      <c r="E1576" s="6">
        <f>IF(A1576="","","B"&amp;TEXT(COUNT($A$2:A1576),"00000"))</f>
        <v/>
      </c>
      <c r="F1576" s="6">
        <f>IF(OR(C1576="",D1576=""),"",IFERROR(LOOKUP(2,1/(($C$1:C1575=C1576)*($D$1:D1575=D1576)*ISNUMBER($J$1:J1575)),$J$1:J1575),SUMIFS(Master!$G$2:$G$13,Master!$E$2:$E$13,C1576,Master!$F$2:$F$13,D1576)))</f>
        <v/>
      </c>
      <c r="G1576" s="5" t="n"/>
      <c r="H1576" s="5" t="n"/>
      <c r="I1576" s="5" t="n"/>
      <c r="J1576" s="6">
        <f>IF(OR(F1576="",COUNT(G1576:I1576)&lt;3),"",F1576+G1576-H1576-I1576)</f>
        <v/>
      </c>
      <c r="K1576" s="6">
        <f>IF(COUNTA(A1576:D1576,G1576:I1576)=0,"",IF(COUNTA(A1576:D1576,G1576:I1576)&lt;7,"LENGKAPI",IF(H1576+I1576&gt;N(F1576)+G1576,"ABNORMAL",IF(COUNTIFS($A$2:$A$2001,A1576,$B$2:$B$2001,B1576,$C$2:$C$2001,C1576,$D$2:$D$2001,D1576)&gt;1,"DUPLIKAT","OK"))))</f>
        <v/>
      </c>
    </row>
    <row r="1577">
      <c r="A1577" s="4" t="n"/>
      <c r="B1577" s="5" t="n"/>
      <c r="C1577" s="5" t="n"/>
      <c r="D1577" s="5" t="n"/>
      <c r="E1577" s="6">
        <f>IF(A1577="","","B"&amp;TEXT(COUNT($A$2:A1577),"00000"))</f>
        <v/>
      </c>
      <c r="F1577" s="6">
        <f>IF(OR(C1577="",D1577=""),"",IFERROR(LOOKUP(2,1/(($C$1:C1576=C1577)*($D$1:D1576=D1577)*ISNUMBER($J$1:J1576)),$J$1:J1576),SUMIFS(Master!$G$2:$G$13,Master!$E$2:$E$13,C1577,Master!$F$2:$F$13,D1577)))</f>
        <v/>
      </c>
      <c r="G1577" s="5" t="n"/>
      <c r="H1577" s="5" t="n"/>
      <c r="I1577" s="5" t="n"/>
      <c r="J1577" s="6">
        <f>IF(OR(F1577="",COUNT(G1577:I1577)&lt;3),"",F1577+G1577-H1577-I1577)</f>
        <v/>
      </c>
      <c r="K1577" s="6">
        <f>IF(COUNTA(A1577:D1577,G1577:I1577)=0,"",IF(COUNTA(A1577:D1577,G1577:I1577)&lt;7,"LENGKAPI",IF(H1577+I1577&gt;N(F1577)+G1577,"ABNORMAL",IF(COUNTIFS($A$2:$A$2001,A1577,$B$2:$B$2001,B1577,$C$2:$C$2001,C1577,$D$2:$D$2001,D1577)&gt;1,"DUPLIKAT","OK"))))</f>
        <v/>
      </c>
    </row>
    <row r="1578">
      <c r="A1578" s="4" t="n"/>
      <c r="B1578" s="5" t="n"/>
      <c r="C1578" s="5" t="n"/>
      <c r="D1578" s="5" t="n"/>
      <c r="E1578" s="6">
        <f>IF(A1578="","","B"&amp;TEXT(COUNT($A$2:A1578),"00000"))</f>
        <v/>
      </c>
      <c r="F1578" s="6">
        <f>IF(OR(C1578="",D1578=""),"",IFERROR(LOOKUP(2,1/(($C$1:C1577=C1578)*($D$1:D1577=D1578)*ISNUMBER($J$1:J1577)),$J$1:J1577),SUMIFS(Master!$G$2:$G$13,Master!$E$2:$E$13,C1578,Master!$F$2:$F$13,D1578)))</f>
        <v/>
      </c>
      <c r="G1578" s="5" t="n"/>
      <c r="H1578" s="5" t="n"/>
      <c r="I1578" s="5" t="n"/>
      <c r="J1578" s="6">
        <f>IF(OR(F1578="",COUNT(G1578:I1578)&lt;3),"",F1578+G1578-H1578-I1578)</f>
        <v/>
      </c>
      <c r="K1578" s="6">
        <f>IF(COUNTA(A1578:D1578,G1578:I1578)=0,"",IF(COUNTA(A1578:D1578,G1578:I1578)&lt;7,"LENGKAPI",IF(H1578+I1578&gt;N(F1578)+G1578,"ABNORMAL",IF(COUNTIFS($A$2:$A$2001,A1578,$B$2:$B$2001,B1578,$C$2:$C$2001,C1578,$D$2:$D$2001,D1578)&gt;1,"DUPLIKAT","OK"))))</f>
        <v/>
      </c>
    </row>
    <row r="1579">
      <c r="A1579" s="4" t="n"/>
      <c r="B1579" s="5" t="n"/>
      <c r="C1579" s="5" t="n"/>
      <c r="D1579" s="5" t="n"/>
      <c r="E1579" s="6">
        <f>IF(A1579="","","B"&amp;TEXT(COUNT($A$2:A1579),"00000"))</f>
        <v/>
      </c>
      <c r="F1579" s="6">
        <f>IF(OR(C1579="",D1579=""),"",IFERROR(LOOKUP(2,1/(($C$1:C1578=C1579)*($D$1:D1578=D1579)*ISNUMBER($J$1:J1578)),$J$1:J1578),SUMIFS(Master!$G$2:$G$13,Master!$E$2:$E$13,C1579,Master!$F$2:$F$13,D1579)))</f>
        <v/>
      </c>
      <c r="G1579" s="5" t="n"/>
      <c r="H1579" s="5" t="n"/>
      <c r="I1579" s="5" t="n"/>
      <c r="J1579" s="6">
        <f>IF(OR(F1579="",COUNT(G1579:I1579)&lt;3),"",F1579+G1579-H1579-I1579)</f>
        <v/>
      </c>
      <c r="K1579" s="6">
        <f>IF(COUNTA(A1579:D1579,G1579:I1579)=0,"",IF(COUNTA(A1579:D1579,G1579:I1579)&lt;7,"LENGKAPI",IF(H1579+I1579&gt;N(F1579)+G1579,"ABNORMAL",IF(COUNTIFS($A$2:$A$2001,A1579,$B$2:$B$2001,B1579,$C$2:$C$2001,C1579,$D$2:$D$2001,D1579)&gt;1,"DUPLIKAT","OK"))))</f>
        <v/>
      </c>
    </row>
    <row r="1580">
      <c r="A1580" s="4" t="n"/>
      <c r="B1580" s="5" t="n"/>
      <c r="C1580" s="5" t="n"/>
      <c r="D1580" s="5" t="n"/>
      <c r="E1580" s="6">
        <f>IF(A1580="","","B"&amp;TEXT(COUNT($A$2:A1580),"00000"))</f>
        <v/>
      </c>
      <c r="F1580" s="6">
        <f>IF(OR(C1580="",D1580=""),"",IFERROR(LOOKUP(2,1/(($C$1:C1579=C1580)*($D$1:D1579=D1580)*ISNUMBER($J$1:J1579)),$J$1:J1579),SUMIFS(Master!$G$2:$G$13,Master!$E$2:$E$13,C1580,Master!$F$2:$F$13,D1580)))</f>
        <v/>
      </c>
      <c r="G1580" s="5" t="n"/>
      <c r="H1580" s="5" t="n"/>
      <c r="I1580" s="5" t="n"/>
      <c r="J1580" s="6">
        <f>IF(OR(F1580="",COUNT(G1580:I1580)&lt;3),"",F1580+G1580-H1580-I1580)</f>
        <v/>
      </c>
      <c r="K1580" s="6">
        <f>IF(COUNTA(A1580:D1580,G1580:I1580)=0,"",IF(COUNTA(A1580:D1580,G1580:I1580)&lt;7,"LENGKAPI",IF(H1580+I1580&gt;N(F1580)+G1580,"ABNORMAL",IF(COUNTIFS($A$2:$A$2001,A1580,$B$2:$B$2001,B1580,$C$2:$C$2001,C1580,$D$2:$D$2001,D1580)&gt;1,"DUPLIKAT","OK"))))</f>
        <v/>
      </c>
    </row>
    <row r="1581">
      <c r="A1581" s="4" t="n"/>
      <c r="B1581" s="5" t="n"/>
      <c r="C1581" s="5" t="n"/>
      <c r="D1581" s="5" t="n"/>
      <c r="E1581" s="6">
        <f>IF(A1581="","","B"&amp;TEXT(COUNT($A$2:A1581),"00000"))</f>
        <v/>
      </c>
      <c r="F1581" s="6">
        <f>IF(OR(C1581="",D1581=""),"",IFERROR(LOOKUP(2,1/(($C$1:C1580=C1581)*($D$1:D1580=D1581)*ISNUMBER($J$1:J1580)),$J$1:J1580),SUMIFS(Master!$G$2:$G$13,Master!$E$2:$E$13,C1581,Master!$F$2:$F$13,D1581)))</f>
        <v/>
      </c>
      <c r="G1581" s="5" t="n"/>
      <c r="H1581" s="5" t="n"/>
      <c r="I1581" s="5" t="n"/>
      <c r="J1581" s="6">
        <f>IF(OR(F1581="",COUNT(G1581:I1581)&lt;3),"",F1581+G1581-H1581-I1581)</f>
        <v/>
      </c>
      <c r="K1581" s="6">
        <f>IF(COUNTA(A1581:D1581,G1581:I1581)=0,"",IF(COUNTA(A1581:D1581,G1581:I1581)&lt;7,"LENGKAPI",IF(H1581+I1581&gt;N(F1581)+G1581,"ABNORMAL",IF(COUNTIFS($A$2:$A$2001,A1581,$B$2:$B$2001,B1581,$C$2:$C$2001,C1581,$D$2:$D$2001,D1581)&gt;1,"DUPLIKAT","OK"))))</f>
        <v/>
      </c>
    </row>
    <row r="1582">
      <c r="A1582" s="4" t="n"/>
      <c r="B1582" s="5" t="n"/>
      <c r="C1582" s="5" t="n"/>
      <c r="D1582" s="5" t="n"/>
      <c r="E1582" s="6">
        <f>IF(A1582="","","B"&amp;TEXT(COUNT($A$2:A1582),"00000"))</f>
        <v/>
      </c>
      <c r="F1582" s="6">
        <f>IF(OR(C1582="",D1582=""),"",IFERROR(LOOKUP(2,1/(($C$1:C1581=C1582)*($D$1:D1581=D1582)*ISNUMBER($J$1:J1581)),$J$1:J1581),SUMIFS(Master!$G$2:$G$13,Master!$E$2:$E$13,C1582,Master!$F$2:$F$13,D1582)))</f>
        <v/>
      </c>
      <c r="G1582" s="5" t="n"/>
      <c r="H1582" s="5" t="n"/>
      <c r="I1582" s="5" t="n"/>
      <c r="J1582" s="6">
        <f>IF(OR(F1582="",COUNT(G1582:I1582)&lt;3),"",F1582+G1582-H1582-I1582)</f>
        <v/>
      </c>
      <c r="K1582" s="6">
        <f>IF(COUNTA(A1582:D1582,G1582:I1582)=0,"",IF(COUNTA(A1582:D1582,G1582:I1582)&lt;7,"LENGKAPI",IF(H1582+I1582&gt;N(F1582)+G1582,"ABNORMAL",IF(COUNTIFS($A$2:$A$2001,A1582,$B$2:$B$2001,B1582,$C$2:$C$2001,C1582,$D$2:$D$2001,D1582)&gt;1,"DUPLIKAT","OK"))))</f>
        <v/>
      </c>
    </row>
    <row r="1583">
      <c r="A1583" s="4" t="n"/>
      <c r="B1583" s="5" t="n"/>
      <c r="C1583" s="5" t="n"/>
      <c r="D1583" s="5" t="n"/>
      <c r="E1583" s="6">
        <f>IF(A1583="","","B"&amp;TEXT(COUNT($A$2:A1583),"00000"))</f>
        <v/>
      </c>
      <c r="F1583" s="6">
        <f>IF(OR(C1583="",D1583=""),"",IFERROR(LOOKUP(2,1/(($C$1:C1582=C1583)*($D$1:D1582=D1583)*ISNUMBER($J$1:J1582)),$J$1:J1582),SUMIFS(Master!$G$2:$G$13,Master!$E$2:$E$13,C1583,Master!$F$2:$F$13,D1583)))</f>
        <v/>
      </c>
      <c r="G1583" s="5" t="n"/>
      <c r="H1583" s="5" t="n"/>
      <c r="I1583" s="5" t="n"/>
      <c r="J1583" s="6">
        <f>IF(OR(F1583="",COUNT(G1583:I1583)&lt;3),"",F1583+G1583-H1583-I1583)</f>
        <v/>
      </c>
      <c r="K1583" s="6">
        <f>IF(COUNTA(A1583:D1583,G1583:I1583)=0,"",IF(COUNTA(A1583:D1583,G1583:I1583)&lt;7,"LENGKAPI",IF(H1583+I1583&gt;N(F1583)+G1583,"ABNORMAL",IF(COUNTIFS($A$2:$A$2001,A1583,$B$2:$B$2001,B1583,$C$2:$C$2001,C1583,$D$2:$D$2001,D1583)&gt;1,"DUPLIKAT","OK"))))</f>
        <v/>
      </c>
    </row>
    <row r="1584">
      <c r="A1584" s="4" t="n"/>
      <c r="B1584" s="5" t="n"/>
      <c r="C1584" s="5" t="n"/>
      <c r="D1584" s="5" t="n"/>
      <c r="E1584" s="6">
        <f>IF(A1584="","","B"&amp;TEXT(COUNT($A$2:A1584),"00000"))</f>
        <v/>
      </c>
      <c r="F1584" s="6">
        <f>IF(OR(C1584="",D1584=""),"",IFERROR(LOOKUP(2,1/(($C$1:C1583=C1584)*($D$1:D1583=D1584)*ISNUMBER($J$1:J1583)),$J$1:J1583),SUMIFS(Master!$G$2:$G$13,Master!$E$2:$E$13,C1584,Master!$F$2:$F$13,D1584)))</f>
        <v/>
      </c>
      <c r="G1584" s="5" t="n"/>
      <c r="H1584" s="5" t="n"/>
      <c r="I1584" s="5" t="n"/>
      <c r="J1584" s="6">
        <f>IF(OR(F1584="",COUNT(G1584:I1584)&lt;3),"",F1584+G1584-H1584-I1584)</f>
        <v/>
      </c>
      <c r="K1584" s="6">
        <f>IF(COUNTA(A1584:D1584,G1584:I1584)=0,"",IF(COUNTA(A1584:D1584,G1584:I1584)&lt;7,"LENGKAPI",IF(H1584+I1584&gt;N(F1584)+G1584,"ABNORMAL",IF(COUNTIFS($A$2:$A$2001,A1584,$B$2:$B$2001,B1584,$C$2:$C$2001,C1584,$D$2:$D$2001,D1584)&gt;1,"DUPLIKAT","OK"))))</f>
        <v/>
      </c>
    </row>
    <row r="1585">
      <c r="A1585" s="4" t="n"/>
      <c r="B1585" s="5" t="n"/>
      <c r="C1585" s="5" t="n"/>
      <c r="D1585" s="5" t="n"/>
      <c r="E1585" s="6">
        <f>IF(A1585="","","B"&amp;TEXT(COUNT($A$2:A1585),"00000"))</f>
        <v/>
      </c>
      <c r="F1585" s="6">
        <f>IF(OR(C1585="",D1585=""),"",IFERROR(LOOKUP(2,1/(($C$1:C1584=C1585)*($D$1:D1584=D1585)*ISNUMBER($J$1:J1584)),$J$1:J1584),SUMIFS(Master!$G$2:$G$13,Master!$E$2:$E$13,C1585,Master!$F$2:$F$13,D1585)))</f>
        <v/>
      </c>
      <c r="G1585" s="5" t="n"/>
      <c r="H1585" s="5" t="n"/>
      <c r="I1585" s="5" t="n"/>
      <c r="J1585" s="6">
        <f>IF(OR(F1585="",COUNT(G1585:I1585)&lt;3),"",F1585+G1585-H1585-I1585)</f>
        <v/>
      </c>
      <c r="K1585" s="6">
        <f>IF(COUNTA(A1585:D1585,G1585:I1585)=0,"",IF(COUNTA(A1585:D1585,G1585:I1585)&lt;7,"LENGKAPI",IF(H1585+I1585&gt;N(F1585)+G1585,"ABNORMAL",IF(COUNTIFS($A$2:$A$2001,A1585,$B$2:$B$2001,B1585,$C$2:$C$2001,C1585,$D$2:$D$2001,D1585)&gt;1,"DUPLIKAT","OK"))))</f>
        <v/>
      </c>
    </row>
    <row r="1586">
      <c r="A1586" s="4" t="n"/>
      <c r="B1586" s="5" t="n"/>
      <c r="C1586" s="5" t="n"/>
      <c r="D1586" s="5" t="n"/>
      <c r="E1586" s="6">
        <f>IF(A1586="","","B"&amp;TEXT(COUNT($A$2:A1586),"00000"))</f>
        <v/>
      </c>
      <c r="F1586" s="6">
        <f>IF(OR(C1586="",D1586=""),"",IFERROR(LOOKUP(2,1/(($C$1:C1585=C1586)*($D$1:D1585=D1586)*ISNUMBER($J$1:J1585)),$J$1:J1585),SUMIFS(Master!$G$2:$G$13,Master!$E$2:$E$13,C1586,Master!$F$2:$F$13,D1586)))</f>
        <v/>
      </c>
      <c r="G1586" s="5" t="n"/>
      <c r="H1586" s="5" t="n"/>
      <c r="I1586" s="5" t="n"/>
      <c r="J1586" s="6">
        <f>IF(OR(F1586="",COUNT(G1586:I1586)&lt;3),"",F1586+G1586-H1586-I1586)</f>
        <v/>
      </c>
      <c r="K1586" s="6">
        <f>IF(COUNTA(A1586:D1586,G1586:I1586)=0,"",IF(COUNTA(A1586:D1586,G1586:I1586)&lt;7,"LENGKAPI",IF(H1586+I1586&gt;N(F1586)+G1586,"ABNORMAL",IF(COUNTIFS($A$2:$A$2001,A1586,$B$2:$B$2001,B1586,$C$2:$C$2001,C1586,$D$2:$D$2001,D1586)&gt;1,"DUPLIKAT","OK"))))</f>
        <v/>
      </c>
    </row>
    <row r="1587">
      <c r="A1587" s="4" t="n"/>
      <c r="B1587" s="5" t="n"/>
      <c r="C1587" s="5" t="n"/>
      <c r="D1587" s="5" t="n"/>
      <c r="E1587" s="6">
        <f>IF(A1587="","","B"&amp;TEXT(COUNT($A$2:A1587),"00000"))</f>
        <v/>
      </c>
      <c r="F1587" s="6">
        <f>IF(OR(C1587="",D1587=""),"",IFERROR(LOOKUP(2,1/(($C$1:C1586=C1587)*($D$1:D1586=D1587)*ISNUMBER($J$1:J1586)),$J$1:J1586),SUMIFS(Master!$G$2:$G$13,Master!$E$2:$E$13,C1587,Master!$F$2:$F$13,D1587)))</f>
        <v/>
      </c>
      <c r="G1587" s="5" t="n"/>
      <c r="H1587" s="5" t="n"/>
      <c r="I1587" s="5" t="n"/>
      <c r="J1587" s="6">
        <f>IF(OR(F1587="",COUNT(G1587:I1587)&lt;3),"",F1587+G1587-H1587-I1587)</f>
        <v/>
      </c>
      <c r="K1587" s="6">
        <f>IF(COUNTA(A1587:D1587,G1587:I1587)=0,"",IF(COUNTA(A1587:D1587,G1587:I1587)&lt;7,"LENGKAPI",IF(H1587+I1587&gt;N(F1587)+G1587,"ABNORMAL",IF(COUNTIFS($A$2:$A$2001,A1587,$B$2:$B$2001,B1587,$C$2:$C$2001,C1587,$D$2:$D$2001,D1587)&gt;1,"DUPLIKAT","OK"))))</f>
        <v/>
      </c>
    </row>
    <row r="1588">
      <c r="A1588" s="4" t="n"/>
      <c r="B1588" s="5" t="n"/>
      <c r="C1588" s="5" t="n"/>
      <c r="D1588" s="5" t="n"/>
      <c r="E1588" s="6">
        <f>IF(A1588="","","B"&amp;TEXT(COUNT($A$2:A1588),"00000"))</f>
        <v/>
      </c>
      <c r="F1588" s="6">
        <f>IF(OR(C1588="",D1588=""),"",IFERROR(LOOKUP(2,1/(($C$1:C1587=C1588)*($D$1:D1587=D1588)*ISNUMBER($J$1:J1587)),$J$1:J1587),SUMIFS(Master!$G$2:$G$13,Master!$E$2:$E$13,C1588,Master!$F$2:$F$13,D1588)))</f>
        <v/>
      </c>
      <c r="G1588" s="5" t="n"/>
      <c r="H1588" s="5" t="n"/>
      <c r="I1588" s="5" t="n"/>
      <c r="J1588" s="6">
        <f>IF(OR(F1588="",COUNT(G1588:I1588)&lt;3),"",F1588+G1588-H1588-I1588)</f>
        <v/>
      </c>
      <c r="K1588" s="6">
        <f>IF(COUNTA(A1588:D1588,G1588:I1588)=0,"",IF(COUNTA(A1588:D1588,G1588:I1588)&lt;7,"LENGKAPI",IF(H1588+I1588&gt;N(F1588)+G1588,"ABNORMAL",IF(COUNTIFS($A$2:$A$2001,A1588,$B$2:$B$2001,B1588,$C$2:$C$2001,C1588,$D$2:$D$2001,D1588)&gt;1,"DUPLIKAT","OK"))))</f>
        <v/>
      </c>
    </row>
    <row r="1589">
      <c r="A1589" s="4" t="n"/>
      <c r="B1589" s="5" t="n"/>
      <c r="C1589" s="5" t="n"/>
      <c r="D1589" s="5" t="n"/>
      <c r="E1589" s="6">
        <f>IF(A1589="","","B"&amp;TEXT(COUNT($A$2:A1589),"00000"))</f>
        <v/>
      </c>
      <c r="F1589" s="6">
        <f>IF(OR(C1589="",D1589=""),"",IFERROR(LOOKUP(2,1/(($C$1:C1588=C1589)*($D$1:D1588=D1589)*ISNUMBER($J$1:J1588)),$J$1:J1588),SUMIFS(Master!$G$2:$G$13,Master!$E$2:$E$13,C1589,Master!$F$2:$F$13,D1589)))</f>
        <v/>
      </c>
      <c r="G1589" s="5" t="n"/>
      <c r="H1589" s="5" t="n"/>
      <c r="I1589" s="5" t="n"/>
      <c r="J1589" s="6">
        <f>IF(OR(F1589="",COUNT(G1589:I1589)&lt;3),"",F1589+G1589-H1589-I1589)</f>
        <v/>
      </c>
      <c r="K1589" s="6">
        <f>IF(COUNTA(A1589:D1589,G1589:I1589)=0,"",IF(COUNTA(A1589:D1589,G1589:I1589)&lt;7,"LENGKAPI",IF(H1589+I1589&gt;N(F1589)+G1589,"ABNORMAL",IF(COUNTIFS($A$2:$A$2001,A1589,$B$2:$B$2001,B1589,$C$2:$C$2001,C1589,$D$2:$D$2001,D1589)&gt;1,"DUPLIKAT","OK"))))</f>
        <v/>
      </c>
    </row>
    <row r="1590">
      <c r="A1590" s="4" t="n"/>
      <c r="B1590" s="5" t="n"/>
      <c r="C1590" s="5" t="n"/>
      <c r="D1590" s="5" t="n"/>
      <c r="E1590" s="6">
        <f>IF(A1590="","","B"&amp;TEXT(COUNT($A$2:A1590),"00000"))</f>
        <v/>
      </c>
      <c r="F1590" s="6">
        <f>IF(OR(C1590="",D1590=""),"",IFERROR(LOOKUP(2,1/(($C$1:C1589=C1590)*($D$1:D1589=D1590)*ISNUMBER($J$1:J1589)),$J$1:J1589),SUMIFS(Master!$G$2:$G$13,Master!$E$2:$E$13,C1590,Master!$F$2:$F$13,D1590)))</f>
        <v/>
      </c>
      <c r="G1590" s="5" t="n"/>
      <c r="H1590" s="5" t="n"/>
      <c r="I1590" s="5" t="n"/>
      <c r="J1590" s="6">
        <f>IF(OR(F1590="",COUNT(G1590:I1590)&lt;3),"",F1590+G1590-H1590-I1590)</f>
        <v/>
      </c>
      <c r="K1590" s="6">
        <f>IF(COUNTA(A1590:D1590,G1590:I1590)=0,"",IF(COUNTA(A1590:D1590,G1590:I1590)&lt;7,"LENGKAPI",IF(H1590+I1590&gt;N(F1590)+G1590,"ABNORMAL",IF(COUNTIFS($A$2:$A$2001,A1590,$B$2:$B$2001,B1590,$C$2:$C$2001,C1590,$D$2:$D$2001,D1590)&gt;1,"DUPLIKAT","OK"))))</f>
        <v/>
      </c>
    </row>
    <row r="1591">
      <c r="A1591" s="4" t="n"/>
      <c r="B1591" s="5" t="n"/>
      <c r="C1591" s="5" t="n"/>
      <c r="D1591" s="5" t="n"/>
      <c r="E1591" s="6">
        <f>IF(A1591="","","B"&amp;TEXT(COUNT($A$2:A1591),"00000"))</f>
        <v/>
      </c>
      <c r="F1591" s="6">
        <f>IF(OR(C1591="",D1591=""),"",IFERROR(LOOKUP(2,1/(($C$1:C1590=C1591)*($D$1:D1590=D1591)*ISNUMBER($J$1:J1590)),$J$1:J1590),SUMIFS(Master!$G$2:$G$13,Master!$E$2:$E$13,C1591,Master!$F$2:$F$13,D1591)))</f>
        <v/>
      </c>
      <c r="G1591" s="5" t="n"/>
      <c r="H1591" s="5" t="n"/>
      <c r="I1591" s="5" t="n"/>
      <c r="J1591" s="6">
        <f>IF(OR(F1591="",COUNT(G1591:I1591)&lt;3),"",F1591+G1591-H1591-I1591)</f>
        <v/>
      </c>
      <c r="K1591" s="6">
        <f>IF(COUNTA(A1591:D1591,G1591:I1591)=0,"",IF(COUNTA(A1591:D1591,G1591:I1591)&lt;7,"LENGKAPI",IF(H1591+I1591&gt;N(F1591)+G1591,"ABNORMAL",IF(COUNTIFS($A$2:$A$2001,A1591,$B$2:$B$2001,B1591,$C$2:$C$2001,C1591,$D$2:$D$2001,D1591)&gt;1,"DUPLIKAT","OK"))))</f>
        <v/>
      </c>
    </row>
    <row r="1592">
      <c r="A1592" s="4" t="n"/>
      <c r="B1592" s="5" t="n"/>
      <c r="C1592" s="5" t="n"/>
      <c r="D1592" s="5" t="n"/>
      <c r="E1592" s="6">
        <f>IF(A1592="","","B"&amp;TEXT(COUNT($A$2:A1592),"00000"))</f>
        <v/>
      </c>
      <c r="F1592" s="6">
        <f>IF(OR(C1592="",D1592=""),"",IFERROR(LOOKUP(2,1/(($C$1:C1591=C1592)*($D$1:D1591=D1592)*ISNUMBER($J$1:J1591)),$J$1:J1591),SUMIFS(Master!$G$2:$G$13,Master!$E$2:$E$13,C1592,Master!$F$2:$F$13,D1592)))</f>
        <v/>
      </c>
      <c r="G1592" s="5" t="n"/>
      <c r="H1592" s="5" t="n"/>
      <c r="I1592" s="5" t="n"/>
      <c r="J1592" s="6">
        <f>IF(OR(F1592="",COUNT(G1592:I1592)&lt;3),"",F1592+G1592-H1592-I1592)</f>
        <v/>
      </c>
      <c r="K1592" s="6">
        <f>IF(COUNTA(A1592:D1592,G1592:I1592)=0,"",IF(COUNTA(A1592:D1592,G1592:I1592)&lt;7,"LENGKAPI",IF(H1592+I1592&gt;N(F1592)+G1592,"ABNORMAL",IF(COUNTIFS($A$2:$A$2001,A1592,$B$2:$B$2001,B1592,$C$2:$C$2001,C1592,$D$2:$D$2001,D1592)&gt;1,"DUPLIKAT","OK"))))</f>
        <v/>
      </c>
    </row>
    <row r="1593">
      <c r="A1593" s="4" t="n"/>
      <c r="B1593" s="5" t="n"/>
      <c r="C1593" s="5" t="n"/>
      <c r="D1593" s="5" t="n"/>
      <c r="E1593" s="6">
        <f>IF(A1593="","","B"&amp;TEXT(COUNT($A$2:A1593),"00000"))</f>
        <v/>
      </c>
      <c r="F1593" s="6">
        <f>IF(OR(C1593="",D1593=""),"",IFERROR(LOOKUP(2,1/(($C$1:C1592=C1593)*($D$1:D1592=D1593)*ISNUMBER($J$1:J1592)),$J$1:J1592),SUMIFS(Master!$G$2:$G$13,Master!$E$2:$E$13,C1593,Master!$F$2:$F$13,D1593)))</f>
        <v/>
      </c>
      <c r="G1593" s="5" t="n"/>
      <c r="H1593" s="5" t="n"/>
      <c r="I1593" s="5" t="n"/>
      <c r="J1593" s="6">
        <f>IF(OR(F1593="",COUNT(G1593:I1593)&lt;3),"",F1593+G1593-H1593-I1593)</f>
        <v/>
      </c>
      <c r="K1593" s="6">
        <f>IF(COUNTA(A1593:D1593,G1593:I1593)=0,"",IF(COUNTA(A1593:D1593,G1593:I1593)&lt;7,"LENGKAPI",IF(H1593+I1593&gt;N(F1593)+G1593,"ABNORMAL",IF(COUNTIFS($A$2:$A$2001,A1593,$B$2:$B$2001,B1593,$C$2:$C$2001,C1593,$D$2:$D$2001,D1593)&gt;1,"DUPLIKAT","OK"))))</f>
        <v/>
      </c>
    </row>
    <row r="1594">
      <c r="A1594" s="4" t="n"/>
      <c r="B1594" s="5" t="n"/>
      <c r="C1594" s="5" t="n"/>
      <c r="D1594" s="5" t="n"/>
      <c r="E1594" s="6">
        <f>IF(A1594="","","B"&amp;TEXT(COUNT($A$2:A1594),"00000"))</f>
        <v/>
      </c>
      <c r="F1594" s="6">
        <f>IF(OR(C1594="",D1594=""),"",IFERROR(LOOKUP(2,1/(($C$1:C1593=C1594)*($D$1:D1593=D1594)*ISNUMBER($J$1:J1593)),$J$1:J1593),SUMIFS(Master!$G$2:$G$13,Master!$E$2:$E$13,C1594,Master!$F$2:$F$13,D1594)))</f>
        <v/>
      </c>
      <c r="G1594" s="5" t="n"/>
      <c r="H1594" s="5" t="n"/>
      <c r="I1594" s="5" t="n"/>
      <c r="J1594" s="6">
        <f>IF(OR(F1594="",COUNT(G1594:I1594)&lt;3),"",F1594+G1594-H1594-I1594)</f>
        <v/>
      </c>
      <c r="K1594" s="6">
        <f>IF(COUNTA(A1594:D1594,G1594:I1594)=0,"",IF(COUNTA(A1594:D1594,G1594:I1594)&lt;7,"LENGKAPI",IF(H1594+I1594&gt;N(F1594)+G1594,"ABNORMAL",IF(COUNTIFS($A$2:$A$2001,A1594,$B$2:$B$2001,B1594,$C$2:$C$2001,C1594,$D$2:$D$2001,D1594)&gt;1,"DUPLIKAT","OK"))))</f>
        <v/>
      </c>
    </row>
    <row r="1595">
      <c r="A1595" s="4" t="n"/>
      <c r="B1595" s="5" t="n"/>
      <c r="C1595" s="5" t="n"/>
      <c r="D1595" s="5" t="n"/>
      <c r="E1595" s="6">
        <f>IF(A1595="","","B"&amp;TEXT(COUNT($A$2:A1595),"00000"))</f>
        <v/>
      </c>
      <c r="F1595" s="6">
        <f>IF(OR(C1595="",D1595=""),"",IFERROR(LOOKUP(2,1/(($C$1:C1594=C1595)*($D$1:D1594=D1595)*ISNUMBER($J$1:J1594)),$J$1:J1594),SUMIFS(Master!$G$2:$G$13,Master!$E$2:$E$13,C1595,Master!$F$2:$F$13,D1595)))</f>
        <v/>
      </c>
      <c r="G1595" s="5" t="n"/>
      <c r="H1595" s="5" t="n"/>
      <c r="I1595" s="5" t="n"/>
      <c r="J1595" s="6">
        <f>IF(OR(F1595="",COUNT(G1595:I1595)&lt;3),"",F1595+G1595-H1595-I1595)</f>
        <v/>
      </c>
      <c r="K1595" s="6">
        <f>IF(COUNTA(A1595:D1595,G1595:I1595)=0,"",IF(COUNTA(A1595:D1595,G1595:I1595)&lt;7,"LENGKAPI",IF(H1595+I1595&gt;N(F1595)+G1595,"ABNORMAL",IF(COUNTIFS($A$2:$A$2001,A1595,$B$2:$B$2001,B1595,$C$2:$C$2001,C1595,$D$2:$D$2001,D1595)&gt;1,"DUPLIKAT","OK"))))</f>
        <v/>
      </c>
    </row>
    <row r="1596">
      <c r="A1596" s="4" t="n"/>
      <c r="B1596" s="5" t="n"/>
      <c r="C1596" s="5" t="n"/>
      <c r="D1596" s="5" t="n"/>
      <c r="E1596" s="6">
        <f>IF(A1596="","","B"&amp;TEXT(COUNT($A$2:A1596),"00000"))</f>
        <v/>
      </c>
      <c r="F1596" s="6">
        <f>IF(OR(C1596="",D1596=""),"",IFERROR(LOOKUP(2,1/(($C$1:C1595=C1596)*($D$1:D1595=D1596)*ISNUMBER($J$1:J1595)),$J$1:J1595),SUMIFS(Master!$G$2:$G$13,Master!$E$2:$E$13,C1596,Master!$F$2:$F$13,D1596)))</f>
        <v/>
      </c>
      <c r="G1596" s="5" t="n"/>
      <c r="H1596" s="5" t="n"/>
      <c r="I1596" s="5" t="n"/>
      <c r="J1596" s="6">
        <f>IF(OR(F1596="",COUNT(G1596:I1596)&lt;3),"",F1596+G1596-H1596-I1596)</f>
        <v/>
      </c>
      <c r="K1596" s="6">
        <f>IF(COUNTA(A1596:D1596,G1596:I1596)=0,"",IF(COUNTA(A1596:D1596,G1596:I1596)&lt;7,"LENGKAPI",IF(H1596+I1596&gt;N(F1596)+G1596,"ABNORMAL",IF(COUNTIFS($A$2:$A$2001,A1596,$B$2:$B$2001,B1596,$C$2:$C$2001,C1596,$D$2:$D$2001,D1596)&gt;1,"DUPLIKAT","OK"))))</f>
        <v/>
      </c>
    </row>
    <row r="1597">
      <c r="A1597" s="4" t="n"/>
      <c r="B1597" s="5" t="n"/>
      <c r="C1597" s="5" t="n"/>
      <c r="D1597" s="5" t="n"/>
      <c r="E1597" s="6">
        <f>IF(A1597="","","B"&amp;TEXT(COUNT($A$2:A1597),"00000"))</f>
        <v/>
      </c>
      <c r="F1597" s="6">
        <f>IF(OR(C1597="",D1597=""),"",IFERROR(LOOKUP(2,1/(($C$1:C1596=C1597)*($D$1:D1596=D1597)*ISNUMBER($J$1:J1596)),$J$1:J1596),SUMIFS(Master!$G$2:$G$13,Master!$E$2:$E$13,C1597,Master!$F$2:$F$13,D1597)))</f>
        <v/>
      </c>
      <c r="G1597" s="5" t="n"/>
      <c r="H1597" s="5" t="n"/>
      <c r="I1597" s="5" t="n"/>
      <c r="J1597" s="6">
        <f>IF(OR(F1597="",COUNT(G1597:I1597)&lt;3),"",F1597+G1597-H1597-I1597)</f>
        <v/>
      </c>
      <c r="K1597" s="6">
        <f>IF(COUNTA(A1597:D1597,G1597:I1597)=0,"",IF(COUNTA(A1597:D1597,G1597:I1597)&lt;7,"LENGKAPI",IF(H1597+I1597&gt;N(F1597)+G1597,"ABNORMAL",IF(COUNTIFS($A$2:$A$2001,A1597,$B$2:$B$2001,B1597,$C$2:$C$2001,C1597,$D$2:$D$2001,D1597)&gt;1,"DUPLIKAT","OK"))))</f>
        <v/>
      </c>
    </row>
    <row r="1598">
      <c r="A1598" s="4" t="n"/>
      <c r="B1598" s="5" t="n"/>
      <c r="C1598" s="5" t="n"/>
      <c r="D1598" s="5" t="n"/>
      <c r="E1598" s="6">
        <f>IF(A1598="","","B"&amp;TEXT(COUNT($A$2:A1598),"00000"))</f>
        <v/>
      </c>
      <c r="F1598" s="6">
        <f>IF(OR(C1598="",D1598=""),"",IFERROR(LOOKUP(2,1/(($C$1:C1597=C1598)*($D$1:D1597=D1598)*ISNUMBER($J$1:J1597)),$J$1:J1597),SUMIFS(Master!$G$2:$G$13,Master!$E$2:$E$13,C1598,Master!$F$2:$F$13,D1598)))</f>
        <v/>
      </c>
      <c r="G1598" s="5" t="n"/>
      <c r="H1598" s="5" t="n"/>
      <c r="I1598" s="5" t="n"/>
      <c r="J1598" s="6">
        <f>IF(OR(F1598="",COUNT(G1598:I1598)&lt;3),"",F1598+G1598-H1598-I1598)</f>
        <v/>
      </c>
      <c r="K1598" s="6">
        <f>IF(COUNTA(A1598:D1598,G1598:I1598)=0,"",IF(COUNTA(A1598:D1598,G1598:I1598)&lt;7,"LENGKAPI",IF(H1598+I1598&gt;N(F1598)+G1598,"ABNORMAL",IF(COUNTIFS($A$2:$A$2001,A1598,$B$2:$B$2001,B1598,$C$2:$C$2001,C1598,$D$2:$D$2001,D1598)&gt;1,"DUPLIKAT","OK"))))</f>
        <v/>
      </c>
    </row>
    <row r="1599">
      <c r="A1599" s="4" t="n"/>
      <c r="B1599" s="5" t="n"/>
      <c r="C1599" s="5" t="n"/>
      <c r="D1599" s="5" t="n"/>
      <c r="E1599" s="6">
        <f>IF(A1599="","","B"&amp;TEXT(COUNT($A$2:A1599),"00000"))</f>
        <v/>
      </c>
      <c r="F1599" s="6">
        <f>IF(OR(C1599="",D1599=""),"",IFERROR(LOOKUP(2,1/(($C$1:C1598=C1599)*($D$1:D1598=D1599)*ISNUMBER($J$1:J1598)),$J$1:J1598),SUMIFS(Master!$G$2:$G$13,Master!$E$2:$E$13,C1599,Master!$F$2:$F$13,D1599)))</f>
        <v/>
      </c>
      <c r="G1599" s="5" t="n"/>
      <c r="H1599" s="5" t="n"/>
      <c r="I1599" s="5" t="n"/>
      <c r="J1599" s="6">
        <f>IF(OR(F1599="",COUNT(G1599:I1599)&lt;3),"",F1599+G1599-H1599-I1599)</f>
        <v/>
      </c>
      <c r="K1599" s="6">
        <f>IF(COUNTA(A1599:D1599,G1599:I1599)=0,"",IF(COUNTA(A1599:D1599,G1599:I1599)&lt;7,"LENGKAPI",IF(H1599+I1599&gt;N(F1599)+G1599,"ABNORMAL",IF(COUNTIFS($A$2:$A$2001,A1599,$B$2:$B$2001,B1599,$C$2:$C$2001,C1599,$D$2:$D$2001,D1599)&gt;1,"DUPLIKAT","OK"))))</f>
        <v/>
      </c>
    </row>
    <row r="1600">
      <c r="A1600" s="4" t="n"/>
      <c r="B1600" s="5" t="n"/>
      <c r="C1600" s="5" t="n"/>
      <c r="D1600" s="5" t="n"/>
      <c r="E1600" s="6">
        <f>IF(A1600="","","B"&amp;TEXT(COUNT($A$2:A1600),"00000"))</f>
        <v/>
      </c>
      <c r="F1600" s="6">
        <f>IF(OR(C1600="",D1600=""),"",IFERROR(LOOKUP(2,1/(($C$1:C1599=C1600)*($D$1:D1599=D1600)*ISNUMBER($J$1:J1599)),$J$1:J1599),SUMIFS(Master!$G$2:$G$13,Master!$E$2:$E$13,C1600,Master!$F$2:$F$13,D1600)))</f>
        <v/>
      </c>
      <c r="G1600" s="5" t="n"/>
      <c r="H1600" s="5" t="n"/>
      <c r="I1600" s="5" t="n"/>
      <c r="J1600" s="6">
        <f>IF(OR(F1600="",COUNT(G1600:I1600)&lt;3),"",F1600+G1600-H1600-I1600)</f>
        <v/>
      </c>
      <c r="K1600" s="6">
        <f>IF(COUNTA(A1600:D1600,G1600:I1600)=0,"",IF(COUNTA(A1600:D1600,G1600:I1600)&lt;7,"LENGKAPI",IF(H1600+I1600&gt;N(F1600)+G1600,"ABNORMAL",IF(COUNTIFS($A$2:$A$2001,A1600,$B$2:$B$2001,B1600,$C$2:$C$2001,C1600,$D$2:$D$2001,D1600)&gt;1,"DUPLIKAT","OK"))))</f>
        <v/>
      </c>
    </row>
    <row r="1601">
      <c r="A1601" s="4" t="n"/>
      <c r="B1601" s="5" t="n"/>
      <c r="C1601" s="5" t="n"/>
      <c r="D1601" s="5" t="n"/>
      <c r="E1601" s="6">
        <f>IF(A1601="","","B"&amp;TEXT(COUNT($A$2:A1601),"00000"))</f>
        <v/>
      </c>
      <c r="F1601" s="6">
        <f>IF(OR(C1601="",D1601=""),"",IFERROR(LOOKUP(2,1/(($C$1:C1600=C1601)*($D$1:D1600=D1601)*ISNUMBER($J$1:J1600)),$J$1:J1600),SUMIFS(Master!$G$2:$G$13,Master!$E$2:$E$13,C1601,Master!$F$2:$F$13,D1601)))</f>
        <v/>
      </c>
      <c r="G1601" s="5" t="n"/>
      <c r="H1601" s="5" t="n"/>
      <c r="I1601" s="5" t="n"/>
      <c r="J1601" s="6">
        <f>IF(OR(F1601="",COUNT(G1601:I1601)&lt;3),"",F1601+G1601-H1601-I1601)</f>
        <v/>
      </c>
      <c r="K1601" s="6">
        <f>IF(COUNTA(A1601:D1601,G1601:I1601)=0,"",IF(COUNTA(A1601:D1601,G1601:I1601)&lt;7,"LENGKAPI",IF(H1601+I1601&gt;N(F1601)+G1601,"ABNORMAL",IF(COUNTIFS($A$2:$A$2001,A1601,$B$2:$B$2001,B1601,$C$2:$C$2001,C1601,$D$2:$D$2001,D1601)&gt;1,"DUPLIKAT","OK"))))</f>
        <v/>
      </c>
    </row>
    <row r="1602">
      <c r="A1602" s="4" t="n"/>
      <c r="B1602" s="5" t="n"/>
      <c r="C1602" s="5" t="n"/>
      <c r="D1602" s="5" t="n"/>
      <c r="E1602" s="6">
        <f>IF(A1602="","","B"&amp;TEXT(COUNT($A$2:A1602),"00000"))</f>
        <v/>
      </c>
      <c r="F1602" s="6">
        <f>IF(OR(C1602="",D1602=""),"",IFERROR(LOOKUP(2,1/(($C$1:C1601=C1602)*($D$1:D1601=D1602)*ISNUMBER($J$1:J1601)),$J$1:J1601),SUMIFS(Master!$G$2:$G$13,Master!$E$2:$E$13,C1602,Master!$F$2:$F$13,D1602)))</f>
        <v/>
      </c>
      <c r="G1602" s="5" t="n"/>
      <c r="H1602" s="5" t="n"/>
      <c r="I1602" s="5" t="n"/>
      <c r="J1602" s="6">
        <f>IF(OR(F1602="",COUNT(G1602:I1602)&lt;3),"",F1602+G1602-H1602-I1602)</f>
        <v/>
      </c>
      <c r="K1602" s="6">
        <f>IF(COUNTA(A1602:D1602,G1602:I1602)=0,"",IF(COUNTA(A1602:D1602,G1602:I1602)&lt;7,"LENGKAPI",IF(H1602+I1602&gt;N(F1602)+G1602,"ABNORMAL",IF(COUNTIFS($A$2:$A$2001,A1602,$B$2:$B$2001,B1602,$C$2:$C$2001,C1602,$D$2:$D$2001,D1602)&gt;1,"DUPLIKAT","OK"))))</f>
        <v/>
      </c>
    </row>
    <row r="1603">
      <c r="A1603" s="4" t="n"/>
      <c r="B1603" s="5" t="n"/>
      <c r="C1603" s="5" t="n"/>
      <c r="D1603" s="5" t="n"/>
      <c r="E1603" s="6">
        <f>IF(A1603="","","B"&amp;TEXT(COUNT($A$2:A1603),"00000"))</f>
        <v/>
      </c>
      <c r="F1603" s="6">
        <f>IF(OR(C1603="",D1603=""),"",IFERROR(LOOKUP(2,1/(($C$1:C1602=C1603)*($D$1:D1602=D1603)*ISNUMBER($J$1:J1602)),$J$1:J1602),SUMIFS(Master!$G$2:$G$13,Master!$E$2:$E$13,C1603,Master!$F$2:$F$13,D1603)))</f>
        <v/>
      </c>
      <c r="G1603" s="5" t="n"/>
      <c r="H1603" s="5" t="n"/>
      <c r="I1603" s="5" t="n"/>
      <c r="J1603" s="6">
        <f>IF(OR(F1603="",COUNT(G1603:I1603)&lt;3),"",F1603+G1603-H1603-I1603)</f>
        <v/>
      </c>
      <c r="K1603" s="6">
        <f>IF(COUNTA(A1603:D1603,G1603:I1603)=0,"",IF(COUNTA(A1603:D1603,G1603:I1603)&lt;7,"LENGKAPI",IF(H1603+I1603&gt;N(F1603)+G1603,"ABNORMAL",IF(COUNTIFS($A$2:$A$2001,A1603,$B$2:$B$2001,B1603,$C$2:$C$2001,C1603,$D$2:$D$2001,D1603)&gt;1,"DUPLIKAT","OK"))))</f>
        <v/>
      </c>
    </row>
    <row r="1604">
      <c r="A1604" s="4" t="n"/>
      <c r="B1604" s="5" t="n"/>
      <c r="C1604" s="5" t="n"/>
      <c r="D1604" s="5" t="n"/>
      <c r="E1604" s="6">
        <f>IF(A1604="","","B"&amp;TEXT(COUNT($A$2:A1604),"00000"))</f>
        <v/>
      </c>
      <c r="F1604" s="6">
        <f>IF(OR(C1604="",D1604=""),"",IFERROR(LOOKUP(2,1/(($C$1:C1603=C1604)*($D$1:D1603=D1604)*ISNUMBER($J$1:J1603)),$J$1:J1603),SUMIFS(Master!$G$2:$G$13,Master!$E$2:$E$13,C1604,Master!$F$2:$F$13,D1604)))</f>
        <v/>
      </c>
      <c r="G1604" s="5" t="n"/>
      <c r="H1604" s="5" t="n"/>
      <c r="I1604" s="5" t="n"/>
      <c r="J1604" s="6">
        <f>IF(OR(F1604="",COUNT(G1604:I1604)&lt;3),"",F1604+G1604-H1604-I1604)</f>
        <v/>
      </c>
      <c r="K1604" s="6">
        <f>IF(COUNTA(A1604:D1604,G1604:I1604)=0,"",IF(COUNTA(A1604:D1604,G1604:I1604)&lt;7,"LENGKAPI",IF(H1604+I1604&gt;N(F1604)+G1604,"ABNORMAL",IF(COUNTIFS($A$2:$A$2001,A1604,$B$2:$B$2001,B1604,$C$2:$C$2001,C1604,$D$2:$D$2001,D1604)&gt;1,"DUPLIKAT","OK"))))</f>
        <v/>
      </c>
    </row>
    <row r="1605">
      <c r="A1605" s="4" t="n"/>
      <c r="B1605" s="5" t="n"/>
      <c r="C1605" s="5" t="n"/>
      <c r="D1605" s="5" t="n"/>
      <c r="E1605" s="6">
        <f>IF(A1605="","","B"&amp;TEXT(COUNT($A$2:A1605),"00000"))</f>
        <v/>
      </c>
      <c r="F1605" s="6">
        <f>IF(OR(C1605="",D1605=""),"",IFERROR(LOOKUP(2,1/(($C$1:C1604=C1605)*($D$1:D1604=D1605)*ISNUMBER($J$1:J1604)),$J$1:J1604),SUMIFS(Master!$G$2:$G$13,Master!$E$2:$E$13,C1605,Master!$F$2:$F$13,D1605)))</f>
        <v/>
      </c>
      <c r="G1605" s="5" t="n"/>
      <c r="H1605" s="5" t="n"/>
      <c r="I1605" s="5" t="n"/>
      <c r="J1605" s="6">
        <f>IF(OR(F1605="",COUNT(G1605:I1605)&lt;3),"",F1605+G1605-H1605-I1605)</f>
        <v/>
      </c>
      <c r="K1605" s="6">
        <f>IF(COUNTA(A1605:D1605,G1605:I1605)=0,"",IF(COUNTA(A1605:D1605,G1605:I1605)&lt;7,"LENGKAPI",IF(H1605+I1605&gt;N(F1605)+G1605,"ABNORMAL",IF(COUNTIFS($A$2:$A$2001,A1605,$B$2:$B$2001,B1605,$C$2:$C$2001,C1605,$D$2:$D$2001,D1605)&gt;1,"DUPLIKAT","OK"))))</f>
        <v/>
      </c>
    </row>
    <row r="1606">
      <c r="A1606" s="4" t="n"/>
      <c r="B1606" s="5" t="n"/>
      <c r="C1606" s="5" t="n"/>
      <c r="D1606" s="5" t="n"/>
      <c r="E1606" s="6">
        <f>IF(A1606="","","B"&amp;TEXT(COUNT($A$2:A1606),"00000"))</f>
        <v/>
      </c>
      <c r="F1606" s="6">
        <f>IF(OR(C1606="",D1606=""),"",IFERROR(LOOKUP(2,1/(($C$1:C1605=C1606)*($D$1:D1605=D1606)*ISNUMBER($J$1:J1605)),$J$1:J1605),SUMIFS(Master!$G$2:$G$13,Master!$E$2:$E$13,C1606,Master!$F$2:$F$13,D1606)))</f>
        <v/>
      </c>
      <c r="G1606" s="5" t="n"/>
      <c r="H1606" s="5" t="n"/>
      <c r="I1606" s="5" t="n"/>
      <c r="J1606" s="6">
        <f>IF(OR(F1606="",COUNT(G1606:I1606)&lt;3),"",F1606+G1606-H1606-I1606)</f>
        <v/>
      </c>
      <c r="K1606" s="6">
        <f>IF(COUNTA(A1606:D1606,G1606:I1606)=0,"",IF(COUNTA(A1606:D1606,G1606:I1606)&lt;7,"LENGKAPI",IF(H1606+I1606&gt;N(F1606)+G1606,"ABNORMAL",IF(COUNTIFS($A$2:$A$2001,A1606,$B$2:$B$2001,B1606,$C$2:$C$2001,C1606,$D$2:$D$2001,D1606)&gt;1,"DUPLIKAT","OK"))))</f>
        <v/>
      </c>
    </row>
    <row r="1607">
      <c r="A1607" s="4" t="n"/>
      <c r="B1607" s="5" t="n"/>
      <c r="C1607" s="5" t="n"/>
      <c r="D1607" s="5" t="n"/>
      <c r="E1607" s="6">
        <f>IF(A1607="","","B"&amp;TEXT(COUNT($A$2:A1607),"00000"))</f>
        <v/>
      </c>
      <c r="F1607" s="6">
        <f>IF(OR(C1607="",D1607=""),"",IFERROR(LOOKUP(2,1/(($C$1:C1606=C1607)*($D$1:D1606=D1607)*ISNUMBER($J$1:J1606)),$J$1:J1606),SUMIFS(Master!$G$2:$G$13,Master!$E$2:$E$13,C1607,Master!$F$2:$F$13,D1607)))</f>
        <v/>
      </c>
      <c r="G1607" s="5" t="n"/>
      <c r="H1607" s="5" t="n"/>
      <c r="I1607" s="5" t="n"/>
      <c r="J1607" s="6">
        <f>IF(OR(F1607="",COUNT(G1607:I1607)&lt;3),"",F1607+G1607-H1607-I1607)</f>
        <v/>
      </c>
      <c r="K1607" s="6">
        <f>IF(COUNTA(A1607:D1607,G1607:I1607)=0,"",IF(COUNTA(A1607:D1607,G1607:I1607)&lt;7,"LENGKAPI",IF(H1607+I1607&gt;N(F1607)+G1607,"ABNORMAL",IF(COUNTIFS($A$2:$A$2001,A1607,$B$2:$B$2001,B1607,$C$2:$C$2001,C1607,$D$2:$D$2001,D1607)&gt;1,"DUPLIKAT","OK"))))</f>
        <v/>
      </c>
    </row>
    <row r="1608">
      <c r="A1608" s="4" t="n"/>
      <c r="B1608" s="5" t="n"/>
      <c r="C1608" s="5" t="n"/>
      <c r="D1608" s="5" t="n"/>
      <c r="E1608" s="6">
        <f>IF(A1608="","","B"&amp;TEXT(COUNT($A$2:A1608),"00000"))</f>
        <v/>
      </c>
      <c r="F1608" s="6">
        <f>IF(OR(C1608="",D1608=""),"",IFERROR(LOOKUP(2,1/(($C$1:C1607=C1608)*($D$1:D1607=D1608)*ISNUMBER($J$1:J1607)),$J$1:J1607),SUMIFS(Master!$G$2:$G$13,Master!$E$2:$E$13,C1608,Master!$F$2:$F$13,D1608)))</f>
        <v/>
      </c>
      <c r="G1608" s="5" t="n"/>
      <c r="H1608" s="5" t="n"/>
      <c r="I1608" s="5" t="n"/>
      <c r="J1608" s="6">
        <f>IF(OR(F1608="",COUNT(G1608:I1608)&lt;3),"",F1608+G1608-H1608-I1608)</f>
        <v/>
      </c>
      <c r="K1608" s="6">
        <f>IF(COUNTA(A1608:D1608,G1608:I1608)=0,"",IF(COUNTA(A1608:D1608,G1608:I1608)&lt;7,"LENGKAPI",IF(H1608+I1608&gt;N(F1608)+G1608,"ABNORMAL",IF(COUNTIFS($A$2:$A$2001,A1608,$B$2:$B$2001,B1608,$C$2:$C$2001,C1608,$D$2:$D$2001,D1608)&gt;1,"DUPLIKAT","OK"))))</f>
        <v/>
      </c>
    </row>
    <row r="1609">
      <c r="A1609" s="4" t="n"/>
      <c r="B1609" s="5" t="n"/>
      <c r="C1609" s="5" t="n"/>
      <c r="D1609" s="5" t="n"/>
      <c r="E1609" s="6">
        <f>IF(A1609="","","B"&amp;TEXT(COUNT($A$2:A1609),"00000"))</f>
        <v/>
      </c>
      <c r="F1609" s="6">
        <f>IF(OR(C1609="",D1609=""),"",IFERROR(LOOKUP(2,1/(($C$1:C1608=C1609)*($D$1:D1608=D1609)*ISNUMBER($J$1:J1608)),$J$1:J1608),SUMIFS(Master!$G$2:$G$13,Master!$E$2:$E$13,C1609,Master!$F$2:$F$13,D1609)))</f>
        <v/>
      </c>
      <c r="G1609" s="5" t="n"/>
      <c r="H1609" s="5" t="n"/>
      <c r="I1609" s="5" t="n"/>
      <c r="J1609" s="6">
        <f>IF(OR(F1609="",COUNT(G1609:I1609)&lt;3),"",F1609+G1609-H1609-I1609)</f>
        <v/>
      </c>
      <c r="K1609" s="6">
        <f>IF(COUNTA(A1609:D1609,G1609:I1609)=0,"",IF(COUNTA(A1609:D1609,G1609:I1609)&lt;7,"LENGKAPI",IF(H1609+I1609&gt;N(F1609)+G1609,"ABNORMAL",IF(COUNTIFS($A$2:$A$2001,A1609,$B$2:$B$2001,B1609,$C$2:$C$2001,C1609,$D$2:$D$2001,D1609)&gt;1,"DUPLIKAT","OK"))))</f>
        <v/>
      </c>
    </row>
    <row r="1610">
      <c r="A1610" s="4" t="n"/>
      <c r="B1610" s="5" t="n"/>
      <c r="C1610" s="5" t="n"/>
      <c r="D1610" s="5" t="n"/>
      <c r="E1610" s="6">
        <f>IF(A1610="","","B"&amp;TEXT(COUNT($A$2:A1610),"00000"))</f>
        <v/>
      </c>
      <c r="F1610" s="6">
        <f>IF(OR(C1610="",D1610=""),"",IFERROR(LOOKUP(2,1/(($C$1:C1609=C1610)*($D$1:D1609=D1610)*ISNUMBER($J$1:J1609)),$J$1:J1609),SUMIFS(Master!$G$2:$G$13,Master!$E$2:$E$13,C1610,Master!$F$2:$F$13,D1610)))</f>
        <v/>
      </c>
      <c r="G1610" s="5" t="n"/>
      <c r="H1610" s="5" t="n"/>
      <c r="I1610" s="5" t="n"/>
      <c r="J1610" s="6">
        <f>IF(OR(F1610="",COUNT(G1610:I1610)&lt;3),"",F1610+G1610-H1610-I1610)</f>
        <v/>
      </c>
      <c r="K1610" s="6">
        <f>IF(COUNTA(A1610:D1610,G1610:I1610)=0,"",IF(COUNTA(A1610:D1610,G1610:I1610)&lt;7,"LENGKAPI",IF(H1610+I1610&gt;N(F1610)+G1610,"ABNORMAL",IF(COUNTIFS($A$2:$A$2001,A1610,$B$2:$B$2001,B1610,$C$2:$C$2001,C1610,$D$2:$D$2001,D1610)&gt;1,"DUPLIKAT","OK"))))</f>
        <v/>
      </c>
    </row>
    <row r="1611">
      <c r="A1611" s="4" t="n"/>
      <c r="B1611" s="5" t="n"/>
      <c r="C1611" s="5" t="n"/>
      <c r="D1611" s="5" t="n"/>
      <c r="E1611" s="6">
        <f>IF(A1611="","","B"&amp;TEXT(COUNT($A$2:A1611),"00000"))</f>
        <v/>
      </c>
      <c r="F1611" s="6">
        <f>IF(OR(C1611="",D1611=""),"",IFERROR(LOOKUP(2,1/(($C$1:C1610=C1611)*($D$1:D1610=D1611)*ISNUMBER($J$1:J1610)),$J$1:J1610),SUMIFS(Master!$G$2:$G$13,Master!$E$2:$E$13,C1611,Master!$F$2:$F$13,D1611)))</f>
        <v/>
      </c>
      <c r="G1611" s="5" t="n"/>
      <c r="H1611" s="5" t="n"/>
      <c r="I1611" s="5" t="n"/>
      <c r="J1611" s="6">
        <f>IF(OR(F1611="",COUNT(G1611:I1611)&lt;3),"",F1611+G1611-H1611-I1611)</f>
        <v/>
      </c>
      <c r="K1611" s="6">
        <f>IF(COUNTA(A1611:D1611,G1611:I1611)=0,"",IF(COUNTA(A1611:D1611,G1611:I1611)&lt;7,"LENGKAPI",IF(H1611+I1611&gt;N(F1611)+G1611,"ABNORMAL",IF(COUNTIFS($A$2:$A$2001,A1611,$B$2:$B$2001,B1611,$C$2:$C$2001,C1611,$D$2:$D$2001,D1611)&gt;1,"DUPLIKAT","OK"))))</f>
        <v/>
      </c>
    </row>
    <row r="1612">
      <c r="A1612" s="4" t="n"/>
      <c r="B1612" s="5" t="n"/>
      <c r="C1612" s="5" t="n"/>
      <c r="D1612" s="5" t="n"/>
      <c r="E1612" s="6">
        <f>IF(A1612="","","B"&amp;TEXT(COUNT($A$2:A1612),"00000"))</f>
        <v/>
      </c>
      <c r="F1612" s="6">
        <f>IF(OR(C1612="",D1612=""),"",IFERROR(LOOKUP(2,1/(($C$1:C1611=C1612)*($D$1:D1611=D1612)*ISNUMBER($J$1:J1611)),$J$1:J1611),SUMIFS(Master!$G$2:$G$13,Master!$E$2:$E$13,C1612,Master!$F$2:$F$13,D1612)))</f>
        <v/>
      </c>
      <c r="G1612" s="5" t="n"/>
      <c r="H1612" s="5" t="n"/>
      <c r="I1612" s="5" t="n"/>
      <c r="J1612" s="6">
        <f>IF(OR(F1612="",COUNT(G1612:I1612)&lt;3),"",F1612+G1612-H1612-I1612)</f>
        <v/>
      </c>
      <c r="K1612" s="6">
        <f>IF(COUNTA(A1612:D1612,G1612:I1612)=0,"",IF(COUNTA(A1612:D1612,G1612:I1612)&lt;7,"LENGKAPI",IF(H1612+I1612&gt;N(F1612)+G1612,"ABNORMAL",IF(COUNTIFS($A$2:$A$2001,A1612,$B$2:$B$2001,B1612,$C$2:$C$2001,C1612,$D$2:$D$2001,D1612)&gt;1,"DUPLIKAT","OK"))))</f>
        <v/>
      </c>
    </row>
    <row r="1613">
      <c r="A1613" s="4" t="n"/>
      <c r="B1613" s="5" t="n"/>
      <c r="C1613" s="5" t="n"/>
      <c r="D1613" s="5" t="n"/>
      <c r="E1613" s="6">
        <f>IF(A1613="","","B"&amp;TEXT(COUNT($A$2:A1613),"00000"))</f>
        <v/>
      </c>
      <c r="F1613" s="6">
        <f>IF(OR(C1613="",D1613=""),"",IFERROR(LOOKUP(2,1/(($C$1:C1612=C1613)*($D$1:D1612=D1613)*ISNUMBER($J$1:J1612)),$J$1:J1612),SUMIFS(Master!$G$2:$G$13,Master!$E$2:$E$13,C1613,Master!$F$2:$F$13,D1613)))</f>
        <v/>
      </c>
      <c r="G1613" s="5" t="n"/>
      <c r="H1613" s="5" t="n"/>
      <c r="I1613" s="5" t="n"/>
      <c r="J1613" s="6">
        <f>IF(OR(F1613="",COUNT(G1613:I1613)&lt;3),"",F1613+G1613-H1613-I1613)</f>
        <v/>
      </c>
      <c r="K1613" s="6">
        <f>IF(COUNTA(A1613:D1613,G1613:I1613)=0,"",IF(COUNTA(A1613:D1613,G1613:I1613)&lt;7,"LENGKAPI",IF(H1613+I1613&gt;N(F1613)+G1613,"ABNORMAL",IF(COUNTIFS($A$2:$A$2001,A1613,$B$2:$B$2001,B1613,$C$2:$C$2001,C1613,$D$2:$D$2001,D1613)&gt;1,"DUPLIKAT","OK"))))</f>
        <v/>
      </c>
    </row>
    <row r="1614">
      <c r="A1614" s="4" t="n"/>
      <c r="B1614" s="5" t="n"/>
      <c r="C1614" s="5" t="n"/>
      <c r="D1614" s="5" t="n"/>
      <c r="E1614" s="6">
        <f>IF(A1614="","","B"&amp;TEXT(COUNT($A$2:A1614),"00000"))</f>
        <v/>
      </c>
      <c r="F1614" s="6">
        <f>IF(OR(C1614="",D1614=""),"",IFERROR(LOOKUP(2,1/(($C$1:C1613=C1614)*($D$1:D1613=D1614)*ISNUMBER($J$1:J1613)),$J$1:J1613),SUMIFS(Master!$G$2:$G$13,Master!$E$2:$E$13,C1614,Master!$F$2:$F$13,D1614)))</f>
        <v/>
      </c>
      <c r="G1614" s="5" t="n"/>
      <c r="H1614" s="5" t="n"/>
      <c r="I1614" s="5" t="n"/>
      <c r="J1614" s="6">
        <f>IF(OR(F1614="",COUNT(G1614:I1614)&lt;3),"",F1614+G1614-H1614-I1614)</f>
        <v/>
      </c>
      <c r="K1614" s="6">
        <f>IF(COUNTA(A1614:D1614,G1614:I1614)=0,"",IF(COUNTA(A1614:D1614,G1614:I1614)&lt;7,"LENGKAPI",IF(H1614+I1614&gt;N(F1614)+G1614,"ABNORMAL",IF(COUNTIFS($A$2:$A$2001,A1614,$B$2:$B$2001,B1614,$C$2:$C$2001,C1614,$D$2:$D$2001,D1614)&gt;1,"DUPLIKAT","OK"))))</f>
        <v/>
      </c>
    </row>
    <row r="1615">
      <c r="A1615" s="4" t="n"/>
      <c r="B1615" s="5" t="n"/>
      <c r="C1615" s="5" t="n"/>
      <c r="D1615" s="5" t="n"/>
      <c r="E1615" s="6">
        <f>IF(A1615="","","B"&amp;TEXT(COUNT($A$2:A1615),"00000"))</f>
        <v/>
      </c>
      <c r="F1615" s="6">
        <f>IF(OR(C1615="",D1615=""),"",IFERROR(LOOKUP(2,1/(($C$1:C1614=C1615)*($D$1:D1614=D1615)*ISNUMBER($J$1:J1614)),$J$1:J1614),SUMIFS(Master!$G$2:$G$13,Master!$E$2:$E$13,C1615,Master!$F$2:$F$13,D1615)))</f>
        <v/>
      </c>
      <c r="G1615" s="5" t="n"/>
      <c r="H1615" s="5" t="n"/>
      <c r="I1615" s="5" t="n"/>
      <c r="J1615" s="6">
        <f>IF(OR(F1615="",COUNT(G1615:I1615)&lt;3),"",F1615+G1615-H1615-I1615)</f>
        <v/>
      </c>
      <c r="K1615" s="6">
        <f>IF(COUNTA(A1615:D1615,G1615:I1615)=0,"",IF(COUNTA(A1615:D1615,G1615:I1615)&lt;7,"LENGKAPI",IF(H1615+I1615&gt;N(F1615)+G1615,"ABNORMAL",IF(COUNTIFS($A$2:$A$2001,A1615,$B$2:$B$2001,B1615,$C$2:$C$2001,C1615,$D$2:$D$2001,D1615)&gt;1,"DUPLIKAT","OK"))))</f>
        <v/>
      </c>
    </row>
    <row r="1616">
      <c r="A1616" s="4" t="n"/>
      <c r="B1616" s="5" t="n"/>
      <c r="C1616" s="5" t="n"/>
      <c r="D1616" s="5" t="n"/>
      <c r="E1616" s="6">
        <f>IF(A1616="","","B"&amp;TEXT(COUNT($A$2:A1616),"00000"))</f>
        <v/>
      </c>
      <c r="F1616" s="6">
        <f>IF(OR(C1616="",D1616=""),"",IFERROR(LOOKUP(2,1/(($C$1:C1615=C1616)*($D$1:D1615=D1616)*ISNUMBER($J$1:J1615)),$J$1:J1615),SUMIFS(Master!$G$2:$G$13,Master!$E$2:$E$13,C1616,Master!$F$2:$F$13,D1616)))</f>
        <v/>
      </c>
      <c r="G1616" s="5" t="n"/>
      <c r="H1616" s="5" t="n"/>
      <c r="I1616" s="5" t="n"/>
      <c r="J1616" s="6">
        <f>IF(OR(F1616="",COUNT(G1616:I1616)&lt;3),"",F1616+G1616-H1616-I1616)</f>
        <v/>
      </c>
      <c r="K1616" s="6">
        <f>IF(COUNTA(A1616:D1616,G1616:I1616)=0,"",IF(COUNTA(A1616:D1616,G1616:I1616)&lt;7,"LENGKAPI",IF(H1616+I1616&gt;N(F1616)+G1616,"ABNORMAL",IF(COUNTIFS($A$2:$A$2001,A1616,$B$2:$B$2001,B1616,$C$2:$C$2001,C1616,$D$2:$D$2001,D1616)&gt;1,"DUPLIKAT","OK"))))</f>
        <v/>
      </c>
    </row>
    <row r="1617">
      <c r="A1617" s="4" t="n"/>
      <c r="B1617" s="5" t="n"/>
      <c r="C1617" s="5" t="n"/>
      <c r="D1617" s="5" t="n"/>
      <c r="E1617" s="6">
        <f>IF(A1617="","","B"&amp;TEXT(COUNT($A$2:A1617),"00000"))</f>
        <v/>
      </c>
      <c r="F1617" s="6">
        <f>IF(OR(C1617="",D1617=""),"",IFERROR(LOOKUP(2,1/(($C$1:C1616=C1617)*($D$1:D1616=D1617)*ISNUMBER($J$1:J1616)),$J$1:J1616),SUMIFS(Master!$G$2:$G$13,Master!$E$2:$E$13,C1617,Master!$F$2:$F$13,D1617)))</f>
        <v/>
      </c>
      <c r="G1617" s="5" t="n"/>
      <c r="H1617" s="5" t="n"/>
      <c r="I1617" s="5" t="n"/>
      <c r="J1617" s="6">
        <f>IF(OR(F1617="",COUNT(G1617:I1617)&lt;3),"",F1617+G1617-H1617-I1617)</f>
        <v/>
      </c>
      <c r="K1617" s="6">
        <f>IF(COUNTA(A1617:D1617,G1617:I1617)=0,"",IF(COUNTA(A1617:D1617,G1617:I1617)&lt;7,"LENGKAPI",IF(H1617+I1617&gt;N(F1617)+G1617,"ABNORMAL",IF(COUNTIFS($A$2:$A$2001,A1617,$B$2:$B$2001,B1617,$C$2:$C$2001,C1617,$D$2:$D$2001,D1617)&gt;1,"DUPLIKAT","OK"))))</f>
        <v/>
      </c>
    </row>
    <row r="1618">
      <c r="A1618" s="4" t="n"/>
      <c r="B1618" s="5" t="n"/>
      <c r="C1618" s="5" t="n"/>
      <c r="D1618" s="5" t="n"/>
      <c r="E1618" s="6">
        <f>IF(A1618="","","B"&amp;TEXT(COUNT($A$2:A1618),"00000"))</f>
        <v/>
      </c>
      <c r="F1618" s="6">
        <f>IF(OR(C1618="",D1618=""),"",IFERROR(LOOKUP(2,1/(($C$1:C1617=C1618)*($D$1:D1617=D1618)*ISNUMBER($J$1:J1617)),$J$1:J1617),SUMIFS(Master!$G$2:$G$13,Master!$E$2:$E$13,C1618,Master!$F$2:$F$13,D1618)))</f>
        <v/>
      </c>
      <c r="G1618" s="5" t="n"/>
      <c r="H1618" s="5" t="n"/>
      <c r="I1618" s="5" t="n"/>
      <c r="J1618" s="6">
        <f>IF(OR(F1618="",COUNT(G1618:I1618)&lt;3),"",F1618+G1618-H1618-I1618)</f>
        <v/>
      </c>
      <c r="K1618" s="6">
        <f>IF(COUNTA(A1618:D1618,G1618:I1618)=0,"",IF(COUNTA(A1618:D1618,G1618:I1618)&lt;7,"LENGKAPI",IF(H1618+I1618&gt;N(F1618)+G1618,"ABNORMAL",IF(COUNTIFS($A$2:$A$2001,A1618,$B$2:$B$2001,B1618,$C$2:$C$2001,C1618,$D$2:$D$2001,D1618)&gt;1,"DUPLIKAT","OK"))))</f>
        <v/>
      </c>
    </row>
    <row r="1619">
      <c r="A1619" s="4" t="n"/>
      <c r="B1619" s="5" t="n"/>
      <c r="C1619" s="5" t="n"/>
      <c r="D1619" s="5" t="n"/>
      <c r="E1619" s="6">
        <f>IF(A1619="","","B"&amp;TEXT(COUNT($A$2:A1619),"00000"))</f>
        <v/>
      </c>
      <c r="F1619" s="6">
        <f>IF(OR(C1619="",D1619=""),"",IFERROR(LOOKUP(2,1/(($C$1:C1618=C1619)*($D$1:D1618=D1619)*ISNUMBER($J$1:J1618)),$J$1:J1618),SUMIFS(Master!$G$2:$G$13,Master!$E$2:$E$13,C1619,Master!$F$2:$F$13,D1619)))</f>
        <v/>
      </c>
      <c r="G1619" s="5" t="n"/>
      <c r="H1619" s="5" t="n"/>
      <c r="I1619" s="5" t="n"/>
      <c r="J1619" s="6">
        <f>IF(OR(F1619="",COUNT(G1619:I1619)&lt;3),"",F1619+G1619-H1619-I1619)</f>
        <v/>
      </c>
      <c r="K1619" s="6">
        <f>IF(COUNTA(A1619:D1619,G1619:I1619)=0,"",IF(COUNTA(A1619:D1619,G1619:I1619)&lt;7,"LENGKAPI",IF(H1619+I1619&gt;N(F1619)+G1619,"ABNORMAL",IF(COUNTIFS($A$2:$A$2001,A1619,$B$2:$B$2001,B1619,$C$2:$C$2001,C1619,$D$2:$D$2001,D1619)&gt;1,"DUPLIKAT","OK"))))</f>
        <v/>
      </c>
    </row>
    <row r="1620">
      <c r="A1620" s="4" t="n"/>
      <c r="B1620" s="5" t="n"/>
      <c r="C1620" s="5" t="n"/>
      <c r="D1620" s="5" t="n"/>
      <c r="E1620" s="6">
        <f>IF(A1620="","","B"&amp;TEXT(COUNT($A$2:A1620),"00000"))</f>
        <v/>
      </c>
      <c r="F1620" s="6">
        <f>IF(OR(C1620="",D1620=""),"",IFERROR(LOOKUP(2,1/(($C$1:C1619=C1620)*($D$1:D1619=D1620)*ISNUMBER($J$1:J1619)),$J$1:J1619),SUMIFS(Master!$G$2:$G$13,Master!$E$2:$E$13,C1620,Master!$F$2:$F$13,D1620)))</f>
        <v/>
      </c>
      <c r="G1620" s="5" t="n"/>
      <c r="H1620" s="5" t="n"/>
      <c r="I1620" s="5" t="n"/>
      <c r="J1620" s="6">
        <f>IF(OR(F1620="",COUNT(G1620:I1620)&lt;3),"",F1620+G1620-H1620-I1620)</f>
        <v/>
      </c>
      <c r="K1620" s="6">
        <f>IF(COUNTA(A1620:D1620,G1620:I1620)=0,"",IF(COUNTA(A1620:D1620,G1620:I1620)&lt;7,"LENGKAPI",IF(H1620+I1620&gt;N(F1620)+G1620,"ABNORMAL",IF(COUNTIFS($A$2:$A$2001,A1620,$B$2:$B$2001,B1620,$C$2:$C$2001,C1620,$D$2:$D$2001,D1620)&gt;1,"DUPLIKAT","OK"))))</f>
        <v/>
      </c>
    </row>
    <row r="1621">
      <c r="A1621" s="4" t="n"/>
      <c r="B1621" s="5" t="n"/>
      <c r="C1621" s="5" t="n"/>
      <c r="D1621" s="5" t="n"/>
      <c r="E1621" s="6">
        <f>IF(A1621="","","B"&amp;TEXT(COUNT($A$2:A1621),"00000"))</f>
        <v/>
      </c>
      <c r="F1621" s="6">
        <f>IF(OR(C1621="",D1621=""),"",IFERROR(LOOKUP(2,1/(($C$1:C1620=C1621)*($D$1:D1620=D1621)*ISNUMBER($J$1:J1620)),$J$1:J1620),SUMIFS(Master!$G$2:$G$13,Master!$E$2:$E$13,C1621,Master!$F$2:$F$13,D1621)))</f>
        <v/>
      </c>
      <c r="G1621" s="5" t="n"/>
      <c r="H1621" s="5" t="n"/>
      <c r="I1621" s="5" t="n"/>
      <c r="J1621" s="6">
        <f>IF(OR(F1621="",COUNT(G1621:I1621)&lt;3),"",F1621+G1621-H1621-I1621)</f>
        <v/>
      </c>
      <c r="K1621" s="6">
        <f>IF(COUNTA(A1621:D1621,G1621:I1621)=0,"",IF(COUNTA(A1621:D1621,G1621:I1621)&lt;7,"LENGKAPI",IF(H1621+I1621&gt;N(F1621)+G1621,"ABNORMAL",IF(COUNTIFS($A$2:$A$2001,A1621,$B$2:$B$2001,B1621,$C$2:$C$2001,C1621,$D$2:$D$2001,D1621)&gt;1,"DUPLIKAT","OK"))))</f>
        <v/>
      </c>
    </row>
    <row r="1622">
      <c r="A1622" s="4" t="n"/>
      <c r="B1622" s="5" t="n"/>
      <c r="C1622" s="5" t="n"/>
      <c r="D1622" s="5" t="n"/>
      <c r="E1622" s="6">
        <f>IF(A1622="","","B"&amp;TEXT(COUNT($A$2:A1622),"00000"))</f>
        <v/>
      </c>
      <c r="F1622" s="6">
        <f>IF(OR(C1622="",D1622=""),"",IFERROR(LOOKUP(2,1/(($C$1:C1621=C1622)*($D$1:D1621=D1622)*ISNUMBER($J$1:J1621)),$J$1:J1621),SUMIFS(Master!$G$2:$G$13,Master!$E$2:$E$13,C1622,Master!$F$2:$F$13,D1622)))</f>
        <v/>
      </c>
      <c r="G1622" s="5" t="n"/>
      <c r="H1622" s="5" t="n"/>
      <c r="I1622" s="5" t="n"/>
      <c r="J1622" s="6">
        <f>IF(OR(F1622="",COUNT(G1622:I1622)&lt;3),"",F1622+G1622-H1622-I1622)</f>
        <v/>
      </c>
      <c r="K1622" s="6">
        <f>IF(COUNTA(A1622:D1622,G1622:I1622)=0,"",IF(COUNTA(A1622:D1622,G1622:I1622)&lt;7,"LENGKAPI",IF(H1622+I1622&gt;N(F1622)+G1622,"ABNORMAL",IF(COUNTIFS($A$2:$A$2001,A1622,$B$2:$B$2001,B1622,$C$2:$C$2001,C1622,$D$2:$D$2001,D1622)&gt;1,"DUPLIKAT","OK"))))</f>
        <v/>
      </c>
    </row>
    <row r="1623">
      <c r="A1623" s="4" t="n"/>
      <c r="B1623" s="5" t="n"/>
      <c r="C1623" s="5" t="n"/>
      <c r="D1623" s="5" t="n"/>
      <c r="E1623" s="6">
        <f>IF(A1623="","","B"&amp;TEXT(COUNT($A$2:A1623),"00000"))</f>
        <v/>
      </c>
      <c r="F1623" s="6">
        <f>IF(OR(C1623="",D1623=""),"",IFERROR(LOOKUP(2,1/(($C$1:C1622=C1623)*($D$1:D1622=D1623)*ISNUMBER($J$1:J1622)),$J$1:J1622),SUMIFS(Master!$G$2:$G$13,Master!$E$2:$E$13,C1623,Master!$F$2:$F$13,D1623)))</f>
        <v/>
      </c>
      <c r="G1623" s="5" t="n"/>
      <c r="H1623" s="5" t="n"/>
      <c r="I1623" s="5" t="n"/>
      <c r="J1623" s="6">
        <f>IF(OR(F1623="",COUNT(G1623:I1623)&lt;3),"",F1623+G1623-H1623-I1623)</f>
        <v/>
      </c>
      <c r="K1623" s="6">
        <f>IF(COUNTA(A1623:D1623,G1623:I1623)=0,"",IF(COUNTA(A1623:D1623,G1623:I1623)&lt;7,"LENGKAPI",IF(H1623+I1623&gt;N(F1623)+G1623,"ABNORMAL",IF(COUNTIFS($A$2:$A$2001,A1623,$B$2:$B$2001,B1623,$C$2:$C$2001,C1623,$D$2:$D$2001,D1623)&gt;1,"DUPLIKAT","OK"))))</f>
        <v/>
      </c>
    </row>
    <row r="1624">
      <c r="A1624" s="4" t="n"/>
      <c r="B1624" s="5" t="n"/>
      <c r="C1624" s="5" t="n"/>
      <c r="D1624" s="5" t="n"/>
      <c r="E1624" s="6">
        <f>IF(A1624="","","B"&amp;TEXT(COUNT($A$2:A1624),"00000"))</f>
        <v/>
      </c>
      <c r="F1624" s="6">
        <f>IF(OR(C1624="",D1624=""),"",IFERROR(LOOKUP(2,1/(($C$1:C1623=C1624)*($D$1:D1623=D1624)*ISNUMBER($J$1:J1623)),$J$1:J1623),SUMIFS(Master!$G$2:$G$13,Master!$E$2:$E$13,C1624,Master!$F$2:$F$13,D1624)))</f>
        <v/>
      </c>
      <c r="G1624" s="5" t="n"/>
      <c r="H1624" s="5" t="n"/>
      <c r="I1624" s="5" t="n"/>
      <c r="J1624" s="6">
        <f>IF(OR(F1624="",COUNT(G1624:I1624)&lt;3),"",F1624+G1624-H1624-I1624)</f>
        <v/>
      </c>
      <c r="K1624" s="6">
        <f>IF(COUNTA(A1624:D1624,G1624:I1624)=0,"",IF(COUNTA(A1624:D1624,G1624:I1624)&lt;7,"LENGKAPI",IF(H1624+I1624&gt;N(F1624)+G1624,"ABNORMAL",IF(COUNTIFS($A$2:$A$2001,A1624,$B$2:$B$2001,B1624,$C$2:$C$2001,C1624,$D$2:$D$2001,D1624)&gt;1,"DUPLIKAT","OK"))))</f>
        <v/>
      </c>
    </row>
    <row r="1625">
      <c r="A1625" s="4" t="n"/>
      <c r="B1625" s="5" t="n"/>
      <c r="C1625" s="5" t="n"/>
      <c r="D1625" s="5" t="n"/>
      <c r="E1625" s="6">
        <f>IF(A1625="","","B"&amp;TEXT(COUNT($A$2:A1625),"00000"))</f>
        <v/>
      </c>
      <c r="F1625" s="6">
        <f>IF(OR(C1625="",D1625=""),"",IFERROR(LOOKUP(2,1/(($C$1:C1624=C1625)*($D$1:D1624=D1625)*ISNUMBER($J$1:J1624)),$J$1:J1624),SUMIFS(Master!$G$2:$G$13,Master!$E$2:$E$13,C1625,Master!$F$2:$F$13,D1625)))</f>
        <v/>
      </c>
      <c r="G1625" s="5" t="n"/>
      <c r="H1625" s="5" t="n"/>
      <c r="I1625" s="5" t="n"/>
      <c r="J1625" s="6">
        <f>IF(OR(F1625="",COUNT(G1625:I1625)&lt;3),"",F1625+G1625-H1625-I1625)</f>
        <v/>
      </c>
      <c r="K1625" s="6">
        <f>IF(COUNTA(A1625:D1625,G1625:I1625)=0,"",IF(COUNTA(A1625:D1625,G1625:I1625)&lt;7,"LENGKAPI",IF(H1625+I1625&gt;N(F1625)+G1625,"ABNORMAL",IF(COUNTIFS($A$2:$A$2001,A1625,$B$2:$B$2001,B1625,$C$2:$C$2001,C1625,$D$2:$D$2001,D1625)&gt;1,"DUPLIKAT","OK"))))</f>
        <v/>
      </c>
    </row>
    <row r="1626">
      <c r="A1626" s="4" t="n"/>
      <c r="B1626" s="5" t="n"/>
      <c r="C1626" s="5" t="n"/>
      <c r="D1626" s="5" t="n"/>
      <c r="E1626" s="6">
        <f>IF(A1626="","","B"&amp;TEXT(COUNT($A$2:A1626),"00000"))</f>
        <v/>
      </c>
      <c r="F1626" s="6">
        <f>IF(OR(C1626="",D1626=""),"",IFERROR(LOOKUP(2,1/(($C$1:C1625=C1626)*($D$1:D1625=D1626)*ISNUMBER($J$1:J1625)),$J$1:J1625),SUMIFS(Master!$G$2:$G$13,Master!$E$2:$E$13,C1626,Master!$F$2:$F$13,D1626)))</f>
        <v/>
      </c>
      <c r="G1626" s="5" t="n"/>
      <c r="H1626" s="5" t="n"/>
      <c r="I1626" s="5" t="n"/>
      <c r="J1626" s="6">
        <f>IF(OR(F1626="",COUNT(G1626:I1626)&lt;3),"",F1626+G1626-H1626-I1626)</f>
        <v/>
      </c>
      <c r="K1626" s="6">
        <f>IF(COUNTA(A1626:D1626,G1626:I1626)=0,"",IF(COUNTA(A1626:D1626,G1626:I1626)&lt;7,"LENGKAPI",IF(H1626+I1626&gt;N(F1626)+G1626,"ABNORMAL",IF(COUNTIFS($A$2:$A$2001,A1626,$B$2:$B$2001,B1626,$C$2:$C$2001,C1626,$D$2:$D$2001,D1626)&gt;1,"DUPLIKAT","OK"))))</f>
        <v/>
      </c>
    </row>
    <row r="1627">
      <c r="A1627" s="4" t="n"/>
      <c r="B1627" s="5" t="n"/>
      <c r="C1627" s="5" t="n"/>
      <c r="D1627" s="5" t="n"/>
      <c r="E1627" s="6">
        <f>IF(A1627="","","B"&amp;TEXT(COUNT($A$2:A1627),"00000"))</f>
        <v/>
      </c>
      <c r="F1627" s="6">
        <f>IF(OR(C1627="",D1627=""),"",IFERROR(LOOKUP(2,1/(($C$1:C1626=C1627)*($D$1:D1626=D1627)*ISNUMBER($J$1:J1626)),$J$1:J1626),SUMIFS(Master!$G$2:$G$13,Master!$E$2:$E$13,C1627,Master!$F$2:$F$13,D1627)))</f>
        <v/>
      </c>
      <c r="G1627" s="5" t="n"/>
      <c r="H1627" s="5" t="n"/>
      <c r="I1627" s="5" t="n"/>
      <c r="J1627" s="6">
        <f>IF(OR(F1627="",COUNT(G1627:I1627)&lt;3),"",F1627+G1627-H1627-I1627)</f>
        <v/>
      </c>
      <c r="K1627" s="6">
        <f>IF(COUNTA(A1627:D1627,G1627:I1627)=0,"",IF(COUNTA(A1627:D1627,G1627:I1627)&lt;7,"LENGKAPI",IF(H1627+I1627&gt;N(F1627)+G1627,"ABNORMAL",IF(COUNTIFS($A$2:$A$2001,A1627,$B$2:$B$2001,B1627,$C$2:$C$2001,C1627,$D$2:$D$2001,D1627)&gt;1,"DUPLIKAT","OK"))))</f>
        <v/>
      </c>
    </row>
    <row r="1628">
      <c r="A1628" s="4" t="n"/>
      <c r="B1628" s="5" t="n"/>
      <c r="C1628" s="5" t="n"/>
      <c r="D1628" s="5" t="n"/>
      <c r="E1628" s="6">
        <f>IF(A1628="","","B"&amp;TEXT(COUNT($A$2:A1628),"00000"))</f>
        <v/>
      </c>
      <c r="F1628" s="6">
        <f>IF(OR(C1628="",D1628=""),"",IFERROR(LOOKUP(2,1/(($C$1:C1627=C1628)*($D$1:D1627=D1628)*ISNUMBER($J$1:J1627)),$J$1:J1627),SUMIFS(Master!$G$2:$G$13,Master!$E$2:$E$13,C1628,Master!$F$2:$F$13,D1628)))</f>
        <v/>
      </c>
      <c r="G1628" s="5" t="n"/>
      <c r="H1628" s="5" t="n"/>
      <c r="I1628" s="5" t="n"/>
      <c r="J1628" s="6">
        <f>IF(OR(F1628="",COUNT(G1628:I1628)&lt;3),"",F1628+G1628-H1628-I1628)</f>
        <v/>
      </c>
      <c r="K1628" s="6">
        <f>IF(COUNTA(A1628:D1628,G1628:I1628)=0,"",IF(COUNTA(A1628:D1628,G1628:I1628)&lt;7,"LENGKAPI",IF(H1628+I1628&gt;N(F1628)+G1628,"ABNORMAL",IF(COUNTIFS($A$2:$A$2001,A1628,$B$2:$B$2001,B1628,$C$2:$C$2001,C1628,$D$2:$D$2001,D1628)&gt;1,"DUPLIKAT","OK"))))</f>
        <v/>
      </c>
    </row>
    <row r="1629">
      <c r="A1629" s="4" t="n"/>
      <c r="B1629" s="5" t="n"/>
      <c r="C1629" s="5" t="n"/>
      <c r="D1629" s="5" t="n"/>
      <c r="E1629" s="6">
        <f>IF(A1629="","","B"&amp;TEXT(COUNT($A$2:A1629),"00000"))</f>
        <v/>
      </c>
      <c r="F1629" s="6">
        <f>IF(OR(C1629="",D1629=""),"",IFERROR(LOOKUP(2,1/(($C$1:C1628=C1629)*($D$1:D1628=D1629)*ISNUMBER($J$1:J1628)),$J$1:J1628),SUMIFS(Master!$G$2:$G$13,Master!$E$2:$E$13,C1629,Master!$F$2:$F$13,D1629)))</f>
        <v/>
      </c>
      <c r="G1629" s="5" t="n"/>
      <c r="H1629" s="5" t="n"/>
      <c r="I1629" s="5" t="n"/>
      <c r="J1629" s="6">
        <f>IF(OR(F1629="",COUNT(G1629:I1629)&lt;3),"",F1629+G1629-H1629-I1629)</f>
        <v/>
      </c>
      <c r="K1629" s="6">
        <f>IF(COUNTA(A1629:D1629,G1629:I1629)=0,"",IF(COUNTA(A1629:D1629,G1629:I1629)&lt;7,"LENGKAPI",IF(H1629+I1629&gt;N(F1629)+G1629,"ABNORMAL",IF(COUNTIFS($A$2:$A$2001,A1629,$B$2:$B$2001,B1629,$C$2:$C$2001,C1629,$D$2:$D$2001,D1629)&gt;1,"DUPLIKAT","OK"))))</f>
        <v/>
      </c>
    </row>
    <row r="1630">
      <c r="A1630" s="4" t="n"/>
      <c r="B1630" s="5" t="n"/>
      <c r="C1630" s="5" t="n"/>
      <c r="D1630" s="5" t="n"/>
      <c r="E1630" s="6">
        <f>IF(A1630="","","B"&amp;TEXT(COUNT($A$2:A1630),"00000"))</f>
        <v/>
      </c>
      <c r="F1630" s="6">
        <f>IF(OR(C1630="",D1630=""),"",IFERROR(LOOKUP(2,1/(($C$1:C1629=C1630)*($D$1:D1629=D1630)*ISNUMBER($J$1:J1629)),$J$1:J1629),SUMIFS(Master!$G$2:$G$13,Master!$E$2:$E$13,C1630,Master!$F$2:$F$13,D1630)))</f>
        <v/>
      </c>
      <c r="G1630" s="5" t="n"/>
      <c r="H1630" s="5" t="n"/>
      <c r="I1630" s="5" t="n"/>
      <c r="J1630" s="6">
        <f>IF(OR(F1630="",COUNT(G1630:I1630)&lt;3),"",F1630+G1630-H1630-I1630)</f>
        <v/>
      </c>
      <c r="K1630" s="6">
        <f>IF(COUNTA(A1630:D1630,G1630:I1630)=0,"",IF(COUNTA(A1630:D1630,G1630:I1630)&lt;7,"LENGKAPI",IF(H1630+I1630&gt;N(F1630)+G1630,"ABNORMAL",IF(COUNTIFS($A$2:$A$2001,A1630,$B$2:$B$2001,B1630,$C$2:$C$2001,C1630,$D$2:$D$2001,D1630)&gt;1,"DUPLIKAT","OK"))))</f>
        <v/>
      </c>
    </row>
    <row r="1631">
      <c r="A1631" s="4" t="n"/>
      <c r="B1631" s="5" t="n"/>
      <c r="C1631" s="5" t="n"/>
      <c r="D1631" s="5" t="n"/>
      <c r="E1631" s="6">
        <f>IF(A1631="","","B"&amp;TEXT(COUNT($A$2:A1631),"00000"))</f>
        <v/>
      </c>
      <c r="F1631" s="6">
        <f>IF(OR(C1631="",D1631=""),"",IFERROR(LOOKUP(2,1/(($C$1:C1630=C1631)*($D$1:D1630=D1631)*ISNUMBER($J$1:J1630)),$J$1:J1630),SUMIFS(Master!$G$2:$G$13,Master!$E$2:$E$13,C1631,Master!$F$2:$F$13,D1631)))</f>
        <v/>
      </c>
      <c r="G1631" s="5" t="n"/>
      <c r="H1631" s="5" t="n"/>
      <c r="I1631" s="5" t="n"/>
      <c r="J1631" s="6">
        <f>IF(OR(F1631="",COUNT(G1631:I1631)&lt;3),"",F1631+G1631-H1631-I1631)</f>
        <v/>
      </c>
      <c r="K1631" s="6">
        <f>IF(COUNTA(A1631:D1631,G1631:I1631)=0,"",IF(COUNTA(A1631:D1631,G1631:I1631)&lt;7,"LENGKAPI",IF(H1631+I1631&gt;N(F1631)+G1631,"ABNORMAL",IF(COUNTIFS($A$2:$A$2001,A1631,$B$2:$B$2001,B1631,$C$2:$C$2001,C1631,$D$2:$D$2001,D1631)&gt;1,"DUPLIKAT","OK"))))</f>
        <v/>
      </c>
    </row>
    <row r="1632">
      <c r="A1632" s="4" t="n"/>
      <c r="B1632" s="5" t="n"/>
      <c r="C1632" s="5" t="n"/>
      <c r="D1632" s="5" t="n"/>
      <c r="E1632" s="6">
        <f>IF(A1632="","","B"&amp;TEXT(COUNT($A$2:A1632),"00000"))</f>
        <v/>
      </c>
      <c r="F1632" s="6">
        <f>IF(OR(C1632="",D1632=""),"",IFERROR(LOOKUP(2,1/(($C$1:C1631=C1632)*($D$1:D1631=D1632)*ISNUMBER($J$1:J1631)),$J$1:J1631),SUMIFS(Master!$G$2:$G$13,Master!$E$2:$E$13,C1632,Master!$F$2:$F$13,D1632)))</f>
        <v/>
      </c>
      <c r="G1632" s="5" t="n"/>
      <c r="H1632" s="5" t="n"/>
      <c r="I1632" s="5" t="n"/>
      <c r="J1632" s="6">
        <f>IF(OR(F1632="",COUNT(G1632:I1632)&lt;3),"",F1632+G1632-H1632-I1632)</f>
        <v/>
      </c>
      <c r="K1632" s="6">
        <f>IF(COUNTA(A1632:D1632,G1632:I1632)=0,"",IF(COUNTA(A1632:D1632,G1632:I1632)&lt;7,"LENGKAPI",IF(H1632+I1632&gt;N(F1632)+G1632,"ABNORMAL",IF(COUNTIFS($A$2:$A$2001,A1632,$B$2:$B$2001,B1632,$C$2:$C$2001,C1632,$D$2:$D$2001,D1632)&gt;1,"DUPLIKAT","OK"))))</f>
        <v/>
      </c>
    </row>
    <row r="1633">
      <c r="A1633" s="4" t="n"/>
      <c r="B1633" s="5" t="n"/>
      <c r="C1633" s="5" t="n"/>
      <c r="D1633" s="5" t="n"/>
      <c r="E1633" s="6">
        <f>IF(A1633="","","B"&amp;TEXT(COUNT($A$2:A1633),"00000"))</f>
        <v/>
      </c>
      <c r="F1633" s="6">
        <f>IF(OR(C1633="",D1633=""),"",IFERROR(LOOKUP(2,1/(($C$1:C1632=C1633)*($D$1:D1632=D1633)*ISNUMBER($J$1:J1632)),$J$1:J1632),SUMIFS(Master!$G$2:$G$13,Master!$E$2:$E$13,C1633,Master!$F$2:$F$13,D1633)))</f>
        <v/>
      </c>
      <c r="G1633" s="5" t="n"/>
      <c r="H1633" s="5" t="n"/>
      <c r="I1633" s="5" t="n"/>
      <c r="J1633" s="6">
        <f>IF(OR(F1633="",COUNT(G1633:I1633)&lt;3),"",F1633+G1633-H1633-I1633)</f>
        <v/>
      </c>
      <c r="K1633" s="6">
        <f>IF(COUNTA(A1633:D1633,G1633:I1633)=0,"",IF(COUNTA(A1633:D1633,G1633:I1633)&lt;7,"LENGKAPI",IF(H1633+I1633&gt;N(F1633)+G1633,"ABNORMAL",IF(COUNTIFS($A$2:$A$2001,A1633,$B$2:$B$2001,B1633,$C$2:$C$2001,C1633,$D$2:$D$2001,D1633)&gt;1,"DUPLIKAT","OK"))))</f>
        <v/>
      </c>
    </row>
    <row r="1634">
      <c r="A1634" s="4" t="n"/>
      <c r="B1634" s="5" t="n"/>
      <c r="C1634" s="5" t="n"/>
      <c r="D1634" s="5" t="n"/>
      <c r="E1634" s="6">
        <f>IF(A1634="","","B"&amp;TEXT(COUNT($A$2:A1634),"00000"))</f>
        <v/>
      </c>
      <c r="F1634" s="6">
        <f>IF(OR(C1634="",D1634=""),"",IFERROR(LOOKUP(2,1/(($C$1:C1633=C1634)*($D$1:D1633=D1634)*ISNUMBER($J$1:J1633)),$J$1:J1633),SUMIFS(Master!$G$2:$G$13,Master!$E$2:$E$13,C1634,Master!$F$2:$F$13,D1634)))</f>
        <v/>
      </c>
      <c r="G1634" s="5" t="n"/>
      <c r="H1634" s="5" t="n"/>
      <c r="I1634" s="5" t="n"/>
      <c r="J1634" s="6">
        <f>IF(OR(F1634="",COUNT(G1634:I1634)&lt;3),"",F1634+G1634-H1634-I1634)</f>
        <v/>
      </c>
      <c r="K1634" s="6">
        <f>IF(COUNTA(A1634:D1634,G1634:I1634)=0,"",IF(COUNTA(A1634:D1634,G1634:I1634)&lt;7,"LENGKAPI",IF(H1634+I1634&gt;N(F1634)+G1634,"ABNORMAL",IF(COUNTIFS($A$2:$A$2001,A1634,$B$2:$B$2001,B1634,$C$2:$C$2001,C1634,$D$2:$D$2001,D1634)&gt;1,"DUPLIKAT","OK"))))</f>
        <v/>
      </c>
    </row>
    <row r="1635">
      <c r="A1635" s="4" t="n"/>
      <c r="B1635" s="5" t="n"/>
      <c r="C1635" s="5" t="n"/>
      <c r="D1635" s="5" t="n"/>
      <c r="E1635" s="6">
        <f>IF(A1635="","","B"&amp;TEXT(COUNT($A$2:A1635),"00000"))</f>
        <v/>
      </c>
      <c r="F1635" s="6">
        <f>IF(OR(C1635="",D1635=""),"",IFERROR(LOOKUP(2,1/(($C$1:C1634=C1635)*($D$1:D1634=D1635)*ISNUMBER($J$1:J1634)),$J$1:J1634),SUMIFS(Master!$G$2:$G$13,Master!$E$2:$E$13,C1635,Master!$F$2:$F$13,D1635)))</f>
        <v/>
      </c>
      <c r="G1635" s="5" t="n"/>
      <c r="H1635" s="5" t="n"/>
      <c r="I1635" s="5" t="n"/>
      <c r="J1635" s="6">
        <f>IF(OR(F1635="",COUNT(G1635:I1635)&lt;3),"",F1635+G1635-H1635-I1635)</f>
        <v/>
      </c>
      <c r="K1635" s="6">
        <f>IF(COUNTA(A1635:D1635,G1635:I1635)=0,"",IF(COUNTA(A1635:D1635,G1635:I1635)&lt;7,"LENGKAPI",IF(H1635+I1635&gt;N(F1635)+G1635,"ABNORMAL",IF(COUNTIFS($A$2:$A$2001,A1635,$B$2:$B$2001,B1635,$C$2:$C$2001,C1635,$D$2:$D$2001,D1635)&gt;1,"DUPLIKAT","OK"))))</f>
        <v/>
      </c>
    </row>
    <row r="1636">
      <c r="A1636" s="4" t="n"/>
      <c r="B1636" s="5" t="n"/>
      <c r="C1636" s="5" t="n"/>
      <c r="D1636" s="5" t="n"/>
      <c r="E1636" s="6">
        <f>IF(A1636="","","B"&amp;TEXT(COUNT($A$2:A1636),"00000"))</f>
        <v/>
      </c>
      <c r="F1636" s="6">
        <f>IF(OR(C1636="",D1636=""),"",IFERROR(LOOKUP(2,1/(($C$1:C1635=C1636)*($D$1:D1635=D1636)*ISNUMBER($J$1:J1635)),$J$1:J1635),SUMIFS(Master!$G$2:$G$13,Master!$E$2:$E$13,C1636,Master!$F$2:$F$13,D1636)))</f>
        <v/>
      </c>
      <c r="G1636" s="5" t="n"/>
      <c r="H1636" s="5" t="n"/>
      <c r="I1636" s="5" t="n"/>
      <c r="J1636" s="6">
        <f>IF(OR(F1636="",COUNT(G1636:I1636)&lt;3),"",F1636+G1636-H1636-I1636)</f>
        <v/>
      </c>
      <c r="K1636" s="6">
        <f>IF(COUNTA(A1636:D1636,G1636:I1636)=0,"",IF(COUNTA(A1636:D1636,G1636:I1636)&lt;7,"LENGKAPI",IF(H1636+I1636&gt;N(F1636)+G1636,"ABNORMAL",IF(COUNTIFS($A$2:$A$2001,A1636,$B$2:$B$2001,B1636,$C$2:$C$2001,C1636,$D$2:$D$2001,D1636)&gt;1,"DUPLIKAT","OK"))))</f>
        <v/>
      </c>
    </row>
    <row r="1637">
      <c r="A1637" s="4" t="n"/>
      <c r="B1637" s="5" t="n"/>
      <c r="C1637" s="5" t="n"/>
      <c r="D1637" s="5" t="n"/>
      <c r="E1637" s="6">
        <f>IF(A1637="","","B"&amp;TEXT(COUNT($A$2:A1637),"00000"))</f>
        <v/>
      </c>
      <c r="F1637" s="6">
        <f>IF(OR(C1637="",D1637=""),"",IFERROR(LOOKUP(2,1/(($C$1:C1636=C1637)*($D$1:D1636=D1637)*ISNUMBER($J$1:J1636)),$J$1:J1636),SUMIFS(Master!$G$2:$G$13,Master!$E$2:$E$13,C1637,Master!$F$2:$F$13,D1637)))</f>
        <v/>
      </c>
      <c r="G1637" s="5" t="n"/>
      <c r="H1637" s="5" t="n"/>
      <c r="I1637" s="5" t="n"/>
      <c r="J1637" s="6">
        <f>IF(OR(F1637="",COUNT(G1637:I1637)&lt;3),"",F1637+G1637-H1637-I1637)</f>
        <v/>
      </c>
      <c r="K1637" s="6">
        <f>IF(COUNTA(A1637:D1637,G1637:I1637)=0,"",IF(COUNTA(A1637:D1637,G1637:I1637)&lt;7,"LENGKAPI",IF(H1637+I1637&gt;N(F1637)+G1637,"ABNORMAL",IF(COUNTIFS($A$2:$A$2001,A1637,$B$2:$B$2001,B1637,$C$2:$C$2001,C1637,$D$2:$D$2001,D1637)&gt;1,"DUPLIKAT","OK"))))</f>
        <v/>
      </c>
    </row>
    <row r="1638">
      <c r="A1638" s="4" t="n"/>
      <c r="B1638" s="5" t="n"/>
      <c r="C1638" s="5" t="n"/>
      <c r="D1638" s="5" t="n"/>
      <c r="E1638" s="6">
        <f>IF(A1638="","","B"&amp;TEXT(COUNT($A$2:A1638),"00000"))</f>
        <v/>
      </c>
      <c r="F1638" s="6">
        <f>IF(OR(C1638="",D1638=""),"",IFERROR(LOOKUP(2,1/(($C$1:C1637=C1638)*($D$1:D1637=D1638)*ISNUMBER($J$1:J1637)),$J$1:J1637),SUMIFS(Master!$G$2:$G$13,Master!$E$2:$E$13,C1638,Master!$F$2:$F$13,D1638)))</f>
        <v/>
      </c>
      <c r="G1638" s="5" t="n"/>
      <c r="H1638" s="5" t="n"/>
      <c r="I1638" s="5" t="n"/>
      <c r="J1638" s="6">
        <f>IF(OR(F1638="",COUNT(G1638:I1638)&lt;3),"",F1638+G1638-H1638-I1638)</f>
        <v/>
      </c>
      <c r="K1638" s="6">
        <f>IF(COUNTA(A1638:D1638,G1638:I1638)=0,"",IF(COUNTA(A1638:D1638,G1638:I1638)&lt;7,"LENGKAPI",IF(H1638+I1638&gt;N(F1638)+G1638,"ABNORMAL",IF(COUNTIFS($A$2:$A$2001,A1638,$B$2:$B$2001,B1638,$C$2:$C$2001,C1638,$D$2:$D$2001,D1638)&gt;1,"DUPLIKAT","OK"))))</f>
        <v/>
      </c>
    </row>
    <row r="1639">
      <c r="A1639" s="4" t="n"/>
      <c r="B1639" s="5" t="n"/>
      <c r="C1639" s="5" t="n"/>
      <c r="D1639" s="5" t="n"/>
      <c r="E1639" s="6">
        <f>IF(A1639="","","B"&amp;TEXT(COUNT($A$2:A1639),"00000"))</f>
        <v/>
      </c>
      <c r="F1639" s="6">
        <f>IF(OR(C1639="",D1639=""),"",IFERROR(LOOKUP(2,1/(($C$1:C1638=C1639)*($D$1:D1638=D1639)*ISNUMBER($J$1:J1638)),$J$1:J1638),SUMIFS(Master!$G$2:$G$13,Master!$E$2:$E$13,C1639,Master!$F$2:$F$13,D1639)))</f>
        <v/>
      </c>
      <c r="G1639" s="5" t="n"/>
      <c r="H1639" s="5" t="n"/>
      <c r="I1639" s="5" t="n"/>
      <c r="J1639" s="6">
        <f>IF(OR(F1639="",COUNT(G1639:I1639)&lt;3),"",F1639+G1639-H1639-I1639)</f>
        <v/>
      </c>
      <c r="K1639" s="6">
        <f>IF(COUNTA(A1639:D1639,G1639:I1639)=0,"",IF(COUNTA(A1639:D1639,G1639:I1639)&lt;7,"LENGKAPI",IF(H1639+I1639&gt;N(F1639)+G1639,"ABNORMAL",IF(COUNTIFS($A$2:$A$2001,A1639,$B$2:$B$2001,B1639,$C$2:$C$2001,C1639,$D$2:$D$2001,D1639)&gt;1,"DUPLIKAT","OK"))))</f>
        <v/>
      </c>
    </row>
    <row r="1640">
      <c r="A1640" s="4" t="n"/>
      <c r="B1640" s="5" t="n"/>
      <c r="C1640" s="5" t="n"/>
      <c r="D1640" s="5" t="n"/>
      <c r="E1640" s="6">
        <f>IF(A1640="","","B"&amp;TEXT(COUNT($A$2:A1640),"00000"))</f>
        <v/>
      </c>
      <c r="F1640" s="6">
        <f>IF(OR(C1640="",D1640=""),"",IFERROR(LOOKUP(2,1/(($C$1:C1639=C1640)*($D$1:D1639=D1640)*ISNUMBER($J$1:J1639)),$J$1:J1639),SUMIFS(Master!$G$2:$G$13,Master!$E$2:$E$13,C1640,Master!$F$2:$F$13,D1640)))</f>
        <v/>
      </c>
      <c r="G1640" s="5" t="n"/>
      <c r="H1640" s="5" t="n"/>
      <c r="I1640" s="5" t="n"/>
      <c r="J1640" s="6">
        <f>IF(OR(F1640="",COUNT(G1640:I1640)&lt;3),"",F1640+G1640-H1640-I1640)</f>
        <v/>
      </c>
      <c r="K1640" s="6">
        <f>IF(COUNTA(A1640:D1640,G1640:I1640)=0,"",IF(COUNTA(A1640:D1640,G1640:I1640)&lt;7,"LENGKAPI",IF(H1640+I1640&gt;N(F1640)+G1640,"ABNORMAL",IF(COUNTIFS($A$2:$A$2001,A1640,$B$2:$B$2001,B1640,$C$2:$C$2001,C1640,$D$2:$D$2001,D1640)&gt;1,"DUPLIKAT","OK"))))</f>
        <v/>
      </c>
    </row>
    <row r="1641">
      <c r="A1641" s="4" t="n"/>
      <c r="B1641" s="5" t="n"/>
      <c r="C1641" s="5" t="n"/>
      <c r="D1641" s="5" t="n"/>
      <c r="E1641" s="6">
        <f>IF(A1641="","","B"&amp;TEXT(COUNT($A$2:A1641),"00000"))</f>
        <v/>
      </c>
      <c r="F1641" s="6">
        <f>IF(OR(C1641="",D1641=""),"",IFERROR(LOOKUP(2,1/(($C$1:C1640=C1641)*($D$1:D1640=D1641)*ISNUMBER($J$1:J1640)),$J$1:J1640),SUMIFS(Master!$G$2:$G$13,Master!$E$2:$E$13,C1641,Master!$F$2:$F$13,D1641)))</f>
        <v/>
      </c>
      <c r="G1641" s="5" t="n"/>
      <c r="H1641" s="5" t="n"/>
      <c r="I1641" s="5" t="n"/>
      <c r="J1641" s="6">
        <f>IF(OR(F1641="",COUNT(G1641:I1641)&lt;3),"",F1641+G1641-H1641-I1641)</f>
        <v/>
      </c>
      <c r="K1641" s="6">
        <f>IF(COUNTA(A1641:D1641,G1641:I1641)=0,"",IF(COUNTA(A1641:D1641,G1641:I1641)&lt;7,"LENGKAPI",IF(H1641+I1641&gt;N(F1641)+G1641,"ABNORMAL",IF(COUNTIFS($A$2:$A$2001,A1641,$B$2:$B$2001,B1641,$C$2:$C$2001,C1641,$D$2:$D$2001,D1641)&gt;1,"DUPLIKAT","OK"))))</f>
        <v/>
      </c>
    </row>
    <row r="1642">
      <c r="A1642" s="4" t="n"/>
      <c r="B1642" s="5" t="n"/>
      <c r="C1642" s="5" t="n"/>
      <c r="D1642" s="5" t="n"/>
      <c r="E1642" s="6">
        <f>IF(A1642="","","B"&amp;TEXT(COUNT($A$2:A1642),"00000"))</f>
        <v/>
      </c>
      <c r="F1642" s="6">
        <f>IF(OR(C1642="",D1642=""),"",IFERROR(LOOKUP(2,1/(($C$1:C1641=C1642)*($D$1:D1641=D1642)*ISNUMBER($J$1:J1641)),$J$1:J1641),SUMIFS(Master!$G$2:$G$13,Master!$E$2:$E$13,C1642,Master!$F$2:$F$13,D1642)))</f>
        <v/>
      </c>
      <c r="G1642" s="5" t="n"/>
      <c r="H1642" s="5" t="n"/>
      <c r="I1642" s="5" t="n"/>
      <c r="J1642" s="6">
        <f>IF(OR(F1642="",COUNT(G1642:I1642)&lt;3),"",F1642+G1642-H1642-I1642)</f>
        <v/>
      </c>
      <c r="K1642" s="6">
        <f>IF(COUNTA(A1642:D1642,G1642:I1642)=0,"",IF(COUNTA(A1642:D1642,G1642:I1642)&lt;7,"LENGKAPI",IF(H1642+I1642&gt;N(F1642)+G1642,"ABNORMAL",IF(COUNTIFS($A$2:$A$2001,A1642,$B$2:$B$2001,B1642,$C$2:$C$2001,C1642,$D$2:$D$2001,D1642)&gt;1,"DUPLIKAT","OK"))))</f>
        <v/>
      </c>
    </row>
    <row r="1643">
      <c r="A1643" s="4" t="n"/>
      <c r="B1643" s="5" t="n"/>
      <c r="C1643" s="5" t="n"/>
      <c r="D1643" s="5" t="n"/>
      <c r="E1643" s="6">
        <f>IF(A1643="","","B"&amp;TEXT(COUNT($A$2:A1643),"00000"))</f>
        <v/>
      </c>
      <c r="F1643" s="6">
        <f>IF(OR(C1643="",D1643=""),"",IFERROR(LOOKUP(2,1/(($C$1:C1642=C1643)*($D$1:D1642=D1643)*ISNUMBER($J$1:J1642)),$J$1:J1642),SUMIFS(Master!$G$2:$G$13,Master!$E$2:$E$13,C1643,Master!$F$2:$F$13,D1643)))</f>
        <v/>
      </c>
      <c r="G1643" s="5" t="n"/>
      <c r="H1643" s="5" t="n"/>
      <c r="I1643" s="5" t="n"/>
      <c r="J1643" s="6">
        <f>IF(OR(F1643="",COUNT(G1643:I1643)&lt;3),"",F1643+G1643-H1643-I1643)</f>
        <v/>
      </c>
      <c r="K1643" s="6">
        <f>IF(COUNTA(A1643:D1643,G1643:I1643)=0,"",IF(COUNTA(A1643:D1643,G1643:I1643)&lt;7,"LENGKAPI",IF(H1643+I1643&gt;N(F1643)+G1643,"ABNORMAL",IF(COUNTIFS($A$2:$A$2001,A1643,$B$2:$B$2001,B1643,$C$2:$C$2001,C1643,$D$2:$D$2001,D1643)&gt;1,"DUPLIKAT","OK"))))</f>
        <v/>
      </c>
    </row>
    <row r="1644">
      <c r="A1644" s="4" t="n"/>
      <c r="B1644" s="5" t="n"/>
      <c r="C1644" s="5" t="n"/>
      <c r="D1644" s="5" t="n"/>
      <c r="E1644" s="6">
        <f>IF(A1644="","","B"&amp;TEXT(COUNT($A$2:A1644),"00000"))</f>
        <v/>
      </c>
      <c r="F1644" s="6">
        <f>IF(OR(C1644="",D1644=""),"",IFERROR(LOOKUP(2,1/(($C$1:C1643=C1644)*($D$1:D1643=D1644)*ISNUMBER($J$1:J1643)),$J$1:J1643),SUMIFS(Master!$G$2:$G$13,Master!$E$2:$E$13,C1644,Master!$F$2:$F$13,D1644)))</f>
        <v/>
      </c>
      <c r="G1644" s="5" t="n"/>
      <c r="H1644" s="5" t="n"/>
      <c r="I1644" s="5" t="n"/>
      <c r="J1644" s="6">
        <f>IF(OR(F1644="",COUNT(G1644:I1644)&lt;3),"",F1644+G1644-H1644-I1644)</f>
        <v/>
      </c>
      <c r="K1644" s="6">
        <f>IF(COUNTA(A1644:D1644,G1644:I1644)=0,"",IF(COUNTA(A1644:D1644,G1644:I1644)&lt;7,"LENGKAPI",IF(H1644+I1644&gt;N(F1644)+G1644,"ABNORMAL",IF(COUNTIFS($A$2:$A$2001,A1644,$B$2:$B$2001,B1644,$C$2:$C$2001,C1644,$D$2:$D$2001,D1644)&gt;1,"DUPLIKAT","OK"))))</f>
        <v/>
      </c>
    </row>
    <row r="1645">
      <c r="A1645" s="4" t="n"/>
      <c r="B1645" s="5" t="n"/>
      <c r="C1645" s="5" t="n"/>
      <c r="D1645" s="5" t="n"/>
      <c r="E1645" s="6">
        <f>IF(A1645="","","B"&amp;TEXT(COUNT($A$2:A1645),"00000"))</f>
        <v/>
      </c>
      <c r="F1645" s="6">
        <f>IF(OR(C1645="",D1645=""),"",IFERROR(LOOKUP(2,1/(($C$1:C1644=C1645)*($D$1:D1644=D1645)*ISNUMBER($J$1:J1644)),$J$1:J1644),SUMIFS(Master!$G$2:$G$13,Master!$E$2:$E$13,C1645,Master!$F$2:$F$13,D1645)))</f>
        <v/>
      </c>
      <c r="G1645" s="5" t="n"/>
      <c r="H1645" s="5" t="n"/>
      <c r="I1645" s="5" t="n"/>
      <c r="J1645" s="6">
        <f>IF(OR(F1645="",COUNT(G1645:I1645)&lt;3),"",F1645+G1645-H1645-I1645)</f>
        <v/>
      </c>
      <c r="K1645" s="6">
        <f>IF(COUNTA(A1645:D1645,G1645:I1645)=0,"",IF(COUNTA(A1645:D1645,G1645:I1645)&lt;7,"LENGKAPI",IF(H1645+I1645&gt;N(F1645)+G1645,"ABNORMAL",IF(COUNTIFS($A$2:$A$2001,A1645,$B$2:$B$2001,B1645,$C$2:$C$2001,C1645,$D$2:$D$2001,D1645)&gt;1,"DUPLIKAT","OK"))))</f>
        <v/>
      </c>
    </row>
    <row r="1646">
      <c r="A1646" s="4" t="n"/>
      <c r="B1646" s="5" t="n"/>
      <c r="C1646" s="5" t="n"/>
      <c r="D1646" s="5" t="n"/>
      <c r="E1646" s="6">
        <f>IF(A1646="","","B"&amp;TEXT(COUNT($A$2:A1646),"00000"))</f>
        <v/>
      </c>
      <c r="F1646" s="6">
        <f>IF(OR(C1646="",D1646=""),"",IFERROR(LOOKUP(2,1/(($C$1:C1645=C1646)*($D$1:D1645=D1646)*ISNUMBER($J$1:J1645)),$J$1:J1645),SUMIFS(Master!$G$2:$G$13,Master!$E$2:$E$13,C1646,Master!$F$2:$F$13,D1646)))</f>
        <v/>
      </c>
      <c r="G1646" s="5" t="n"/>
      <c r="H1646" s="5" t="n"/>
      <c r="I1646" s="5" t="n"/>
      <c r="J1646" s="6">
        <f>IF(OR(F1646="",COUNT(G1646:I1646)&lt;3),"",F1646+G1646-H1646-I1646)</f>
        <v/>
      </c>
      <c r="K1646" s="6">
        <f>IF(COUNTA(A1646:D1646,G1646:I1646)=0,"",IF(COUNTA(A1646:D1646,G1646:I1646)&lt;7,"LENGKAPI",IF(H1646+I1646&gt;N(F1646)+G1646,"ABNORMAL",IF(COUNTIFS($A$2:$A$2001,A1646,$B$2:$B$2001,B1646,$C$2:$C$2001,C1646,$D$2:$D$2001,D1646)&gt;1,"DUPLIKAT","OK"))))</f>
        <v/>
      </c>
    </row>
    <row r="1647">
      <c r="A1647" s="4" t="n"/>
      <c r="B1647" s="5" t="n"/>
      <c r="C1647" s="5" t="n"/>
      <c r="D1647" s="5" t="n"/>
      <c r="E1647" s="6">
        <f>IF(A1647="","","B"&amp;TEXT(COUNT($A$2:A1647),"00000"))</f>
        <v/>
      </c>
      <c r="F1647" s="6">
        <f>IF(OR(C1647="",D1647=""),"",IFERROR(LOOKUP(2,1/(($C$1:C1646=C1647)*($D$1:D1646=D1647)*ISNUMBER($J$1:J1646)),$J$1:J1646),SUMIFS(Master!$G$2:$G$13,Master!$E$2:$E$13,C1647,Master!$F$2:$F$13,D1647)))</f>
        <v/>
      </c>
      <c r="G1647" s="5" t="n"/>
      <c r="H1647" s="5" t="n"/>
      <c r="I1647" s="5" t="n"/>
      <c r="J1647" s="6">
        <f>IF(OR(F1647="",COUNT(G1647:I1647)&lt;3),"",F1647+G1647-H1647-I1647)</f>
        <v/>
      </c>
      <c r="K1647" s="6">
        <f>IF(COUNTA(A1647:D1647,G1647:I1647)=0,"",IF(COUNTA(A1647:D1647,G1647:I1647)&lt;7,"LENGKAPI",IF(H1647+I1647&gt;N(F1647)+G1647,"ABNORMAL",IF(COUNTIFS($A$2:$A$2001,A1647,$B$2:$B$2001,B1647,$C$2:$C$2001,C1647,$D$2:$D$2001,D1647)&gt;1,"DUPLIKAT","OK"))))</f>
        <v/>
      </c>
    </row>
    <row r="1648">
      <c r="A1648" s="4" t="n"/>
      <c r="B1648" s="5" t="n"/>
      <c r="C1648" s="5" t="n"/>
      <c r="D1648" s="5" t="n"/>
      <c r="E1648" s="6">
        <f>IF(A1648="","","B"&amp;TEXT(COUNT($A$2:A1648),"00000"))</f>
        <v/>
      </c>
      <c r="F1648" s="6">
        <f>IF(OR(C1648="",D1648=""),"",IFERROR(LOOKUP(2,1/(($C$1:C1647=C1648)*($D$1:D1647=D1648)*ISNUMBER($J$1:J1647)),$J$1:J1647),SUMIFS(Master!$G$2:$G$13,Master!$E$2:$E$13,C1648,Master!$F$2:$F$13,D1648)))</f>
        <v/>
      </c>
      <c r="G1648" s="5" t="n"/>
      <c r="H1648" s="5" t="n"/>
      <c r="I1648" s="5" t="n"/>
      <c r="J1648" s="6">
        <f>IF(OR(F1648="",COUNT(G1648:I1648)&lt;3),"",F1648+G1648-H1648-I1648)</f>
        <v/>
      </c>
      <c r="K1648" s="6">
        <f>IF(COUNTA(A1648:D1648,G1648:I1648)=0,"",IF(COUNTA(A1648:D1648,G1648:I1648)&lt;7,"LENGKAPI",IF(H1648+I1648&gt;N(F1648)+G1648,"ABNORMAL",IF(COUNTIFS($A$2:$A$2001,A1648,$B$2:$B$2001,B1648,$C$2:$C$2001,C1648,$D$2:$D$2001,D1648)&gt;1,"DUPLIKAT","OK"))))</f>
        <v/>
      </c>
    </row>
    <row r="1649">
      <c r="A1649" s="4" t="n"/>
      <c r="B1649" s="5" t="n"/>
      <c r="C1649" s="5" t="n"/>
      <c r="D1649" s="5" t="n"/>
      <c r="E1649" s="6">
        <f>IF(A1649="","","B"&amp;TEXT(COUNT($A$2:A1649),"00000"))</f>
        <v/>
      </c>
      <c r="F1649" s="6">
        <f>IF(OR(C1649="",D1649=""),"",IFERROR(LOOKUP(2,1/(($C$1:C1648=C1649)*($D$1:D1648=D1649)*ISNUMBER($J$1:J1648)),$J$1:J1648),SUMIFS(Master!$G$2:$G$13,Master!$E$2:$E$13,C1649,Master!$F$2:$F$13,D1649)))</f>
        <v/>
      </c>
      <c r="G1649" s="5" t="n"/>
      <c r="H1649" s="5" t="n"/>
      <c r="I1649" s="5" t="n"/>
      <c r="J1649" s="6">
        <f>IF(OR(F1649="",COUNT(G1649:I1649)&lt;3),"",F1649+G1649-H1649-I1649)</f>
        <v/>
      </c>
      <c r="K1649" s="6">
        <f>IF(COUNTA(A1649:D1649,G1649:I1649)=0,"",IF(COUNTA(A1649:D1649,G1649:I1649)&lt;7,"LENGKAPI",IF(H1649+I1649&gt;N(F1649)+G1649,"ABNORMAL",IF(COUNTIFS($A$2:$A$2001,A1649,$B$2:$B$2001,B1649,$C$2:$C$2001,C1649,$D$2:$D$2001,D1649)&gt;1,"DUPLIKAT","OK"))))</f>
        <v/>
      </c>
    </row>
    <row r="1650">
      <c r="A1650" s="4" t="n"/>
      <c r="B1650" s="5" t="n"/>
      <c r="C1650" s="5" t="n"/>
      <c r="D1650" s="5" t="n"/>
      <c r="E1650" s="6">
        <f>IF(A1650="","","B"&amp;TEXT(COUNT($A$2:A1650),"00000"))</f>
        <v/>
      </c>
      <c r="F1650" s="6">
        <f>IF(OR(C1650="",D1650=""),"",IFERROR(LOOKUP(2,1/(($C$1:C1649=C1650)*($D$1:D1649=D1650)*ISNUMBER($J$1:J1649)),$J$1:J1649),SUMIFS(Master!$G$2:$G$13,Master!$E$2:$E$13,C1650,Master!$F$2:$F$13,D1650)))</f>
        <v/>
      </c>
      <c r="G1650" s="5" t="n"/>
      <c r="H1650" s="5" t="n"/>
      <c r="I1650" s="5" t="n"/>
      <c r="J1650" s="6">
        <f>IF(OR(F1650="",COUNT(G1650:I1650)&lt;3),"",F1650+G1650-H1650-I1650)</f>
        <v/>
      </c>
      <c r="K1650" s="6">
        <f>IF(COUNTA(A1650:D1650,G1650:I1650)=0,"",IF(COUNTA(A1650:D1650,G1650:I1650)&lt;7,"LENGKAPI",IF(H1650+I1650&gt;N(F1650)+G1650,"ABNORMAL",IF(COUNTIFS($A$2:$A$2001,A1650,$B$2:$B$2001,B1650,$C$2:$C$2001,C1650,$D$2:$D$2001,D1650)&gt;1,"DUPLIKAT","OK"))))</f>
        <v/>
      </c>
    </row>
    <row r="1651">
      <c r="A1651" s="4" t="n"/>
      <c r="B1651" s="5" t="n"/>
      <c r="C1651" s="5" t="n"/>
      <c r="D1651" s="5" t="n"/>
      <c r="E1651" s="6">
        <f>IF(A1651="","","B"&amp;TEXT(COUNT($A$2:A1651),"00000"))</f>
        <v/>
      </c>
      <c r="F1651" s="6">
        <f>IF(OR(C1651="",D1651=""),"",IFERROR(LOOKUP(2,1/(($C$1:C1650=C1651)*($D$1:D1650=D1651)*ISNUMBER($J$1:J1650)),$J$1:J1650),SUMIFS(Master!$G$2:$G$13,Master!$E$2:$E$13,C1651,Master!$F$2:$F$13,D1651)))</f>
        <v/>
      </c>
      <c r="G1651" s="5" t="n"/>
      <c r="H1651" s="5" t="n"/>
      <c r="I1651" s="5" t="n"/>
      <c r="J1651" s="6">
        <f>IF(OR(F1651="",COUNT(G1651:I1651)&lt;3),"",F1651+G1651-H1651-I1651)</f>
        <v/>
      </c>
      <c r="K1651" s="6">
        <f>IF(COUNTA(A1651:D1651,G1651:I1651)=0,"",IF(COUNTA(A1651:D1651,G1651:I1651)&lt;7,"LENGKAPI",IF(H1651+I1651&gt;N(F1651)+G1651,"ABNORMAL",IF(COUNTIFS($A$2:$A$2001,A1651,$B$2:$B$2001,B1651,$C$2:$C$2001,C1651,$D$2:$D$2001,D1651)&gt;1,"DUPLIKAT","OK"))))</f>
        <v/>
      </c>
    </row>
    <row r="1652">
      <c r="A1652" s="4" t="n"/>
      <c r="B1652" s="5" t="n"/>
      <c r="C1652" s="5" t="n"/>
      <c r="D1652" s="5" t="n"/>
      <c r="E1652" s="6">
        <f>IF(A1652="","","B"&amp;TEXT(COUNT($A$2:A1652),"00000"))</f>
        <v/>
      </c>
      <c r="F1652" s="6">
        <f>IF(OR(C1652="",D1652=""),"",IFERROR(LOOKUP(2,1/(($C$1:C1651=C1652)*($D$1:D1651=D1652)*ISNUMBER($J$1:J1651)),$J$1:J1651),SUMIFS(Master!$G$2:$G$13,Master!$E$2:$E$13,C1652,Master!$F$2:$F$13,D1652)))</f>
        <v/>
      </c>
      <c r="G1652" s="5" t="n"/>
      <c r="H1652" s="5" t="n"/>
      <c r="I1652" s="5" t="n"/>
      <c r="J1652" s="6">
        <f>IF(OR(F1652="",COUNT(G1652:I1652)&lt;3),"",F1652+G1652-H1652-I1652)</f>
        <v/>
      </c>
      <c r="K1652" s="6">
        <f>IF(COUNTA(A1652:D1652,G1652:I1652)=0,"",IF(COUNTA(A1652:D1652,G1652:I1652)&lt;7,"LENGKAPI",IF(H1652+I1652&gt;N(F1652)+G1652,"ABNORMAL",IF(COUNTIFS($A$2:$A$2001,A1652,$B$2:$B$2001,B1652,$C$2:$C$2001,C1652,$D$2:$D$2001,D1652)&gt;1,"DUPLIKAT","OK"))))</f>
        <v/>
      </c>
    </row>
    <row r="1653">
      <c r="A1653" s="4" t="n"/>
      <c r="B1653" s="5" t="n"/>
      <c r="C1653" s="5" t="n"/>
      <c r="D1653" s="5" t="n"/>
      <c r="E1653" s="6">
        <f>IF(A1653="","","B"&amp;TEXT(COUNT($A$2:A1653),"00000"))</f>
        <v/>
      </c>
      <c r="F1653" s="6">
        <f>IF(OR(C1653="",D1653=""),"",IFERROR(LOOKUP(2,1/(($C$1:C1652=C1653)*($D$1:D1652=D1653)*ISNUMBER($J$1:J1652)),$J$1:J1652),SUMIFS(Master!$G$2:$G$13,Master!$E$2:$E$13,C1653,Master!$F$2:$F$13,D1653)))</f>
        <v/>
      </c>
      <c r="G1653" s="5" t="n"/>
      <c r="H1653" s="5" t="n"/>
      <c r="I1653" s="5" t="n"/>
      <c r="J1653" s="6">
        <f>IF(OR(F1653="",COUNT(G1653:I1653)&lt;3),"",F1653+G1653-H1653-I1653)</f>
        <v/>
      </c>
      <c r="K1653" s="6">
        <f>IF(COUNTA(A1653:D1653,G1653:I1653)=0,"",IF(COUNTA(A1653:D1653,G1653:I1653)&lt;7,"LENGKAPI",IF(H1653+I1653&gt;N(F1653)+G1653,"ABNORMAL",IF(COUNTIFS($A$2:$A$2001,A1653,$B$2:$B$2001,B1653,$C$2:$C$2001,C1653,$D$2:$D$2001,D1653)&gt;1,"DUPLIKAT","OK"))))</f>
        <v/>
      </c>
    </row>
    <row r="1654">
      <c r="A1654" s="4" t="n"/>
      <c r="B1654" s="5" t="n"/>
      <c r="C1654" s="5" t="n"/>
      <c r="D1654" s="5" t="n"/>
      <c r="E1654" s="6">
        <f>IF(A1654="","","B"&amp;TEXT(COUNT($A$2:A1654),"00000"))</f>
        <v/>
      </c>
      <c r="F1654" s="6">
        <f>IF(OR(C1654="",D1654=""),"",IFERROR(LOOKUP(2,1/(($C$1:C1653=C1654)*($D$1:D1653=D1654)*ISNUMBER($J$1:J1653)),$J$1:J1653),SUMIFS(Master!$G$2:$G$13,Master!$E$2:$E$13,C1654,Master!$F$2:$F$13,D1654)))</f>
        <v/>
      </c>
      <c r="G1654" s="5" t="n"/>
      <c r="H1654" s="5" t="n"/>
      <c r="I1654" s="5" t="n"/>
      <c r="J1654" s="6">
        <f>IF(OR(F1654="",COUNT(G1654:I1654)&lt;3),"",F1654+G1654-H1654-I1654)</f>
        <v/>
      </c>
      <c r="K1654" s="6">
        <f>IF(COUNTA(A1654:D1654,G1654:I1654)=0,"",IF(COUNTA(A1654:D1654,G1654:I1654)&lt;7,"LENGKAPI",IF(H1654+I1654&gt;N(F1654)+G1654,"ABNORMAL",IF(COUNTIFS($A$2:$A$2001,A1654,$B$2:$B$2001,B1654,$C$2:$C$2001,C1654,$D$2:$D$2001,D1654)&gt;1,"DUPLIKAT","OK"))))</f>
        <v/>
      </c>
    </row>
    <row r="1655">
      <c r="A1655" s="4" t="n"/>
      <c r="B1655" s="5" t="n"/>
      <c r="C1655" s="5" t="n"/>
      <c r="D1655" s="5" t="n"/>
      <c r="E1655" s="6">
        <f>IF(A1655="","","B"&amp;TEXT(COUNT($A$2:A1655),"00000"))</f>
        <v/>
      </c>
      <c r="F1655" s="6">
        <f>IF(OR(C1655="",D1655=""),"",IFERROR(LOOKUP(2,1/(($C$1:C1654=C1655)*($D$1:D1654=D1655)*ISNUMBER($J$1:J1654)),$J$1:J1654),SUMIFS(Master!$G$2:$G$13,Master!$E$2:$E$13,C1655,Master!$F$2:$F$13,D1655)))</f>
        <v/>
      </c>
      <c r="G1655" s="5" t="n"/>
      <c r="H1655" s="5" t="n"/>
      <c r="I1655" s="5" t="n"/>
      <c r="J1655" s="6">
        <f>IF(OR(F1655="",COUNT(G1655:I1655)&lt;3),"",F1655+G1655-H1655-I1655)</f>
        <v/>
      </c>
      <c r="K1655" s="6">
        <f>IF(COUNTA(A1655:D1655,G1655:I1655)=0,"",IF(COUNTA(A1655:D1655,G1655:I1655)&lt;7,"LENGKAPI",IF(H1655+I1655&gt;N(F1655)+G1655,"ABNORMAL",IF(COUNTIFS($A$2:$A$2001,A1655,$B$2:$B$2001,B1655,$C$2:$C$2001,C1655,$D$2:$D$2001,D1655)&gt;1,"DUPLIKAT","OK"))))</f>
        <v/>
      </c>
    </row>
    <row r="1656">
      <c r="A1656" s="4" t="n"/>
      <c r="B1656" s="5" t="n"/>
      <c r="C1656" s="5" t="n"/>
      <c r="D1656" s="5" t="n"/>
      <c r="E1656" s="6">
        <f>IF(A1656="","","B"&amp;TEXT(COUNT($A$2:A1656),"00000"))</f>
        <v/>
      </c>
      <c r="F1656" s="6">
        <f>IF(OR(C1656="",D1656=""),"",IFERROR(LOOKUP(2,1/(($C$1:C1655=C1656)*($D$1:D1655=D1656)*ISNUMBER($J$1:J1655)),$J$1:J1655),SUMIFS(Master!$G$2:$G$13,Master!$E$2:$E$13,C1656,Master!$F$2:$F$13,D1656)))</f>
        <v/>
      </c>
      <c r="G1656" s="5" t="n"/>
      <c r="H1656" s="5" t="n"/>
      <c r="I1656" s="5" t="n"/>
      <c r="J1656" s="6">
        <f>IF(OR(F1656="",COUNT(G1656:I1656)&lt;3),"",F1656+G1656-H1656-I1656)</f>
        <v/>
      </c>
      <c r="K1656" s="6">
        <f>IF(COUNTA(A1656:D1656,G1656:I1656)=0,"",IF(COUNTA(A1656:D1656,G1656:I1656)&lt;7,"LENGKAPI",IF(H1656+I1656&gt;N(F1656)+G1656,"ABNORMAL",IF(COUNTIFS($A$2:$A$2001,A1656,$B$2:$B$2001,B1656,$C$2:$C$2001,C1656,$D$2:$D$2001,D1656)&gt;1,"DUPLIKAT","OK"))))</f>
        <v/>
      </c>
    </row>
    <row r="1657">
      <c r="A1657" s="4" t="n"/>
      <c r="B1657" s="5" t="n"/>
      <c r="C1657" s="5" t="n"/>
      <c r="D1657" s="5" t="n"/>
      <c r="E1657" s="6">
        <f>IF(A1657="","","B"&amp;TEXT(COUNT($A$2:A1657),"00000"))</f>
        <v/>
      </c>
      <c r="F1657" s="6">
        <f>IF(OR(C1657="",D1657=""),"",IFERROR(LOOKUP(2,1/(($C$1:C1656=C1657)*($D$1:D1656=D1657)*ISNUMBER($J$1:J1656)),$J$1:J1656),SUMIFS(Master!$G$2:$G$13,Master!$E$2:$E$13,C1657,Master!$F$2:$F$13,D1657)))</f>
        <v/>
      </c>
      <c r="G1657" s="5" t="n"/>
      <c r="H1657" s="5" t="n"/>
      <c r="I1657" s="5" t="n"/>
      <c r="J1657" s="6">
        <f>IF(OR(F1657="",COUNT(G1657:I1657)&lt;3),"",F1657+G1657-H1657-I1657)</f>
        <v/>
      </c>
      <c r="K1657" s="6">
        <f>IF(COUNTA(A1657:D1657,G1657:I1657)=0,"",IF(COUNTA(A1657:D1657,G1657:I1657)&lt;7,"LENGKAPI",IF(H1657+I1657&gt;N(F1657)+G1657,"ABNORMAL",IF(COUNTIFS($A$2:$A$2001,A1657,$B$2:$B$2001,B1657,$C$2:$C$2001,C1657,$D$2:$D$2001,D1657)&gt;1,"DUPLIKAT","OK"))))</f>
        <v/>
      </c>
    </row>
    <row r="1658">
      <c r="A1658" s="4" t="n"/>
      <c r="B1658" s="5" t="n"/>
      <c r="C1658" s="5" t="n"/>
      <c r="D1658" s="5" t="n"/>
      <c r="E1658" s="6">
        <f>IF(A1658="","","B"&amp;TEXT(COUNT($A$2:A1658),"00000"))</f>
        <v/>
      </c>
      <c r="F1658" s="6">
        <f>IF(OR(C1658="",D1658=""),"",IFERROR(LOOKUP(2,1/(($C$1:C1657=C1658)*($D$1:D1657=D1658)*ISNUMBER($J$1:J1657)),$J$1:J1657),SUMIFS(Master!$G$2:$G$13,Master!$E$2:$E$13,C1658,Master!$F$2:$F$13,D1658)))</f>
        <v/>
      </c>
      <c r="G1658" s="5" t="n"/>
      <c r="H1658" s="5" t="n"/>
      <c r="I1658" s="5" t="n"/>
      <c r="J1658" s="6">
        <f>IF(OR(F1658="",COUNT(G1658:I1658)&lt;3),"",F1658+G1658-H1658-I1658)</f>
        <v/>
      </c>
      <c r="K1658" s="6">
        <f>IF(COUNTA(A1658:D1658,G1658:I1658)=0,"",IF(COUNTA(A1658:D1658,G1658:I1658)&lt;7,"LENGKAPI",IF(H1658+I1658&gt;N(F1658)+G1658,"ABNORMAL",IF(COUNTIFS($A$2:$A$2001,A1658,$B$2:$B$2001,B1658,$C$2:$C$2001,C1658,$D$2:$D$2001,D1658)&gt;1,"DUPLIKAT","OK"))))</f>
        <v/>
      </c>
    </row>
    <row r="1659">
      <c r="A1659" s="4" t="n"/>
      <c r="B1659" s="5" t="n"/>
      <c r="C1659" s="5" t="n"/>
      <c r="D1659" s="5" t="n"/>
      <c r="E1659" s="6">
        <f>IF(A1659="","","B"&amp;TEXT(COUNT($A$2:A1659),"00000"))</f>
        <v/>
      </c>
      <c r="F1659" s="6">
        <f>IF(OR(C1659="",D1659=""),"",IFERROR(LOOKUP(2,1/(($C$1:C1658=C1659)*($D$1:D1658=D1659)*ISNUMBER($J$1:J1658)),$J$1:J1658),SUMIFS(Master!$G$2:$G$13,Master!$E$2:$E$13,C1659,Master!$F$2:$F$13,D1659)))</f>
        <v/>
      </c>
      <c r="G1659" s="5" t="n"/>
      <c r="H1659" s="5" t="n"/>
      <c r="I1659" s="5" t="n"/>
      <c r="J1659" s="6">
        <f>IF(OR(F1659="",COUNT(G1659:I1659)&lt;3),"",F1659+G1659-H1659-I1659)</f>
        <v/>
      </c>
      <c r="K1659" s="6">
        <f>IF(COUNTA(A1659:D1659,G1659:I1659)=0,"",IF(COUNTA(A1659:D1659,G1659:I1659)&lt;7,"LENGKAPI",IF(H1659+I1659&gt;N(F1659)+G1659,"ABNORMAL",IF(COUNTIFS($A$2:$A$2001,A1659,$B$2:$B$2001,B1659,$C$2:$C$2001,C1659,$D$2:$D$2001,D1659)&gt;1,"DUPLIKAT","OK"))))</f>
        <v/>
      </c>
    </row>
    <row r="1660">
      <c r="A1660" s="4" t="n"/>
      <c r="B1660" s="5" t="n"/>
      <c r="C1660" s="5" t="n"/>
      <c r="D1660" s="5" t="n"/>
      <c r="E1660" s="6">
        <f>IF(A1660="","","B"&amp;TEXT(COUNT($A$2:A1660),"00000"))</f>
        <v/>
      </c>
      <c r="F1660" s="6">
        <f>IF(OR(C1660="",D1660=""),"",IFERROR(LOOKUP(2,1/(($C$1:C1659=C1660)*($D$1:D1659=D1660)*ISNUMBER($J$1:J1659)),$J$1:J1659),SUMIFS(Master!$G$2:$G$13,Master!$E$2:$E$13,C1660,Master!$F$2:$F$13,D1660)))</f>
        <v/>
      </c>
      <c r="G1660" s="5" t="n"/>
      <c r="H1660" s="5" t="n"/>
      <c r="I1660" s="5" t="n"/>
      <c r="J1660" s="6">
        <f>IF(OR(F1660="",COUNT(G1660:I1660)&lt;3),"",F1660+G1660-H1660-I1660)</f>
        <v/>
      </c>
      <c r="K1660" s="6">
        <f>IF(COUNTA(A1660:D1660,G1660:I1660)=0,"",IF(COUNTA(A1660:D1660,G1660:I1660)&lt;7,"LENGKAPI",IF(H1660+I1660&gt;N(F1660)+G1660,"ABNORMAL",IF(COUNTIFS($A$2:$A$2001,A1660,$B$2:$B$2001,B1660,$C$2:$C$2001,C1660,$D$2:$D$2001,D1660)&gt;1,"DUPLIKAT","OK"))))</f>
        <v/>
      </c>
    </row>
    <row r="1661">
      <c r="A1661" s="4" t="n"/>
      <c r="B1661" s="5" t="n"/>
      <c r="C1661" s="5" t="n"/>
      <c r="D1661" s="5" t="n"/>
      <c r="E1661" s="6">
        <f>IF(A1661="","","B"&amp;TEXT(COUNT($A$2:A1661),"00000"))</f>
        <v/>
      </c>
      <c r="F1661" s="6">
        <f>IF(OR(C1661="",D1661=""),"",IFERROR(LOOKUP(2,1/(($C$1:C1660=C1661)*($D$1:D1660=D1661)*ISNUMBER($J$1:J1660)),$J$1:J1660),SUMIFS(Master!$G$2:$G$13,Master!$E$2:$E$13,C1661,Master!$F$2:$F$13,D1661)))</f>
        <v/>
      </c>
      <c r="G1661" s="5" t="n"/>
      <c r="H1661" s="5" t="n"/>
      <c r="I1661" s="5" t="n"/>
      <c r="J1661" s="6">
        <f>IF(OR(F1661="",COUNT(G1661:I1661)&lt;3),"",F1661+G1661-H1661-I1661)</f>
        <v/>
      </c>
      <c r="K1661" s="6">
        <f>IF(COUNTA(A1661:D1661,G1661:I1661)=0,"",IF(COUNTA(A1661:D1661,G1661:I1661)&lt;7,"LENGKAPI",IF(H1661+I1661&gt;N(F1661)+G1661,"ABNORMAL",IF(COUNTIFS($A$2:$A$2001,A1661,$B$2:$B$2001,B1661,$C$2:$C$2001,C1661,$D$2:$D$2001,D1661)&gt;1,"DUPLIKAT","OK"))))</f>
        <v/>
      </c>
    </row>
    <row r="1662">
      <c r="A1662" s="4" t="n"/>
      <c r="B1662" s="5" t="n"/>
      <c r="C1662" s="5" t="n"/>
      <c r="D1662" s="5" t="n"/>
      <c r="E1662" s="6">
        <f>IF(A1662="","","B"&amp;TEXT(COUNT($A$2:A1662),"00000"))</f>
        <v/>
      </c>
      <c r="F1662" s="6">
        <f>IF(OR(C1662="",D1662=""),"",IFERROR(LOOKUP(2,1/(($C$1:C1661=C1662)*($D$1:D1661=D1662)*ISNUMBER($J$1:J1661)),$J$1:J1661),SUMIFS(Master!$G$2:$G$13,Master!$E$2:$E$13,C1662,Master!$F$2:$F$13,D1662)))</f>
        <v/>
      </c>
      <c r="G1662" s="5" t="n"/>
      <c r="H1662" s="5" t="n"/>
      <c r="I1662" s="5" t="n"/>
      <c r="J1662" s="6">
        <f>IF(OR(F1662="",COUNT(G1662:I1662)&lt;3),"",F1662+G1662-H1662-I1662)</f>
        <v/>
      </c>
      <c r="K1662" s="6">
        <f>IF(COUNTA(A1662:D1662,G1662:I1662)=0,"",IF(COUNTA(A1662:D1662,G1662:I1662)&lt;7,"LENGKAPI",IF(H1662+I1662&gt;N(F1662)+G1662,"ABNORMAL",IF(COUNTIFS($A$2:$A$2001,A1662,$B$2:$B$2001,B1662,$C$2:$C$2001,C1662,$D$2:$D$2001,D1662)&gt;1,"DUPLIKAT","OK"))))</f>
        <v/>
      </c>
    </row>
    <row r="1663">
      <c r="A1663" s="4" t="n"/>
      <c r="B1663" s="5" t="n"/>
      <c r="C1663" s="5" t="n"/>
      <c r="D1663" s="5" t="n"/>
      <c r="E1663" s="6">
        <f>IF(A1663="","","B"&amp;TEXT(COUNT($A$2:A1663),"00000"))</f>
        <v/>
      </c>
      <c r="F1663" s="6">
        <f>IF(OR(C1663="",D1663=""),"",IFERROR(LOOKUP(2,1/(($C$1:C1662=C1663)*($D$1:D1662=D1663)*ISNUMBER($J$1:J1662)),$J$1:J1662),SUMIFS(Master!$G$2:$G$13,Master!$E$2:$E$13,C1663,Master!$F$2:$F$13,D1663)))</f>
        <v/>
      </c>
      <c r="G1663" s="5" t="n"/>
      <c r="H1663" s="5" t="n"/>
      <c r="I1663" s="5" t="n"/>
      <c r="J1663" s="6">
        <f>IF(OR(F1663="",COUNT(G1663:I1663)&lt;3),"",F1663+G1663-H1663-I1663)</f>
        <v/>
      </c>
      <c r="K1663" s="6">
        <f>IF(COUNTA(A1663:D1663,G1663:I1663)=0,"",IF(COUNTA(A1663:D1663,G1663:I1663)&lt;7,"LENGKAPI",IF(H1663+I1663&gt;N(F1663)+G1663,"ABNORMAL",IF(COUNTIFS($A$2:$A$2001,A1663,$B$2:$B$2001,B1663,$C$2:$C$2001,C1663,$D$2:$D$2001,D1663)&gt;1,"DUPLIKAT","OK"))))</f>
        <v/>
      </c>
    </row>
    <row r="1664">
      <c r="A1664" s="4" t="n"/>
      <c r="B1664" s="5" t="n"/>
      <c r="C1664" s="5" t="n"/>
      <c r="D1664" s="5" t="n"/>
      <c r="E1664" s="6">
        <f>IF(A1664="","","B"&amp;TEXT(COUNT($A$2:A1664),"00000"))</f>
        <v/>
      </c>
      <c r="F1664" s="6">
        <f>IF(OR(C1664="",D1664=""),"",IFERROR(LOOKUP(2,1/(($C$1:C1663=C1664)*($D$1:D1663=D1664)*ISNUMBER($J$1:J1663)),$J$1:J1663),SUMIFS(Master!$G$2:$G$13,Master!$E$2:$E$13,C1664,Master!$F$2:$F$13,D1664)))</f>
        <v/>
      </c>
      <c r="G1664" s="5" t="n"/>
      <c r="H1664" s="5" t="n"/>
      <c r="I1664" s="5" t="n"/>
      <c r="J1664" s="6">
        <f>IF(OR(F1664="",COUNT(G1664:I1664)&lt;3),"",F1664+G1664-H1664-I1664)</f>
        <v/>
      </c>
      <c r="K1664" s="6">
        <f>IF(COUNTA(A1664:D1664,G1664:I1664)=0,"",IF(COUNTA(A1664:D1664,G1664:I1664)&lt;7,"LENGKAPI",IF(H1664+I1664&gt;N(F1664)+G1664,"ABNORMAL",IF(COUNTIFS($A$2:$A$2001,A1664,$B$2:$B$2001,B1664,$C$2:$C$2001,C1664,$D$2:$D$2001,D1664)&gt;1,"DUPLIKAT","OK"))))</f>
        <v/>
      </c>
    </row>
    <row r="1665">
      <c r="A1665" s="4" t="n"/>
      <c r="B1665" s="5" t="n"/>
      <c r="C1665" s="5" t="n"/>
      <c r="D1665" s="5" t="n"/>
      <c r="E1665" s="6">
        <f>IF(A1665="","","B"&amp;TEXT(COUNT($A$2:A1665),"00000"))</f>
        <v/>
      </c>
      <c r="F1665" s="6">
        <f>IF(OR(C1665="",D1665=""),"",IFERROR(LOOKUP(2,1/(($C$1:C1664=C1665)*($D$1:D1664=D1665)*ISNUMBER($J$1:J1664)),$J$1:J1664),SUMIFS(Master!$G$2:$G$13,Master!$E$2:$E$13,C1665,Master!$F$2:$F$13,D1665)))</f>
        <v/>
      </c>
      <c r="G1665" s="5" t="n"/>
      <c r="H1665" s="5" t="n"/>
      <c r="I1665" s="5" t="n"/>
      <c r="J1665" s="6">
        <f>IF(OR(F1665="",COUNT(G1665:I1665)&lt;3),"",F1665+G1665-H1665-I1665)</f>
        <v/>
      </c>
      <c r="K1665" s="6">
        <f>IF(COUNTA(A1665:D1665,G1665:I1665)=0,"",IF(COUNTA(A1665:D1665,G1665:I1665)&lt;7,"LENGKAPI",IF(H1665+I1665&gt;N(F1665)+G1665,"ABNORMAL",IF(COUNTIFS($A$2:$A$2001,A1665,$B$2:$B$2001,B1665,$C$2:$C$2001,C1665,$D$2:$D$2001,D1665)&gt;1,"DUPLIKAT","OK"))))</f>
        <v/>
      </c>
    </row>
    <row r="1666">
      <c r="A1666" s="4" t="n"/>
      <c r="B1666" s="5" t="n"/>
      <c r="C1666" s="5" t="n"/>
      <c r="D1666" s="5" t="n"/>
      <c r="E1666" s="6">
        <f>IF(A1666="","","B"&amp;TEXT(COUNT($A$2:A1666),"00000"))</f>
        <v/>
      </c>
      <c r="F1666" s="6">
        <f>IF(OR(C1666="",D1666=""),"",IFERROR(LOOKUP(2,1/(($C$1:C1665=C1666)*($D$1:D1665=D1666)*ISNUMBER($J$1:J1665)),$J$1:J1665),SUMIFS(Master!$G$2:$G$13,Master!$E$2:$E$13,C1666,Master!$F$2:$F$13,D1666)))</f>
        <v/>
      </c>
      <c r="G1666" s="5" t="n"/>
      <c r="H1666" s="5" t="n"/>
      <c r="I1666" s="5" t="n"/>
      <c r="J1666" s="6">
        <f>IF(OR(F1666="",COUNT(G1666:I1666)&lt;3),"",F1666+G1666-H1666-I1666)</f>
        <v/>
      </c>
      <c r="K1666" s="6">
        <f>IF(COUNTA(A1666:D1666,G1666:I1666)=0,"",IF(COUNTA(A1666:D1666,G1666:I1666)&lt;7,"LENGKAPI",IF(H1666+I1666&gt;N(F1666)+G1666,"ABNORMAL",IF(COUNTIFS($A$2:$A$2001,A1666,$B$2:$B$2001,B1666,$C$2:$C$2001,C1666,$D$2:$D$2001,D1666)&gt;1,"DUPLIKAT","OK"))))</f>
        <v/>
      </c>
    </row>
    <row r="1667">
      <c r="A1667" s="4" t="n"/>
      <c r="B1667" s="5" t="n"/>
      <c r="C1667" s="5" t="n"/>
      <c r="D1667" s="5" t="n"/>
      <c r="E1667" s="6">
        <f>IF(A1667="","","B"&amp;TEXT(COUNT($A$2:A1667),"00000"))</f>
        <v/>
      </c>
      <c r="F1667" s="6">
        <f>IF(OR(C1667="",D1667=""),"",IFERROR(LOOKUP(2,1/(($C$1:C1666=C1667)*($D$1:D1666=D1667)*ISNUMBER($J$1:J1666)),$J$1:J1666),SUMIFS(Master!$G$2:$G$13,Master!$E$2:$E$13,C1667,Master!$F$2:$F$13,D1667)))</f>
        <v/>
      </c>
      <c r="G1667" s="5" t="n"/>
      <c r="H1667" s="5" t="n"/>
      <c r="I1667" s="5" t="n"/>
      <c r="J1667" s="6">
        <f>IF(OR(F1667="",COUNT(G1667:I1667)&lt;3),"",F1667+G1667-H1667-I1667)</f>
        <v/>
      </c>
      <c r="K1667" s="6">
        <f>IF(COUNTA(A1667:D1667,G1667:I1667)=0,"",IF(COUNTA(A1667:D1667,G1667:I1667)&lt;7,"LENGKAPI",IF(H1667+I1667&gt;N(F1667)+G1667,"ABNORMAL",IF(COUNTIFS($A$2:$A$2001,A1667,$B$2:$B$2001,B1667,$C$2:$C$2001,C1667,$D$2:$D$2001,D1667)&gt;1,"DUPLIKAT","OK"))))</f>
        <v/>
      </c>
    </row>
    <row r="1668">
      <c r="A1668" s="4" t="n"/>
      <c r="B1668" s="5" t="n"/>
      <c r="C1668" s="5" t="n"/>
      <c r="D1668" s="5" t="n"/>
      <c r="E1668" s="6">
        <f>IF(A1668="","","B"&amp;TEXT(COUNT($A$2:A1668),"00000"))</f>
        <v/>
      </c>
      <c r="F1668" s="6">
        <f>IF(OR(C1668="",D1668=""),"",IFERROR(LOOKUP(2,1/(($C$1:C1667=C1668)*($D$1:D1667=D1668)*ISNUMBER($J$1:J1667)),$J$1:J1667),SUMIFS(Master!$G$2:$G$13,Master!$E$2:$E$13,C1668,Master!$F$2:$F$13,D1668)))</f>
        <v/>
      </c>
      <c r="G1668" s="5" t="n"/>
      <c r="H1668" s="5" t="n"/>
      <c r="I1668" s="5" t="n"/>
      <c r="J1668" s="6">
        <f>IF(OR(F1668="",COUNT(G1668:I1668)&lt;3),"",F1668+G1668-H1668-I1668)</f>
        <v/>
      </c>
      <c r="K1668" s="6">
        <f>IF(COUNTA(A1668:D1668,G1668:I1668)=0,"",IF(COUNTA(A1668:D1668,G1668:I1668)&lt;7,"LENGKAPI",IF(H1668+I1668&gt;N(F1668)+G1668,"ABNORMAL",IF(COUNTIFS($A$2:$A$2001,A1668,$B$2:$B$2001,B1668,$C$2:$C$2001,C1668,$D$2:$D$2001,D1668)&gt;1,"DUPLIKAT","OK"))))</f>
        <v/>
      </c>
    </row>
    <row r="1669">
      <c r="A1669" s="4" t="n"/>
      <c r="B1669" s="5" t="n"/>
      <c r="C1669" s="5" t="n"/>
      <c r="D1669" s="5" t="n"/>
      <c r="E1669" s="6">
        <f>IF(A1669="","","B"&amp;TEXT(COUNT($A$2:A1669),"00000"))</f>
        <v/>
      </c>
      <c r="F1669" s="6">
        <f>IF(OR(C1669="",D1669=""),"",IFERROR(LOOKUP(2,1/(($C$1:C1668=C1669)*($D$1:D1668=D1669)*ISNUMBER($J$1:J1668)),$J$1:J1668),SUMIFS(Master!$G$2:$G$13,Master!$E$2:$E$13,C1669,Master!$F$2:$F$13,D1669)))</f>
        <v/>
      </c>
      <c r="G1669" s="5" t="n"/>
      <c r="H1669" s="5" t="n"/>
      <c r="I1669" s="5" t="n"/>
      <c r="J1669" s="6">
        <f>IF(OR(F1669="",COUNT(G1669:I1669)&lt;3),"",F1669+G1669-H1669-I1669)</f>
        <v/>
      </c>
      <c r="K1669" s="6">
        <f>IF(COUNTA(A1669:D1669,G1669:I1669)=0,"",IF(COUNTA(A1669:D1669,G1669:I1669)&lt;7,"LENGKAPI",IF(H1669+I1669&gt;N(F1669)+G1669,"ABNORMAL",IF(COUNTIFS($A$2:$A$2001,A1669,$B$2:$B$2001,B1669,$C$2:$C$2001,C1669,$D$2:$D$2001,D1669)&gt;1,"DUPLIKAT","OK"))))</f>
        <v/>
      </c>
    </row>
    <row r="1670">
      <c r="A1670" s="4" t="n"/>
      <c r="B1670" s="5" t="n"/>
      <c r="C1670" s="5" t="n"/>
      <c r="D1670" s="5" t="n"/>
      <c r="E1670" s="6">
        <f>IF(A1670="","","B"&amp;TEXT(COUNT($A$2:A1670),"00000"))</f>
        <v/>
      </c>
      <c r="F1670" s="6">
        <f>IF(OR(C1670="",D1670=""),"",IFERROR(LOOKUP(2,1/(($C$1:C1669=C1670)*($D$1:D1669=D1670)*ISNUMBER($J$1:J1669)),$J$1:J1669),SUMIFS(Master!$G$2:$G$13,Master!$E$2:$E$13,C1670,Master!$F$2:$F$13,D1670)))</f>
        <v/>
      </c>
      <c r="G1670" s="5" t="n"/>
      <c r="H1670" s="5" t="n"/>
      <c r="I1670" s="5" t="n"/>
      <c r="J1670" s="6">
        <f>IF(OR(F1670="",COUNT(G1670:I1670)&lt;3),"",F1670+G1670-H1670-I1670)</f>
        <v/>
      </c>
      <c r="K1670" s="6">
        <f>IF(COUNTA(A1670:D1670,G1670:I1670)=0,"",IF(COUNTA(A1670:D1670,G1670:I1670)&lt;7,"LENGKAPI",IF(H1670+I1670&gt;N(F1670)+G1670,"ABNORMAL",IF(COUNTIFS($A$2:$A$2001,A1670,$B$2:$B$2001,B1670,$C$2:$C$2001,C1670,$D$2:$D$2001,D1670)&gt;1,"DUPLIKAT","OK"))))</f>
        <v/>
      </c>
    </row>
    <row r="1671">
      <c r="A1671" s="4" t="n"/>
      <c r="B1671" s="5" t="n"/>
      <c r="C1671" s="5" t="n"/>
      <c r="D1671" s="5" t="n"/>
      <c r="E1671" s="6">
        <f>IF(A1671="","","B"&amp;TEXT(COUNT($A$2:A1671),"00000"))</f>
        <v/>
      </c>
      <c r="F1671" s="6">
        <f>IF(OR(C1671="",D1671=""),"",IFERROR(LOOKUP(2,1/(($C$1:C1670=C1671)*($D$1:D1670=D1671)*ISNUMBER($J$1:J1670)),$J$1:J1670),SUMIFS(Master!$G$2:$G$13,Master!$E$2:$E$13,C1671,Master!$F$2:$F$13,D1671)))</f>
        <v/>
      </c>
      <c r="G1671" s="5" t="n"/>
      <c r="H1671" s="5" t="n"/>
      <c r="I1671" s="5" t="n"/>
      <c r="J1671" s="6">
        <f>IF(OR(F1671="",COUNT(G1671:I1671)&lt;3),"",F1671+G1671-H1671-I1671)</f>
        <v/>
      </c>
      <c r="K1671" s="6">
        <f>IF(COUNTA(A1671:D1671,G1671:I1671)=0,"",IF(COUNTA(A1671:D1671,G1671:I1671)&lt;7,"LENGKAPI",IF(H1671+I1671&gt;N(F1671)+G1671,"ABNORMAL",IF(COUNTIFS($A$2:$A$2001,A1671,$B$2:$B$2001,B1671,$C$2:$C$2001,C1671,$D$2:$D$2001,D1671)&gt;1,"DUPLIKAT","OK"))))</f>
        <v/>
      </c>
    </row>
    <row r="1672">
      <c r="A1672" s="4" t="n"/>
      <c r="B1672" s="5" t="n"/>
      <c r="C1672" s="5" t="n"/>
      <c r="D1672" s="5" t="n"/>
      <c r="E1672" s="6">
        <f>IF(A1672="","","B"&amp;TEXT(COUNT($A$2:A1672),"00000"))</f>
        <v/>
      </c>
      <c r="F1672" s="6">
        <f>IF(OR(C1672="",D1672=""),"",IFERROR(LOOKUP(2,1/(($C$1:C1671=C1672)*($D$1:D1671=D1672)*ISNUMBER($J$1:J1671)),$J$1:J1671),SUMIFS(Master!$G$2:$G$13,Master!$E$2:$E$13,C1672,Master!$F$2:$F$13,D1672)))</f>
        <v/>
      </c>
      <c r="G1672" s="5" t="n"/>
      <c r="H1672" s="5" t="n"/>
      <c r="I1672" s="5" t="n"/>
      <c r="J1672" s="6">
        <f>IF(OR(F1672="",COUNT(G1672:I1672)&lt;3),"",F1672+G1672-H1672-I1672)</f>
        <v/>
      </c>
      <c r="K1672" s="6">
        <f>IF(COUNTA(A1672:D1672,G1672:I1672)=0,"",IF(COUNTA(A1672:D1672,G1672:I1672)&lt;7,"LENGKAPI",IF(H1672+I1672&gt;N(F1672)+G1672,"ABNORMAL",IF(COUNTIFS($A$2:$A$2001,A1672,$B$2:$B$2001,B1672,$C$2:$C$2001,C1672,$D$2:$D$2001,D1672)&gt;1,"DUPLIKAT","OK"))))</f>
        <v/>
      </c>
    </row>
    <row r="1673">
      <c r="A1673" s="4" t="n"/>
      <c r="B1673" s="5" t="n"/>
      <c r="C1673" s="5" t="n"/>
      <c r="D1673" s="5" t="n"/>
      <c r="E1673" s="6">
        <f>IF(A1673="","","B"&amp;TEXT(COUNT($A$2:A1673),"00000"))</f>
        <v/>
      </c>
      <c r="F1673" s="6">
        <f>IF(OR(C1673="",D1673=""),"",IFERROR(LOOKUP(2,1/(($C$1:C1672=C1673)*($D$1:D1672=D1673)*ISNUMBER($J$1:J1672)),$J$1:J1672),SUMIFS(Master!$G$2:$G$13,Master!$E$2:$E$13,C1673,Master!$F$2:$F$13,D1673)))</f>
        <v/>
      </c>
      <c r="G1673" s="5" t="n"/>
      <c r="H1673" s="5" t="n"/>
      <c r="I1673" s="5" t="n"/>
      <c r="J1673" s="6">
        <f>IF(OR(F1673="",COUNT(G1673:I1673)&lt;3),"",F1673+G1673-H1673-I1673)</f>
        <v/>
      </c>
      <c r="K1673" s="6">
        <f>IF(COUNTA(A1673:D1673,G1673:I1673)=0,"",IF(COUNTA(A1673:D1673,G1673:I1673)&lt;7,"LENGKAPI",IF(H1673+I1673&gt;N(F1673)+G1673,"ABNORMAL",IF(COUNTIFS($A$2:$A$2001,A1673,$B$2:$B$2001,B1673,$C$2:$C$2001,C1673,$D$2:$D$2001,D1673)&gt;1,"DUPLIKAT","OK"))))</f>
        <v/>
      </c>
    </row>
    <row r="1674">
      <c r="A1674" s="4" t="n"/>
      <c r="B1674" s="5" t="n"/>
      <c r="C1674" s="5" t="n"/>
      <c r="D1674" s="5" t="n"/>
      <c r="E1674" s="6">
        <f>IF(A1674="","","B"&amp;TEXT(COUNT($A$2:A1674),"00000"))</f>
        <v/>
      </c>
      <c r="F1674" s="6">
        <f>IF(OR(C1674="",D1674=""),"",IFERROR(LOOKUP(2,1/(($C$1:C1673=C1674)*($D$1:D1673=D1674)*ISNUMBER($J$1:J1673)),$J$1:J1673),SUMIFS(Master!$G$2:$G$13,Master!$E$2:$E$13,C1674,Master!$F$2:$F$13,D1674)))</f>
        <v/>
      </c>
      <c r="G1674" s="5" t="n"/>
      <c r="H1674" s="5" t="n"/>
      <c r="I1674" s="5" t="n"/>
      <c r="J1674" s="6">
        <f>IF(OR(F1674="",COUNT(G1674:I1674)&lt;3),"",F1674+G1674-H1674-I1674)</f>
        <v/>
      </c>
      <c r="K1674" s="6">
        <f>IF(COUNTA(A1674:D1674,G1674:I1674)=0,"",IF(COUNTA(A1674:D1674,G1674:I1674)&lt;7,"LENGKAPI",IF(H1674+I1674&gt;N(F1674)+G1674,"ABNORMAL",IF(COUNTIFS($A$2:$A$2001,A1674,$B$2:$B$2001,B1674,$C$2:$C$2001,C1674,$D$2:$D$2001,D1674)&gt;1,"DUPLIKAT","OK"))))</f>
        <v/>
      </c>
    </row>
    <row r="1675">
      <c r="A1675" s="4" t="n"/>
      <c r="B1675" s="5" t="n"/>
      <c r="C1675" s="5" t="n"/>
      <c r="D1675" s="5" t="n"/>
      <c r="E1675" s="6">
        <f>IF(A1675="","","B"&amp;TEXT(COUNT($A$2:A1675),"00000"))</f>
        <v/>
      </c>
      <c r="F1675" s="6">
        <f>IF(OR(C1675="",D1675=""),"",IFERROR(LOOKUP(2,1/(($C$1:C1674=C1675)*($D$1:D1674=D1675)*ISNUMBER($J$1:J1674)),$J$1:J1674),SUMIFS(Master!$G$2:$G$13,Master!$E$2:$E$13,C1675,Master!$F$2:$F$13,D1675)))</f>
        <v/>
      </c>
      <c r="G1675" s="5" t="n"/>
      <c r="H1675" s="5" t="n"/>
      <c r="I1675" s="5" t="n"/>
      <c r="J1675" s="6">
        <f>IF(OR(F1675="",COUNT(G1675:I1675)&lt;3),"",F1675+G1675-H1675-I1675)</f>
        <v/>
      </c>
      <c r="K1675" s="6">
        <f>IF(COUNTA(A1675:D1675,G1675:I1675)=0,"",IF(COUNTA(A1675:D1675,G1675:I1675)&lt;7,"LENGKAPI",IF(H1675+I1675&gt;N(F1675)+G1675,"ABNORMAL",IF(COUNTIFS($A$2:$A$2001,A1675,$B$2:$B$2001,B1675,$C$2:$C$2001,C1675,$D$2:$D$2001,D1675)&gt;1,"DUPLIKAT","OK"))))</f>
        <v/>
      </c>
    </row>
    <row r="1676">
      <c r="A1676" s="4" t="n"/>
      <c r="B1676" s="5" t="n"/>
      <c r="C1676" s="5" t="n"/>
      <c r="D1676" s="5" t="n"/>
      <c r="E1676" s="6">
        <f>IF(A1676="","","B"&amp;TEXT(COUNT($A$2:A1676),"00000"))</f>
        <v/>
      </c>
      <c r="F1676" s="6">
        <f>IF(OR(C1676="",D1676=""),"",IFERROR(LOOKUP(2,1/(($C$1:C1675=C1676)*($D$1:D1675=D1676)*ISNUMBER($J$1:J1675)),$J$1:J1675),SUMIFS(Master!$G$2:$G$13,Master!$E$2:$E$13,C1676,Master!$F$2:$F$13,D1676)))</f>
        <v/>
      </c>
      <c r="G1676" s="5" t="n"/>
      <c r="H1676" s="5" t="n"/>
      <c r="I1676" s="5" t="n"/>
      <c r="J1676" s="6">
        <f>IF(OR(F1676="",COUNT(G1676:I1676)&lt;3),"",F1676+G1676-H1676-I1676)</f>
        <v/>
      </c>
      <c r="K1676" s="6">
        <f>IF(COUNTA(A1676:D1676,G1676:I1676)=0,"",IF(COUNTA(A1676:D1676,G1676:I1676)&lt;7,"LENGKAPI",IF(H1676+I1676&gt;N(F1676)+G1676,"ABNORMAL",IF(COUNTIFS($A$2:$A$2001,A1676,$B$2:$B$2001,B1676,$C$2:$C$2001,C1676,$D$2:$D$2001,D1676)&gt;1,"DUPLIKAT","OK"))))</f>
        <v/>
      </c>
    </row>
    <row r="1677">
      <c r="A1677" s="4" t="n"/>
      <c r="B1677" s="5" t="n"/>
      <c r="C1677" s="5" t="n"/>
      <c r="D1677" s="5" t="n"/>
      <c r="E1677" s="6">
        <f>IF(A1677="","","B"&amp;TEXT(COUNT($A$2:A1677),"00000"))</f>
        <v/>
      </c>
      <c r="F1677" s="6">
        <f>IF(OR(C1677="",D1677=""),"",IFERROR(LOOKUP(2,1/(($C$1:C1676=C1677)*($D$1:D1676=D1677)*ISNUMBER($J$1:J1676)),$J$1:J1676),SUMIFS(Master!$G$2:$G$13,Master!$E$2:$E$13,C1677,Master!$F$2:$F$13,D1677)))</f>
        <v/>
      </c>
      <c r="G1677" s="5" t="n"/>
      <c r="H1677" s="5" t="n"/>
      <c r="I1677" s="5" t="n"/>
      <c r="J1677" s="6">
        <f>IF(OR(F1677="",COUNT(G1677:I1677)&lt;3),"",F1677+G1677-H1677-I1677)</f>
        <v/>
      </c>
      <c r="K1677" s="6">
        <f>IF(COUNTA(A1677:D1677,G1677:I1677)=0,"",IF(COUNTA(A1677:D1677,G1677:I1677)&lt;7,"LENGKAPI",IF(H1677+I1677&gt;N(F1677)+G1677,"ABNORMAL",IF(COUNTIFS($A$2:$A$2001,A1677,$B$2:$B$2001,B1677,$C$2:$C$2001,C1677,$D$2:$D$2001,D1677)&gt;1,"DUPLIKAT","OK"))))</f>
        <v/>
      </c>
    </row>
    <row r="1678">
      <c r="A1678" s="4" t="n"/>
      <c r="B1678" s="5" t="n"/>
      <c r="C1678" s="5" t="n"/>
      <c r="D1678" s="5" t="n"/>
      <c r="E1678" s="6">
        <f>IF(A1678="","","B"&amp;TEXT(COUNT($A$2:A1678),"00000"))</f>
        <v/>
      </c>
      <c r="F1678" s="6">
        <f>IF(OR(C1678="",D1678=""),"",IFERROR(LOOKUP(2,1/(($C$1:C1677=C1678)*($D$1:D1677=D1678)*ISNUMBER($J$1:J1677)),$J$1:J1677),SUMIFS(Master!$G$2:$G$13,Master!$E$2:$E$13,C1678,Master!$F$2:$F$13,D1678)))</f>
        <v/>
      </c>
      <c r="G1678" s="5" t="n"/>
      <c r="H1678" s="5" t="n"/>
      <c r="I1678" s="5" t="n"/>
      <c r="J1678" s="6">
        <f>IF(OR(F1678="",COUNT(G1678:I1678)&lt;3),"",F1678+G1678-H1678-I1678)</f>
        <v/>
      </c>
      <c r="K1678" s="6">
        <f>IF(COUNTA(A1678:D1678,G1678:I1678)=0,"",IF(COUNTA(A1678:D1678,G1678:I1678)&lt;7,"LENGKAPI",IF(H1678+I1678&gt;N(F1678)+G1678,"ABNORMAL",IF(COUNTIFS($A$2:$A$2001,A1678,$B$2:$B$2001,B1678,$C$2:$C$2001,C1678,$D$2:$D$2001,D1678)&gt;1,"DUPLIKAT","OK"))))</f>
        <v/>
      </c>
    </row>
    <row r="1679">
      <c r="A1679" s="4" t="n"/>
      <c r="B1679" s="5" t="n"/>
      <c r="C1679" s="5" t="n"/>
      <c r="D1679" s="5" t="n"/>
      <c r="E1679" s="6">
        <f>IF(A1679="","","B"&amp;TEXT(COUNT($A$2:A1679),"00000"))</f>
        <v/>
      </c>
      <c r="F1679" s="6">
        <f>IF(OR(C1679="",D1679=""),"",IFERROR(LOOKUP(2,1/(($C$1:C1678=C1679)*($D$1:D1678=D1679)*ISNUMBER($J$1:J1678)),$J$1:J1678),SUMIFS(Master!$G$2:$G$13,Master!$E$2:$E$13,C1679,Master!$F$2:$F$13,D1679)))</f>
        <v/>
      </c>
      <c r="G1679" s="5" t="n"/>
      <c r="H1679" s="5" t="n"/>
      <c r="I1679" s="5" t="n"/>
      <c r="J1679" s="6">
        <f>IF(OR(F1679="",COUNT(G1679:I1679)&lt;3),"",F1679+G1679-H1679-I1679)</f>
        <v/>
      </c>
      <c r="K1679" s="6">
        <f>IF(COUNTA(A1679:D1679,G1679:I1679)=0,"",IF(COUNTA(A1679:D1679,G1679:I1679)&lt;7,"LENGKAPI",IF(H1679+I1679&gt;N(F1679)+G1679,"ABNORMAL",IF(COUNTIFS($A$2:$A$2001,A1679,$B$2:$B$2001,B1679,$C$2:$C$2001,C1679,$D$2:$D$2001,D1679)&gt;1,"DUPLIKAT","OK"))))</f>
        <v/>
      </c>
    </row>
    <row r="1680">
      <c r="A1680" s="4" t="n"/>
      <c r="B1680" s="5" t="n"/>
      <c r="C1680" s="5" t="n"/>
      <c r="D1680" s="5" t="n"/>
      <c r="E1680" s="6">
        <f>IF(A1680="","","B"&amp;TEXT(COUNT($A$2:A1680),"00000"))</f>
        <v/>
      </c>
      <c r="F1680" s="6">
        <f>IF(OR(C1680="",D1680=""),"",IFERROR(LOOKUP(2,1/(($C$1:C1679=C1680)*($D$1:D1679=D1680)*ISNUMBER($J$1:J1679)),$J$1:J1679),SUMIFS(Master!$G$2:$G$13,Master!$E$2:$E$13,C1680,Master!$F$2:$F$13,D1680)))</f>
        <v/>
      </c>
      <c r="G1680" s="5" t="n"/>
      <c r="H1680" s="5" t="n"/>
      <c r="I1680" s="5" t="n"/>
      <c r="J1680" s="6">
        <f>IF(OR(F1680="",COUNT(G1680:I1680)&lt;3),"",F1680+G1680-H1680-I1680)</f>
        <v/>
      </c>
      <c r="K1680" s="6">
        <f>IF(COUNTA(A1680:D1680,G1680:I1680)=0,"",IF(COUNTA(A1680:D1680,G1680:I1680)&lt;7,"LENGKAPI",IF(H1680+I1680&gt;N(F1680)+G1680,"ABNORMAL",IF(COUNTIFS($A$2:$A$2001,A1680,$B$2:$B$2001,B1680,$C$2:$C$2001,C1680,$D$2:$D$2001,D1680)&gt;1,"DUPLIKAT","OK"))))</f>
        <v/>
      </c>
    </row>
    <row r="1681">
      <c r="A1681" s="4" t="n"/>
      <c r="B1681" s="5" t="n"/>
      <c r="C1681" s="5" t="n"/>
      <c r="D1681" s="5" t="n"/>
      <c r="E1681" s="6">
        <f>IF(A1681="","","B"&amp;TEXT(COUNT($A$2:A1681),"00000"))</f>
        <v/>
      </c>
      <c r="F1681" s="6">
        <f>IF(OR(C1681="",D1681=""),"",IFERROR(LOOKUP(2,1/(($C$1:C1680=C1681)*($D$1:D1680=D1681)*ISNUMBER($J$1:J1680)),$J$1:J1680),SUMIFS(Master!$G$2:$G$13,Master!$E$2:$E$13,C1681,Master!$F$2:$F$13,D1681)))</f>
        <v/>
      </c>
      <c r="G1681" s="5" t="n"/>
      <c r="H1681" s="5" t="n"/>
      <c r="I1681" s="5" t="n"/>
      <c r="J1681" s="6">
        <f>IF(OR(F1681="",COUNT(G1681:I1681)&lt;3),"",F1681+G1681-H1681-I1681)</f>
        <v/>
      </c>
      <c r="K1681" s="6">
        <f>IF(COUNTA(A1681:D1681,G1681:I1681)=0,"",IF(COUNTA(A1681:D1681,G1681:I1681)&lt;7,"LENGKAPI",IF(H1681+I1681&gt;N(F1681)+G1681,"ABNORMAL",IF(COUNTIFS($A$2:$A$2001,A1681,$B$2:$B$2001,B1681,$C$2:$C$2001,C1681,$D$2:$D$2001,D1681)&gt;1,"DUPLIKAT","OK"))))</f>
        <v/>
      </c>
    </row>
    <row r="1682">
      <c r="A1682" s="4" t="n"/>
      <c r="B1682" s="5" t="n"/>
      <c r="C1682" s="5" t="n"/>
      <c r="D1682" s="5" t="n"/>
      <c r="E1682" s="6">
        <f>IF(A1682="","","B"&amp;TEXT(COUNT($A$2:A1682),"00000"))</f>
        <v/>
      </c>
      <c r="F1682" s="6">
        <f>IF(OR(C1682="",D1682=""),"",IFERROR(LOOKUP(2,1/(($C$1:C1681=C1682)*($D$1:D1681=D1682)*ISNUMBER($J$1:J1681)),$J$1:J1681),SUMIFS(Master!$G$2:$G$13,Master!$E$2:$E$13,C1682,Master!$F$2:$F$13,D1682)))</f>
        <v/>
      </c>
      <c r="G1682" s="5" t="n"/>
      <c r="H1682" s="5" t="n"/>
      <c r="I1682" s="5" t="n"/>
      <c r="J1682" s="6">
        <f>IF(OR(F1682="",COUNT(G1682:I1682)&lt;3),"",F1682+G1682-H1682-I1682)</f>
        <v/>
      </c>
      <c r="K1682" s="6">
        <f>IF(COUNTA(A1682:D1682,G1682:I1682)=0,"",IF(COUNTA(A1682:D1682,G1682:I1682)&lt;7,"LENGKAPI",IF(H1682+I1682&gt;N(F1682)+G1682,"ABNORMAL",IF(COUNTIFS($A$2:$A$2001,A1682,$B$2:$B$2001,B1682,$C$2:$C$2001,C1682,$D$2:$D$2001,D1682)&gt;1,"DUPLIKAT","OK"))))</f>
        <v/>
      </c>
    </row>
    <row r="1683">
      <c r="A1683" s="4" t="n"/>
      <c r="B1683" s="5" t="n"/>
      <c r="C1683" s="5" t="n"/>
      <c r="D1683" s="5" t="n"/>
      <c r="E1683" s="6">
        <f>IF(A1683="","","B"&amp;TEXT(COUNT($A$2:A1683),"00000"))</f>
        <v/>
      </c>
      <c r="F1683" s="6">
        <f>IF(OR(C1683="",D1683=""),"",IFERROR(LOOKUP(2,1/(($C$1:C1682=C1683)*($D$1:D1682=D1683)*ISNUMBER($J$1:J1682)),$J$1:J1682),SUMIFS(Master!$G$2:$G$13,Master!$E$2:$E$13,C1683,Master!$F$2:$F$13,D1683)))</f>
        <v/>
      </c>
      <c r="G1683" s="5" t="n"/>
      <c r="H1683" s="5" t="n"/>
      <c r="I1683" s="5" t="n"/>
      <c r="J1683" s="6">
        <f>IF(OR(F1683="",COUNT(G1683:I1683)&lt;3),"",F1683+G1683-H1683-I1683)</f>
        <v/>
      </c>
      <c r="K1683" s="6">
        <f>IF(COUNTA(A1683:D1683,G1683:I1683)=0,"",IF(COUNTA(A1683:D1683,G1683:I1683)&lt;7,"LENGKAPI",IF(H1683+I1683&gt;N(F1683)+G1683,"ABNORMAL",IF(COUNTIFS($A$2:$A$2001,A1683,$B$2:$B$2001,B1683,$C$2:$C$2001,C1683,$D$2:$D$2001,D1683)&gt;1,"DUPLIKAT","OK"))))</f>
        <v/>
      </c>
    </row>
    <row r="1684">
      <c r="A1684" s="4" t="n"/>
      <c r="B1684" s="5" t="n"/>
      <c r="C1684" s="5" t="n"/>
      <c r="D1684" s="5" t="n"/>
      <c r="E1684" s="6">
        <f>IF(A1684="","","B"&amp;TEXT(COUNT($A$2:A1684),"00000"))</f>
        <v/>
      </c>
      <c r="F1684" s="6">
        <f>IF(OR(C1684="",D1684=""),"",IFERROR(LOOKUP(2,1/(($C$1:C1683=C1684)*($D$1:D1683=D1684)*ISNUMBER($J$1:J1683)),$J$1:J1683),SUMIFS(Master!$G$2:$G$13,Master!$E$2:$E$13,C1684,Master!$F$2:$F$13,D1684)))</f>
        <v/>
      </c>
      <c r="G1684" s="5" t="n"/>
      <c r="H1684" s="5" t="n"/>
      <c r="I1684" s="5" t="n"/>
      <c r="J1684" s="6">
        <f>IF(OR(F1684="",COUNT(G1684:I1684)&lt;3),"",F1684+G1684-H1684-I1684)</f>
        <v/>
      </c>
      <c r="K1684" s="6">
        <f>IF(COUNTA(A1684:D1684,G1684:I1684)=0,"",IF(COUNTA(A1684:D1684,G1684:I1684)&lt;7,"LENGKAPI",IF(H1684+I1684&gt;N(F1684)+G1684,"ABNORMAL",IF(COUNTIFS($A$2:$A$2001,A1684,$B$2:$B$2001,B1684,$C$2:$C$2001,C1684,$D$2:$D$2001,D1684)&gt;1,"DUPLIKAT","OK"))))</f>
        <v/>
      </c>
    </row>
    <row r="1685">
      <c r="A1685" s="4" t="n"/>
      <c r="B1685" s="5" t="n"/>
      <c r="C1685" s="5" t="n"/>
      <c r="D1685" s="5" t="n"/>
      <c r="E1685" s="6">
        <f>IF(A1685="","","B"&amp;TEXT(COUNT($A$2:A1685),"00000"))</f>
        <v/>
      </c>
      <c r="F1685" s="6">
        <f>IF(OR(C1685="",D1685=""),"",IFERROR(LOOKUP(2,1/(($C$1:C1684=C1685)*($D$1:D1684=D1685)*ISNUMBER($J$1:J1684)),$J$1:J1684),SUMIFS(Master!$G$2:$G$13,Master!$E$2:$E$13,C1685,Master!$F$2:$F$13,D1685)))</f>
        <v/>
      </c>
      <c r="G1685" s="5" t="n"/>
      <c r="H1685" s="5" t="n"/>
      <c r="I1685" s="5" t="n"/>
      <c r="J1685" s="6">
        <f>IF(OR(F1685="",COUNT(G1685:I1685)&lt;3),"",F1685+G1685-H1685-I1685)</f>
        <v/>
      </c>
      <c r="K1685" s="6">
        <f>IF(COUNTA(A1685:D1685,G1685:I1685)=0,"",IF(COUNTA(A1685:D1685,G1685:I1685)&lt;7,"LENGKAPI",IF(H1685+I1685&gt;N(F1685)+G1685,"ABNORMAL",IF(COUNTIFS($A$2:$A$2001,A1685,$B$2:$B$2001,B1685,$C$2:$C$2001,C1685,$D$2:$D$2001,D1685)&gt;1,"DUPLIKAT","OK"))))</f>
        <v/>
      </c>
    </row>
    <row r="1686">
      <c r="A1686" s="4" t="n"/>
      <c r="B1686" s="5" t="n"/>
      <c r="C1686" s="5" t="n"/>
      <c r="D1686" s="5" t="n"/>
      <c r="E1686" s="6">
        <f>IF(A1686="","","B"&amp;TEXT(COUNT($A$2:A1686),"00000"))</f>
        <v/>
      </c>
      <c r="F1686" s="6">
        <f>IF(OR(C1686="",D1686=""),"",IFERROR(LOOKUP(2,1/(($C$1:C1685=C1686)*($D$1:D1685=D1686)*ISNUMBER($J$1:J1685)),$J$1:J1685),SUMIFS(Master!$G$2:$G$13,Master!$E$2:$E$13,C1686,Master!$F$2:$F$13,D1686)))</f>
        <v/>
      </c>
      <c r="G1686" s="5" t="n"/>
      <c r="H1686" s="5" t="n"/>
      <c r="I1686" s="5" t="n"/>
      <c r="J1686" s="6">
        <f>IF(OR(F1686="",COUNT(G1686:I1686)&lt;3),"",F1686+G1686-H1686-I1686)</f>
        <v/>
      </c>
      <c r="K1686" s="6">
        <f>IF(COUNTA(A1686:D1686,G1686:I1686)=0,"",IF(COUNTA(A1686:D1686,G1686:I1686)&lt;7,"LENGKAPI",IF(H1686+I1686&gt;N(F1686)+G1686,"ABNORMAL",IF(COUNTIFS($A$2:$A$2001,A1686,$B$2:$B$2001,B1686,$C$2:$C$2001,C1686,$D$2:$D$2001,D1686)&gt;1,"DUPLIKAT","OK"))))</f>
        <v/>
      </c>
    </row>
    <row r="1687">
      <c r="A1687" s="4" t="n"/>
      <c r="B1687" s="5" t="n"/>
      <c r="C1687" s="5" t="n"/>
      <c r="D1687" s="5" t="n"/>
      <c r="E1687" s="6">
        <f>IF(A1687="","","B"&amp;TEXT(COUNT($A$2:A1687),"00000"))</f>
        <v/>
      </c>
      <c r="F1687" s="6">
        <f>IF(OR(C1687="",D1687=""),"",IFERROR(LOOKUP(2,1/(($C$1:C1686=C1687)*($D$1:D1686=D1687)*ISNUMBER($J$1:J1686)),$J$1:J1686),SUMIFS(Master!$G$2:$G$13,Master!$E$2:$E$13,C1687,Master!$F$2:$F$13,D1687)))</f>
        <v/>
      </c>
      <c r="G1687" s="5" t="n"/>
      <c r="H1687" s="5" t="n"/>
      <c r="I1687" s="5" t="n"/>
      <c r="J1687" s="6">
        <f>IF(OR(F1687="",COUNT(G1687:I1687)&lt;3),"",F1687+G1687-H1687-I1687)</f>
        <v/>
      </c>
      <c r="K1687" s="6">
        <f>IF(COUNTA(A1687:D1687,G1687:I1687)=0,"",IF(COUNTA(A1687:D1687,G1687:I1687)&lt;7,"LENGKAPI",IF(H1687+I1687&gt;N(F1687)+G1687,"ABNORMAL",IF(COUNTIFS($A$2:$A$2001,A1687,$B$2:$B$2001,B1687,$C$2:$C$2001,C1687,$D$2:$D$2001,D1687)&gt;1,"DUPLIKAT","OK"))))</f>
        <v/>
      </c>
    </row>
    <row r="1688">
      <c r="A1688" s="4" t="n"/>
      <c r="B1688" s="5" t="n"/>
      <c r="C1688" s="5" t="n"/>
      <c r="D1688" s="5" t="n"/>
      <c r="E1688" s="6">
        <f>IF(A1688="","","B"&amp;TEXT(COUNT($A$2:A1688),"00000"))</f>
        <v/>
      </c>
      <c r="F1688" s="6">
        <f>IF(OR(C1688="",D1688=""),"",IFERROR(LOOKUP(2,1/(($C$1:C1687=C1688)*($D$1:D1687=D1688)*ISNUMBER($J$1:J1687)),$J$1:J1687),SUMIFS(Master!$G$2:$G$13,Master!$E$2:$E$13,C1688,Master!$F$2:$F$13,D1688)))</f>
        <v/>
      </c>
      <c r="G1688" s="5" t="n"/>
      <c r="H1688" s="5" t="n"/>
      <c r="I1688" s="5" t="n"/>
      <c r="J1688" s="6">
        <f>IF(OR(F1688="",COUNT(G1688:I1688)&lt;3),"",F1688+G1688-H1688-I1688)</f>
        <v/>
      </c>
      <c r="K1688" s="6">
        <f>IF(COUNTA(A1688:D1688,G1688:I1688)=0,"",IF(COUNTA(A1688:D1688,G1688:I1688)&lt;7,"LENGKAPI",IF(H1688+I1688&gt;N(F1688)+G1688,"ABNORMAL",IF(COUNTIFS($A$2:$A$2001,A1688,$B$2:$B$2001,B1688,$C$2:$C$2001,C1688,$D$2:$D$2001,D1688)&gt;1,"DUPLIKAT","OK"))))</f>
        <v/>
      </c>
    </row>
    <row r="1689">
      <c r="A1689" s="4" t="n"/>
      <c r="B1689" s="5" t="n"/>
      <c r="C1689" s="5" t="n"/>
      <c r="D1689" s="5" t="n"/>
      <c r="E1689" s="6">
        <f>IF(A1689="","","B"&amp;TEXT(COUNT($A$2:A1689),"00000"))</f>
        <v/>
      </c>
      <c r="F1689" s="6">
        <f>IF(OR(C1689="",D1689=""),"",IFERROR(LOOKUP(2,1/(($C$1:C1688=C1689)*($D$1:D1688=D1689)*ISNUMBER($J$1:J1688)),$J$1:J1688),SUMIFS(Master!$G$2:$G$13,Master!$E$2:$E$13,C1689,Master!$F$2:$F$13,D1689)))</f>
        <v/>
      </c>
      <c r="G1689" s="5" t="n"/>
      <c r="H1689" s="5" t="n"/>
      <c r="I1689" s="5" t="n"/>
      <c r="J1689" s="6">
        <f>IF(OR(F1689="",COUNT(G1689:I1689)&lt;3),"",F1689+G1689-H1689-I1689)</f>
        <v/>
      </c>
      <c r="K1689" s="6">
        <f>IF(COUNTA(A1689:D1689,G1689:I1689)=0,"",IF(COUNTA(A1689:D1689,G1689:I1689)&lt;7,"LENGKAPI",IF(H1689+I1689&gt;N(F1689)+G1689,"ABNORMAL",IF(COUNTIFS($A$2:$A$2001,A1689,$B$2:$B$2001,B1689,$C$2:$C$2001,C1689,$D$2:$D$2001,D1689)&gt;1,"DUPLIKAT","OK"))))</f>
        <v/>
      </c>
    </row>
    <row r="1690">
      <c r="A1690" s="4" t="n"/>
      <c r="B1690" s="5" t="n"/>
      <c r="C1690" s="5" t="n"/>
      <c r="D1690" s="5" t="n"/>
      <c r="E1690" s="6">
        <f>IF(A1690="","","B"&amp;TEXT(COUNT($A$2:A1690),"00000"))</f>
        <v/>
      </c>
      <c r="F1690" s="6">
        <f>IF(OR(C1690="",D1690=""),"",IFERROR(LOOKUP(2,1/(($C$1:C1689=C1690)*($D$1:D1689=D1690)*ISNUMBER($J$1:J1689)),$J$1:J1689),SUMIFS(Master!$G$2:$G$13,Master!$E$2:$E$13,C1690,Master!$F$2:$F$13,D1690)))</f>
        <v/>
      </c>
      <c r="G1690" s="5" t="n"/>
      <c r="H1690" s="5" t="n"/>
      <c r="I1690" s="5" t="n"/>
      <c r="J1690" s="6">
        <f>IF(OR(F1690="",COUNT(G1690:I1690)&lt;3),"",F1690+G1690-H1690-I1690)</f>
        <v/>
      </c>
      <c r="K1690" s="6">
        <f>IF(COUNTA(A1690:D1690,G1690:I1690)=0,"",IF(COUNTA(A1690:D1690,G1690:I1690)&lt;7,"LENGKAPI",IF(H1690+I1690&gt;N(F1690)+G1690,"ABNORMAL",IF(COUNTIFS($A$2:$A$2001,A1690,$B$2:$B$2001,B1690,$C$2:$C$2001,C1690,$D$2:$D$2001,D1690)&gt;1,"DUPLIKAT","OK"))))</f>
        <v/>
      </c>
    </row>
    <row r="1691">
      <c r="A1691" s="4" t="n"/>
      <c r="B1691" s="5" t="n"/>
      <c r="C1691" s="5" t="n"/>
      <c r="D1691" s="5" t="n"/>
      <c r="E1691" s="6">
        <f>IF(A1691="","","B"&amp;TEXT(COUNT($A$2:A1691),"00000"))</f>
        <v/>
      </c>
      <c r="F1691" s="6">
        <f>IF(OR(C1691="",D1691=""),"",IFERROR(LOOKUP(2,1/(($C$1:C1690=C1691)*($D$1:D1690=D1691)*ISNUMBER($J$1:J1690)),$J$1:J1690),SUMIFS(Master!$G$2:$G$13,Master!$E$2:$E$13,C1691,Master!$F$2:$F$13,D1691)))</f>
        <v/>
      </c>
      <c r="G1691" s="5" t="n"/>
      <c r="H1691" s="5" t="n"/>
      <c r="I1691" s="5" t="n"/>
      <c r="J1691" s="6">
        <f>IF(OR(F1691="",COUNT(G1691:I1691)&lt;3),"",F1691+G1691-H1691-I1691)</f>
        <v/>
      </c>
      <c r="K1691" s="6">
        <f>IF(COUNTA(A1691:D1691,G1691:I1691)=0,"",IF(COUNTA(A1691:D1691,G1691:I1691)&lt;7,"LENGKAPI",IF(H1691+I1691&gt;N(F1691)+G1691,"ABNORMAL",IF(COUNTIFS($A$2:$A$2001,A1691,$B$2:$B$2001,B1691,$C$2:$C$2001,C1691,$D$2:$D$2001,D1691)&gt;1,"DUPLIKAT","OK"))))</f>
        <v/>
      </c>
    </row>
    <row r="1692">
      <c r="A1692" s="4" t="n"/>
      <c r="B1692" s="5" t="n"/>
      <c r="C1692" s="5" t="n"/>
      <c r="D1692" s="5" t="n"/>
      <c r="E1692" s="6">
        <f>IF(A1692="","","B"&amp;TEXT(COUNT($A$2:A1692),"00000"))</f>
        <v/>
      </c>
      <c r="F1692" s="6">
        <f>IF(OR(C1692="",D1692=""),"",IFERROR(LOOKUP(2,1/(($C$1:C1691=C1692)*($D$1:D1691=D1692)*ISNUMBER($J$1:J1691)),$J$1:J1691),SUMIFS(Master!$G$2:$G$13,Master!$E$2:$E$13,C1692,Master!$F$2:$F$13,D1692)))</f>
        <v/>
      </c>
      <c r="G1692" s="5" t="n"/>
      <c r="H1692" s="5" t="n"/>
      <c r="I1692" s="5" t="n"/>
      <c r="J1692" s="6">
        <f>IF(OR(F1692="",COUNT(G1692:I1692)&lt;3),"",F1692+G1692-H1692-I1692)</f>
        <v/>
      </c>
      <c r="K1692" s="6">
        <f>IF(COUNTA(A1692:D1692,G1692:I1692)=0,"",IF(COUNTA(A1692:D1692,G1692:I1692)&lt;7,"LENGKAPI",IF(H1692+I1692&gt;N(F1692)+G1692,"ABNORMAL",IF(COUNTIFS($A$2:$A$2001,A1692,$B$2:$B$2001,B1692,$C$2:$C$2001,C1692,$D$2:$D$2001,D1692)&gt;1,"DUPLIKAT","OK"))))</f>
        <v/>
      </c>
    </row>
    <row r="1693">
      <c r="A1693" s="4" t="n"/>
      <c r="B1693" s="5" t="n"/>
      <c r="C1693" s="5" t="n"/>
      <c r="D1693" s="5" t="n"/>
      <c r="E1693" s="6">
        <f>IF(A1693="","","B"&amp;TEXT(COUNT($A$2:A1693),"00000"))</f>
        <v/>
      </c>
      <c r="F1693" s="6">
        <f>IF(OR(C1693="",D1693=""),"",IFERROR(LOOKUP(2,1/(($C$1:C1692=C1693)*($D$1:D1692=D1693)*ISNUMBER($J$1:J1692)),$J$1:J1692),SUMIFS(Master!$G$2:$G$13,Master!$E$2:$E$13,C1693,Master!$F$2:$F$13,D1693)))</f>
        <v/>
      </c>
      <c r="G1693" s="5" t="n"/>
      <c r="H1693" s="5" t="n"/>
      <c r="I1693" s="5" t="n"/>
      <c r="J1693" s="6">
        <f>IF(OR(F1693="",COUNT(G1693:I1693)&lt;3),"",F1693+G1693-H1693-I1693)</f>
        <v/>
      </c>
      <c r="K1693" s="6">
        <f>IF(COUNTA(A1693:D1693,G1693:I1693)=0,"",IF(COUNTA(A1693:D1693,G1693:I1693)&lt;7,"LENGKAPI",IF(H1693+I1693&gt;N(F1693)+G1693,"ABNORMAL",IF(COUNTIFS($A$2:$A$2001,A1693,$B$2:$B$2001,B1693,$C$2:$C$2001,C1693,$D$2:$D$2001,D1693)&gt;1,"DUPLIKAT","OK"))))</f>
        <v/>
      </c>
    </row>
    <row r="1694">
      <c r="A1694" s="4" t="n"/>
      <c r="B1694" s="5" t="n"/>
      <c r="C1694" s="5" t="n"/>
      <c r="D1694" s="5" t="n"/>
      <c r="E1694" s="6">
        <f>IF(A1694="","","B"&amp;TEXT(COUNT($A$2:A1694),"00000"))</f>
        <v/>
      </c>
      <c r="F1694" s="6">
        <f>IF(OR(C1694="",D1694=""),"",IFERROR(LOOKUP(2,1/(($C$1:C1693=C1694)*($D$1:D1693=D1694)*ISNUMBER($J$1:J1693)),$J$1:J1693),SUMIFS(Master!$G$2:$G$13,Master!$E$2:$E$13,C1694,Master!$F$2:$F$13,D1694)))</f>
        <v/>
      </c>
      <c r="G1694" s="5" t="n"/>
      <c r="H1694" s="5" t="n"/>
      <c r="I1694" s="5" t="n"/>
      <c r="J1694" s="6">
        <f>IF(OR(F1694="",COUNT(G1694:I1694)&lt;3),"",F1694+G1694-H1694-I1694)</f>
        <v/>
      </c>
      <c r="K1694" s="6">
        <f>IF(COUNTA(A1694:D1694,G1694:I1694)=0,"",IF(COUNTA(A1694:D1694,G1694:I1694)&lt;7,"LENGKAPI",IF(H1694+I1694&gt;N(F1694)+G1694,"ABNORMAL",IF(COUNTIFS($A$2:$A$2001,A1694,$B$2:$B$2001,B1694,$C$2:$C$2001,C1694,$D$2:$D$2001,D1694)&gt;1,"DUPLIKAT","OK"))))</f>
        <v/>
      </c>
    </row>
    <row r="1695">
      <c r="A1695" s="4" t="n"/>
      <c r="B1695" s="5" t="n"/>
      <c r="C1695" s="5" t="n"/>
      <c r="D1695" s="5" t="n"/>
      <c r="E1695" s="6">
        <f>IF(A1695="","","B"&amp;TEXT(COUNT($A$2:A1695),"00000"))</f>
        <v/>
      </c>
      <c r="F1695" s="6">
        <f>IF(OR(C1695="",D1695=""),"",IFERROR(LOOKUP(2,1/(($C$1:C1694=C1695)*($D$1:D1694=D1695)*ISNUMBER($J$1:J1694)),$J$1:J1694),SUMIFS(Master!$G$2:$G$13,Master!$E$2:$E$13,C1695,Master!$F$2:$F$13,D1695)))</f>
        <v/>
      </c>
      <c r="G1695" s="5" t="n"/>
      <c r="H1695" s="5" t="n"/>
      <c r="I1695" s="5" t="n"/>
      <c r="J1695" s="6">
        <f>IF(OR(F1695="",COUNT(G1695:I1695)&lt;3),"",F1695+G1695-H1695-I1695)</f>
        <v/>
      </c>
      <c r="K1695" s="6">
        <f>IF(COUNTA(A1695:D1695,G1695:I1695)=0,"",IF(COUNTA(A1695:D1695,G1695:I1695)&lt;7,"LENGKAPI",IF(H1695+I1695&gt;N(F1695)+G1695,"ABNORMAL",IF(COUNTIFS($A$2:$A$2001,A1695,$B$2:$B$2001,B1695,$C$2:$C$2001,C1695,$D$2:$D$2001,D1695)&gt;1,"DUPLIKAT","OK"))))</f>
        <v/>
      </c>
    </row>
    <row r="1696">
      <c r="A1696" s="4" t="n"/>
      <c r="B1696" s="5" t="n"/>
      <c r="C1696" s="5" t="n"/>
      <c r="D1696" s="5" t="n"/>
      <c r="E1696" s="6">
        <f>IF(A1696="","","B"&amp;TEXT(COUNT($A$2:A1696),"00000"))</f>
        <v/>
      </c>
      <c r="F1696" s="6">
        <f>IF(OR(C1696="",D1696=""),"",IFERROR(LOOKUP(2,1/(($C$1:C1695=C1696)*($D$1:D1695=D1696)*ISNUMBER($J$1:J1695)),$J$1:J1695),SUMIFS(Master!$G$2:$G$13,Master!$E$2:$E$13,C1696,Master!$F$2:$F$13,D1696)))</f>
        <v/>
      </c>
      <c r="G1696" s="5" t="n"/>
      <c r="H1696" s="5" t="n"/>
      <c r="I1696" s="5" t="n"/>
      <c r="J1696" s="6">
        <f>IF(OR(F1696="",COUNT(G1696:I1696)&lt;3),"",F1696+G1696-H1696-I1696)</f>
        <v/>
      </c>
      <c r="K1696" s="6">
        <f>IF(COUNTA(A1696:D1696,G1696:I1696)=0,"",IF(COUNTA(A1696:D1696,G1696:I1696)&lt;7,"LENGKAPI",IF(H1696+I1696&gt;N(F1696)+G1696,"ABNORMAL",IF(COUNTIFS($A$2:$A$2001,A1696,$B$2:$B$2001,B1696,$C$2:$C$2001,C1696,$D$2:$D$2001,D1696)&gt;1,"DUPLIKAT","OK"))))</f>
        <v/>
      </c>
    </row>
    <row r="1697">
      <c r="A1697" s="4" t="n"/>
      <c r="B1697" s="5" t="n"/>
      <c r="C1697" s="5" t="n"/>
      <c r="D1697" s="5" t="n"/>
      <c r="E1697" s="6">
        <f>IF(A1697="","","B"&amp;TEXT(COUNT($A$2:A1697),"00000"))</f>
        <v/>
      </c>
      <c r="F1697" s="6">
        <f>IF(OR(C1697="",D1697=""),"",IFERROR(LOOKUP(2,1/(($C$1:C1696=C1697)*($D$1:D1696=D1697)*ISNUMBER($J$1:J1696)),$J$1:J1696),SUMIFS(Master!$G$2:$G$13,Master!$E$2:$E$13,C1697,Master!$F$2:$F$13,D1697)))</f>
        <v/>
      </c>
      <c r="G1697" s="5" t="n"/>
      <c r="H1697" s="5" t="n"/>
      <c r="I1697" s="5" t="n"/>
      <c r="J1697" s="6">
        <f>IF(OR(F1697="",COUNT(G1697:I1697)&lt;3),"",F1697+G1697-H1697-I1697)</f>
        <v/>
      </c>
      <c r="K1697" s="6">
        <f>IF(COUNTA(A1697:D1697,G1697:I1697)=0,"",IF(COUNTA(A1697:D1697,G1697:I1697)&lt;7,"LENGKAPI",IF(H1697+I1697&gt;N(F1697)+G1697,"ABNORMAL",IF(COUNTIFS($A$2:$A$2001,A1697,$B$2:$B$2001,B1697,$C$2:$C$2001,C1697,$D$2:$D$2001,D1697)&gt;1,"DUPLIKAT","OK"))))</f>
        <v/>
      </c>
    </row>
    <row r="1698">
      <c r="A1698" s="4" t="n"/>
      <c r="B1698" s="5" t="n"/>
      <c r="C1698" s="5" t="n"/>
      <c r="D1698" s="5" t="n"/>
      <c r="E1698" s="6">
        <f>IF(A1698="","","B"&amp;TEXT(COUNT($A$2:A1698),"00000"))</f>
        <v/>
      </c>
      <c r="F1698" s="6">
        <f>IF(OR(C1698="",D1698=""),"",IFERROR(LOOKUP(2,1/(($C$1:C1697=C1698)*($D$1:D1697=D1698)*ISNUMBER($J$1:J1697)),$J$1:J1697),SUMIFS(Master!$G$2:$G$13,Master!$E$2:$E$13,C1698,Master!$F$2:$F$13,D1698)))</f>
        <v/>
      </c>
      <c r="G1698" s="5" t="n"/>
      <c r="H1698" s="5" t="n"/>
      <c r="I1698" s="5" t="n"/>
      <c r="J1698" s="6">
        <f>IF(OR(F1698="",COUNT(G1698:I1698)&lt;3),"",F1698+G1698-H1698-I1698)</f>
        <v/>
      </c>
      <c r="K1698" s="6">
        <f>IF(COUNTA(A1698:D1698,G1698:I1698)=0,"",IF(COUNTA(A1698:D1698,G1698:I1698)&lt;7,"LENGKAPI",IF(H1698+I1698&gt;N(F1698)+G1698,"ABNORMAL",IF(COUNTIFS($A$2:$A$2001,A1698,$B$2:$B$2001,B1698,$C$2:$C$2001,C1698,$D$2:$D$2001,D1698)&gt;1,"DUPLIKAT","OK"))))</f>
        <v/>
      </c>
    </row>
    <row r="1699">
      <c r="A1699" s="4" t="n"/>
      <c r="B1699" s="5" t="n"/>
      <c r="C1699" s="5" t="n"/>
      <c r="D1699" s="5" t="n"/>
      <c r="E1699" s="6">
        <f>IF(A1699="","","B"&amp;TEXT(COUNT($A$2:A1699),"00000"))</f>
        <v/>
      </c>
      <c r="F1699" s="6">
        <f>IF(OR(C1699="",D1699=""),"",IFERROR(LOOKUP(2,1/(($C$1:C1698=C1699)*($D$1:D1698=D1699)*ISNUMBER($J$1:J1698)),$J$1:J1698),SUMIFS(Master!$G$2:$G$13,Master!$E$2:$E$13,C1699,Master!$F$2:$F$13,D1699)))</f>
        <v/>
      </c>
      <c r="G1699" s="5" t="n"/>
      <c r="H1699" s="5" t="n"/>
      <c r="I1699" s="5" t="n"/>
      <c r="J1699" s="6">
        <f>IF(OR(F1699="",COUNT(G1699:I1699)&lt;3),"",F1699+G1699-H1699-I1699)</f>
        <v/>
      </c>
      <c r="K1699" s="6">
        <f>IF(COUNTA(A1699:D1699,G1699:I1699)=0,"",IF(COUNTA(A1699:D1699,G1699:I1699)&lt;7,"LENGKAPI",IF(H1699+I1699&gt;N(F1699)+G1699,"ABNORMAL",IF(COUNTIFS($A$2:$A$2001,A1699,$B$2:$B$2001,B1699,$C$2:$C$2001,C1699,$D$2:$D$2001,D1699)&gt;1,"DUPLIKAT","OK"))))</f>
        <v/>
      </c>
    </row>
    <row r="1700">
      <c r="A1700" s="4" t="n"/>
      <c r="B1700" s="5" t="n"/>
      <c r="C1700" s="5" t="n"/>
      <c r="D1700" s="5" t="n"/>
      <c r="E1700" s="6">
        <f>IF(A1700="","","B"&amp;TEXT(COUNT($A$2:A1700),"00000"))</f>
        <v/>
      </c>
      <c r="F1700" s="6">
        <f>IF(OR(C1700="",D1700=""),"",IFERROR(LOOKUP(2,1/(($C$1:C1699=C1700)*($D$1:D1699=D1700)*ISNUMBER($J$1:J1699)),$J$1:J1699),SUMIFS(Master!$G$2:$G$13,Master!$E$2:$E$13,C1700,Master!$F$2:$F$13,D1700)))</f>
        <v/>
      </c>
      <c r="G1700" s="5" t="n"/>
      <c r="H1700" s="5" t="n"/>
      <c r="I1700" s="5" t="n"/>
      <c r="J1700" s="6">
        <f>IF(OR(F1700="",COUNT(G1700:I1700)&lt;3),"",F1700+G1700-H1700-I1700)</f>
        <v/>
      </c>
      <c r="K1700" s="6">
        <f>IF(COUNTA(A1700:D1700,G1700:I1700)=0,"",IF(COUNTA(A1700:D1700,G1700:I1700)&lt;7,"LENGKAPI",IF(H1700+I1700&gt;N(F1700)+G1700,"ABNORMAL",IF(COUNTIFS($A$2:$A$2001,A1700,$B$2:$B$2001,B1700,$C$2:$C$2001,C1700,$D$2:$D$2001,D1700)&gt;1,"DUPLIKAT","OK"))))</f>
        <v/>
      </c>
    </row>
    <row r="1701">
      <c r="A1701" s="4" t="n"/>
      <c r="B1701" s="5" t="n"/>
      <c r="C1701" s="5" t="n"/>
      <c r="D1701" s="5" t="n"/>
      <c r="E1701" s="6">
        <f>IF(A1701="","","B"&amp;TEXT(COUNT($A$2:A1701),"00000"))</f>
        <v/>
      </c>
      <c r="F1701" s="6">
        <f>IF(OR(C1701="",D1701=""),"",IFERROR(LOOKUP(2,1/(($C$1:C1700=C1701)*($D$1:D1700=D1701)*ISNUMBER($J$1:J1700)),$J$1:J1700),SUMIFS(Master!$G$2:$G$13,Master!$E$2:$E$13,C1701,Master!$F$2:$F$13,D1701)))</f>
        <v/>
      </c>
      <c r="G1701" s="5" t="n"/>
      <c r="H1701" s="5" t="n"/>
      <c r="I1701" s="5" t="n"/>
      <c r="J1701" s="6">
        <f>IF(OR(F1701="",COUNT(G1701:I1701)&lt;3),"",F1701+G1701-H1701-I1701)</f>
        <v/>
      </c>
      <c r="K1701" s="6">
        <f>IF(COUNTA(A1701:D1701,G1701:I1701)=0,"",IF(COUNTA(A1701:D1701,G1701:I1701)&lt;7,"LENGKAPI",IF(H1701+I1701&gt;N(F1701)+G1701,"ABNORMAL",IF(COUNTIFS($A$2:$A$2001,A1701,$B$2:$B$2001,B1701,$C$2:$C$2001,C1701,$D$2:$D$2001,D1701)&gt;1,"DUPLIKAT","OK"))))</f>
        <v/>
      </c>
    </row>
    <row r="1702">
      <c r="A1702" s="4" t="n"/>
      <c r="B1702" s="5" t="n"/>
      <c r="C1702" s="5" t="n"/>
      <c r="D1702" s="5" t="n"/>
      <c r="E1702" s="6">
        <f>IF(A1702="","","B"&amp;TEXT(COUNT($A$2:A1702),"00000"))</f>
        <v/>
      </c>
      <c r="F1702" s="6">
        <f>IF(OR(C1702="",D1702=""),"",IFERROR(LOOKUP(2,1/(($C$1:C1701=C1702)*($D$1:D1701=D1702)*ISNUMBER($J$1:J1701)),$J$1:J1701),SUMIFS(Master!$G$2:$G$13,Master!$E$2:$E$13,C1702,Master!$F$2:$F$13,D1702)))</f>
        <v/>
      </c>
      <c r="G1702" s="5" t="n"/>
      <c r="H1702" s="5" t="n"/>
      <c r="I1702" s="5" t="n"/>
      <c r="J1702" s="6">
        <f>IF(OR(F1702="",COUNT(G1702:I1702)&lt;3),"",F1702+G1702-H1702-I1702)</f>
        <v/>
      </c>
      <c r="K1702" s="6">
        <f>IF(COUNTA(A1702:D1702,G1702:I1702)=0,"",IF(COUNTA(A1702:D1702,G1702:I1702)&lt;7,"LENGKAPI",IF(H1702+I1702&gt;N(F1702)+G1702,"ABNORMAL",IF(COUNTIFS($A$2:$A$2001,A1702,$B$2:$B$2001,B1702,$C$2:$C$2001,C1702,$D$2:$D$2001,D1702)&gt;1,"DUPLIKAT","OK"))))</f>
        <v/>
      </c>
    </row>
    <row r="1703">
      <c r="A1703" s="4" t="n"/>
      <c r="B1703" s="5" t="n"/>
      <c r="C1703" s="5" t="n"/>
      <c r="D1703" s="5" t="n"/>
      <c r="E1703" s="6">
        <f>IF(A1703="","","B"&amp;TEXT(COUNT($A$2:A1703),"00000"))</f>
        <v/>
      </c>
      <c r="F1703" s="6">
        <f>IF(OR(C1703="",D1703=""),"",IFERROR(LOOKUP(2,1/(($C$1:C1702=C1703)*($D$1:D1702=D1703)*ISNUMBER($J$1:J1702)),$J$1:J1702),SUMIFS(Master!$G$2:$G$13,Master!$E$2:$E$13,C1703,Master!$F$2:$F$13,D1703)))</f>
        <v/>
      </c>
      <c r="G1703" s="5" t="n"/>
      <c r="H1703" s="5" t="n"/>
      <c r="I1703" s="5" t="n"/>
      <c r="J1703" s="6">
        <f>IF(OR(F1703="",COUNT(G1703:I1703)&lt;3),"",F1703+G1703-H1703-I1703)</f>
        <v/>
      </c>
      <c r="K1703" s="6">
        <f>IF(COUNTA(A1703:D1703,G1703:I1703)=0,"",IF(COUNTA(A1703:D1703,G1703:I1703)&lt;7,"LENGKAPI",IF(H1703+I1703&gt;N(F1703)+G1703,"ABNORMAL",IF(COUNTIFS($A$2:$A$2001,A1703,$B$2:$B$2001,B1703,$C$2:$C$2001,C1703,$D$2:$D$2001,D1703)&gt;1,"DUPLIKAT","OK"))))</f>
        <v/>
      </c>
    </row>
    <row r="1704">
      <c r="A1704" s="4" t="n"/>
      <c r="B1704" s="5" t="n"/>
      <c r="C1704" s="5" t="n"/>
      <c r="D1704" s="5" t="n"/>
      <c r="E1704" s="6">
        <f>IF(A1704="","","B"&amp;TEXT(COUNT($A$2:A1704),"00000"))</f>
        <v/>
      </c>
      <c r="F1704" s="6">
        <f>IF(OR(C1704="",D1704=""),"",IFERROR(LOOKUP(2,1/(($C$1:C1703=C1704)*($D$1:D1703=D1704)*ISNUMBER($J$1:J1703)),$J$1:J1703),SUMIFS(Master!$G$2:$G$13,Master!$E$2:$E$13,C1704,Master!$F$2:$F$13,D1704)))</f>
        <v/>
      </c>
      <c r="G1704" s="5" t="n"/>
      <c r="H1704" s="5" t="n"/>
      <c r="I1704" s="5" t="n"/>
      <c r="J1704" s="6">
        <f>IF(OR(F1704="",COUNT(G1704:I1704)&lt;3),"",F1704+G1704-H1704-I1704)</f>
        <v/>
      </c>
      <c r="K1704" s="6">
        <f>IF(COUNTA(A1704:D1704,G1704:I1704)=0,"",IF(COUNTA(A1704:D1704,G1704:I1704)&lt;7,"LENGKAPI",IF(H1704+I1704&gt;N(F1704)+G1704,"ABNORMAL",IF(COUNTIFS($A$2:$A$2001,A1704,$B$2:$B$2001,B1704,$C$2:$C$2001,C1704,$D$2:$D$2001,D1704)&gt;1,"DUPLIKAT","OK"))))</f>
        <v/>
      </c>
    </row>
    <row r="1705">
      <c r="A1705" s="4" t="n"/>
      <c r="B1705" s="5" t="n"/>
      <c r="C1705" s="5" t="n"/>
      <c r="D1705" s="5" t="n"/>
      <c r="E1705" s="6">
        <f>IF(A1705="","","B"&amp;TEXT(COUNT($A$2:A1705),"00000"))</f>
        <v/>
      </c>
      <c r="F1705" s="6">
        <f>IF(OR(C1705="",D1705=""),"",IFERROR(LOOKUP(2,1/(($C$1:C1704=C1705)*($D$1:D1704=D1705)*ISNUMBER($J$1:J1704)),$J$1:J1704),SUMIFS(Master!$G$2:$G$13,Master!$E$2:$E$13,C1705,Master!$F$2:$F$13,D1705)))</f>
        <v/>
      </c>
      <c r="G1705" s="5" t="n"/>
      <c r="H1705" s="5" t="n"/>
      <c r="I1705" s="5" t="n"/>
      <c r="J1705" s="6">
        <f>IF(OR(F1705="",COUNT(G1705:I1705)&lt;3),"",F1705+G1705-H1705-I1705)</f>
        <v/>
      </c>
      <c r="K1705" s="6">
        <f>IF(COUNTA(A1705:D1705,G1705:I1705)=0,"",IF(COUNTA(A1705:D1705,G1705:I1705)&lt;7,"LENGKAPI",IF(H1705+I1705&gt;N(F1705)+G1705,"ABNORMAL",IF(COUNTIFS($A$2:$A$2001,A1705,$B$2:$B$2001,B1705,$C$2:$C$2001,C1705,$D$2:$D$2001,D1705)&gt;1,"DUPLIKAT","OK"))))</f>
        <v/>
      </c>
    </row>
    <row r="1706">
      <c r="A1706" s="4" t="n"/>
      <c r="B1706" s="5" t="n"/>
      <c r="C1706" s="5" t="n"/>
      <c r="D1706" s="5" t="n"/>
      <c r="E1706" s="6">
        <f>IF(A1706="","","B"&amp;TEXT(COUNT($A$2:A1706),"00000"))</f>
        <v/>
      </c>
      <c r="F1706" s="6">
        <f>IF(OR(C1706="",D1706=""),"",IFERROR(LOOKUP(2,1/(($C$1:C1705=C1706)*($D$1:D1705=D1706)*ISNUMBER($J$1:J1705)),$J$1:J1705),SUMIFS(Master!$G$2:$G$13,Master!$E$2:$E$13,C1706,Master!$F$2:$F$13,D1706)))</f>
        <v/>
      </c>
      <c r="G1706" s="5" t="n"/>
      <c r="H1706" s="5" t="n"/>
      <c r="I1706" s="5" t="n"/>
      <c r="J1706" s="6">
        <f>IF(OR(F1706="",COUNT(G1706:I1706)&lt;3),"",F1706+G1706-H1706-I1706)</f>
        <v/>
      </c>
      <c r="K1706" s="6">
        <f>IF(COUNTA(A1706:D1706,G1706:I1706)=0,"",IF(COUNTA(A1706:D1706,G1706:I1706)&lt;7,"LENGKAPI",IF(H1706+I1706&gt;N(F1706)+G1706,"ABNORMAL",IF(COUNTIFS($A$2:$A$2001,A1706,$B$2:$B$2001,B1706,$C$2:$C$2001,C1706,$D$2:$D$2001,D1706)&gt;1,"DUPLIKAT","OK"))))</f>
        <v/>
      </c>
    </row>
    <row r="1707">
      <c r="A1707" s="4" t="n"/>
      <c r="B1707" s="5" t="n"/>
      <c r="C1707" s="5" t="n"/>
      <c r="D1707" s="5" t="n"/>
      <c r="E1707" s="6">
        <f>IF(A1707="","","B"&amp;TEXT(COUNT($A$2:A1707),"00000"))</f>
        <v/>
      </c>
      <c r="F1707" s="6">
        <f>IF(OR(C1707="",D1707=""),"",IFERROR(LOOKUP(2,1/(($C$1:C1706=C1707)*($D$1:D1706=D1707)*ISNUMBER($J$1:J1706)),$J$1:J1706),SUMIFS(Master!$G$2:$G$13,Master!$E$2:$E$13,C1707,Master!$F$2:$F$13,D1707)))</f>
        <v/>
      </c>
      <c r="G1707" s="5" t="n"/>
      <c r="H1707" s="5" t="n"/>
      <c r="I1707" s="5" t="n"/>
      <c r="J1707" s="6">
        <f>IF(OR(F1707="",COUNT(G1707:I1707)&lt;3),"",F1707+G1707-H1707-I1707)</f>
        <v/>
      </c>
      <c r="K1707" s="6">
        <f>IF(COUNTA(A1707:D1707,G1707:I1707)=0,"",IF(COUNTA(A1707:D1707,G1707:I1707)&lt;7,"LENGKAPI",IF(H1707+I1707&gt;N(F1707)+G1707,"ABNORMAL",IF(COUNTIFS($A$2:$A$2001,A1707,$B$2:$B$2001,B1707,$C$2:$C$2001,C1707,$D$2:$D$2001,D1707)&gt;1,"DUPLIKAT","OK"))))</f>
        <v/>
      </c>
    </row>
    <row r="1708">
      <c r="A1708" s="4" t="n"/>
      <c r="B1708" s="5" t="n"/>
      <c r="C1708" s="5" t="n"/>
      <c r="D1708" s="5" t="n"/>
      <c r="E1708" s="6">
        <f>IF(A1708="","","B"&amp;TEXT(COUNT($A$2:A1708),"00000"))</f>
        <v/>
      </c>
      <c r="F1708" s="6">
        <f>IF(OR(C1708="",D1708=""),"",IFERROR(LOOKUP(2,1/(($C$1:C1707=C1708)*($D$1:D1707=D1708)*ISNUMBER($J$1:J1707)),$J$1:J1707),SUMIFS(Master!$G$2:$G$13,Master!$E$2:$E$13,C1708,Master!$F$2:$F$13,D1708)))</f>
        <v/>
      </c>
      <c r="G1708" s="5" t="n"/>
      <c r="H1708" s="5" t="n"/>
      <c r="I1708" s="5" t="n"/>
      <c r="J1708" s="6">
        <f>IF(OR(F1708="",COUNT(G1708:I1708)&lt;3),"",F1708+G1708-H1708-I1708)</f>
        <v/>
      </c>
      <c r="K1708" s="6">
        <f>IF(COUNTA(A1708:D1708,G1708:I1708)=0,"",IF(COUNTA(A1708:D1708,G1708:I1708)&lt;7,"LENGKAPI",IF(H1708+I1708&gt;N(F1708)+G1708,"ABNORMAL",IF(COUNTIFS($A$2:$A$2001,A1708,$B$2:$B$2001,B1708,$C$2:$C$2001,C1708,$D$2:$D$2001,D1708)&gt;1,"DUPLIKAT","OK"))))</f>
        <v/>
      </c>
    </row>
    <row r="1709">
      <c r="A1709" s="4" t="n"/>
      <c r="B1709" s="5" t="n"/>
      <c r="C1709" s="5" t="n"/>
      <c r="D1709" s="5" t="n"/>
      <c r="E1709" s="6">
        <f>IF(A1709="","","B"&amp;TEXT(COUNT($A$2:A1709),"00000"))</f>
        <v/>
      </c>
      <c r="F1709" s="6">
        <f>IF(OR(C1709="",D1709=""),"",IFERROR(LOOKUP(2,1/(($C$1:C1708=C1709)*($D$1:D1708=D1709)*ISNUMBER($J$1:J1708)),$J$1:J1708),SUMIFS(Master!$G$2:$G$13,Master!$E$2:$E$13,C1709,Master!$F$2:$F$13,D1709)))</f>
        <v/>
      </c>
      <c r="G1709" s="5" t="n"/>
      <c r="H1709" s="5" t="n"/>
      <c r="I1709" s="5" t="n"/>
      <c r="J1709" s="6">
        <f>IF(OR(F1709="",COUNT(G1709:I1709)&lt;3),"",F1709+G1709-H1709-I1709)</f>
        <v/>
      </c>
      <c r="K1709" s="6">
        <f>IF(COUNTA(A1709:D1709,G1709:I1709)=0,"",IF(COUNTA(A1709:D1709,G1709:I1709)&lt;7,"LENGKAPI",IF(H1709+I1709&gt;N(F1709)+G1709,"ABNORMAL",IF(COUNTIFS($A$2:$A$2001,A1709,$B$2:$B$2001,B1709,$C$2:$C$2001,C1709,$D$2:$D$2001,D1709)&gt;1,"DUPLIKAT","OK"))))</f>
        <v/>
      </c>
    </row>
    <row r="1710">
      <c r="A1710" s="4" t="n"/>
      <c r="B1710" s="5" t="n"/>
      <c r="C1710" s="5" t="n"/>
      <c r="D1710" s="5" t="n"/>
      <c r="E1710" s="6">
        <f>IF(A1710="","","B"&amp;TEXT(COUNT($A$2:A1710),"00000"))</f>
        <v/>
      </c>
      <c r="F1710" s="6">
        <f>IF(OR(C1710="",D1710=""),"",IFERROR(LOOKUP(2,1/(($C$1:C1709=C1710)*($D$1:D1709=D1710)*ISNUMBER($J$1:J1709)),$J$1:J1709),SUMIFS(Master!$G$2:$G$13,Master!$E$2:$E$13,C1710,Master!$F$2:$F$13,D1710)))</f>
        <v/>
      </c>
      <c r="G1710" s="5" t="n"/>
      <c r="H1710" s="5" t="n"/>
      <c r="I1710" s="5" t="n"/>
      <c r="J1710" s="6">
        <f>IF(OR(F1710="",COUNT(G1710:I1710)&lt;3),"",F1710+G1710-H1710-I1710)</f>
        <v/>
      </c>
      <c r="K1710" s="6">
        <f>IF(COUNTA(A1710:D1710,G1710:I1710)=0,"",IF(COUNTA(A1710:D1710,G1710:I1710)&lt;7,"LENGKAPI",IF(H1710+I1710&gt;N(F1710)+G1710,"ABNORMAL",IF(COUNTIFS($A$2:$A$2001,A1710,$B$2:$B$2001,B1710,$C$2:$C$2001,C1710,$D$2:$D$2001,D1710)&gt;1,"DUPLIKAT","OK"))))</f>
        <v/>
      </c>
    </row>
    <row r="1711">
      <c r="A1711" s="4" t="n"/>
      <c r="B1711" s="5" t="n"/>
      <c r="C1711" s="5" t="n"/>
      <c r="D1711" s="5" t="n"/>
      <c r="E1711" s="6">
        <f>IF(A1711="","","B"&amp;TEXT(COUNT($A$2:A1711),"00000"))</f>
        <v/>
      </c>
      <c r="F1711" s="6">
        <f>IF(OR(C1711="",D1711=""),"",IFERROR(LOOKUP(2,1/(($C$1:C1710=C1711)*($D$1:D1710=D1711)*ISNUMBER($J$1:J1710)),$J$1:J1710),SUMIFS(Master!$G$2:$G$13,Master!$E$2:$E$13,C1711,Master!$F$2:$F$13,D1711)))</f>
        <v/>
      </c>
      <c r="G1711" s="5" t="n"/>
      <c r="H1711" s="5" t="n"/>
      <c r="I1711" s="5" t="n"/>
      <c r="J1711" s="6">
        <f>IF(OR(F1711="",COUNT(G1711:I1711)&lt;3),"",F1711+G1711-H1711-I1711)</f>
        <v/>
      </c>
      <c r="K1711" s="6">
        <f>IF(COUNTA(A1711:D1711,G1711:I1711)=0,"",IF(COUNTA(A1711:D1711,G1711:I1711)&lt;7,"LENGKAPI",IF(H1711+I1711&gt;N(F1711)+G1711,"ABNORMAL",IF(COUNTIFS($A$2:$A$2001,A1711,$B$2:$B$2001,B1711,$C$2:$C$2001,C1711,$D$2:$D$2001,D1711)&gt;1,"DUPLIKAT","OK"))))</f>
        <v/>
      </c>
    </row>
    <row r="1712">
      <c r="A1712" s="4" t="n"/>
      <c r="B1712" s="5" t="n"/>
      <c r="C1712" s="5" t="n"/>
      <c r="D1712" s="5" t="n"/>
      <c r="E1712" s="6">
        <f>IF(A1712="","","B"&amp;TEXT(COUNT($A$2:A1712),"00000"))</f>
        <v/>
      </c>
      <c r="F1712" s="6">
        <f>IF(OR(C1712="",D1712=""),"",IFERROR(LOOKUP(2,1/(($C$1:C1711=C1712)*($D$1:D1711=D1712)*ISNUMBER($J$1:J1711)),$J$1:J1711),SUMIFS(Master!$G$2:$G$13,Master!$E$2:$E$13,C1712,Master!$F$2:$F$13,D1712)))</f>
        <v/>
      </c>
      <c r="G1712" s="5" t="n"/>
      <c r="H1712" s="5" t="n"/>
      <c r="I1712" s="5" t="n"/>
      <c r="J1712" s="6">
        <f>IF(OR(F1712="",COUNT(G1712:I1712)&lt;3),"",F1712+G1712-H1712-I1712)</f>
        <v/>
      </c>
      <c r="K1712" s="6">
        <f>IF(COUNTA(A1712:D1712,G1712:I1712)=0,"",IF(COUNTA(A1712:D1712,G1712:I1712)&lt;7,"LENGKAPI",IF(H1712+I1712&gt;N(F1712)+G1712,"ABNORMAL",IF(COUNTIFS($A$2:$A$2001,A1712,$B$2:$B$2001,B1712,$C$2:$C$2001,C1712,$D$2:$D$2001,D1712)&gt;1,"DUPLIKAT","OK"))))</f>
        <v/>
      </c>
    </row>
    <row r="1713">
      <c r="A1713" s="4" t="n"/>
      <c r="B1713" s="5" t="n"/>
      <c r="C1713" s="5" t="n"/>
      <c r="D1713" s="5" t="n"/>
      <c r="E1713" s="6">
        <f>IF(A1713="","","B"&amp;TEXT(COUNT($A$2:A1713),"00000"))</f>
        <v/>
      </c>
      <c r="F1713" s="6">
        <f>IF(OR(C1713="",D1713=""),"",IFERROR(LOOKUP(2,1/(($C$1:C1712=C1713)*($D$1:D1712=D1713)*ISNUMBER($J$1:J1712)),$J$1:J1712),SUMIFS(Master!$G$2:$G$13,Master!$E$2:$E$13,C1713,Master!$F$2:$F$13,D1713)))</f>
        <v/>
      </c>
      <c r="G1713" s="5" t="n"/>
      <c r="H1713" s="5" t="n"/>
      <c r="I1713" s="5" t="n"/>
      <c r="J1713" s="6">
        <f>IF(OR(F1713="",COUNT(G1713:I1713)&lt;3),"",F1713+G1713-H1713-I1713)</f>
        <v/>
      </c>
      <c r="K1713" s="6">
        <f>IF(COUNTA(A1713:D1713,G1713:I1713)=0,"",IF(COUNTA(A1713:D1713,G1713:I1713)&lt;7,"LENGKAPI",IF(H1713+I1713&gt;N(F1713)+G1713,"ABNORMAL",IF(COUNTIFS($A$2:$A$2001,A1713,$B$2:$B$2001,B1713,$C$2:$C$2001,C1713,$D$2:$D$2001,D1713)&gt;1,"DUPLIKAT","OK"))))</f>
        <v/>
      </c>
    </row>
    <row r="1714">
      <c r="A1714" s="4" t="n"/>
      <c r="B1714" s="5" t="n"/>
      <c r="C1714" s="5" t="n"/>
      <c r="D1714" s="5" t="n"/>
      <c r="E1714" s="6">
        <f>IF(A1714="","","B"&amp;TEXT(COUNT($A$2:A1714),"00000"))</f>
        <v/>
      </c>
      <c r="F1714" s="6">
        <f>IF(OR(C1714="",D1714=""),"",IFERROR(LOOKUP(2,1/(($C$1:C1713=C1714)*($D$1:D1713=D1714)*ISNUMBER($J$1:J1713)),$J$1:J1713),SUMIFS(Master!$G$2:$G$13,Master!$E$2:$E$13,C1714,Master!$F$2:$F$13,D1714)))</f>
        <v/>
      </c>
      <c r="G1714" s="5" t="n"/>
      <c r="H1714" s="5" t="n"/>
      <c r="I1714" s="5" t="n"/>
      <c r="J1714" s="6">
        <f>IF(OR(F1714="",COUNT(G1714:I1714)&lt;3),"",F1714+G1714-H1714-I1714)</f>
        <v/>
      </c>
      <c r="K1714" s="6">
        <f>IF(COUNTA(A1714:D1714,G1714:I1714)=0,"",IF(COUNTA(A1714:D1714,G1714:I1714)&lt;7,"LENGKAPI",IF(H1714+I1714&gt;N(F1714)+G1714,"ABNORMAL",IF(COUNTIFS($A$2:$A$2001,A1714,$B$2:$B$2001,B1714,$C$2:$C$2001,C1714,$D$2:$D$2001,D1714)&gt;1,"DUPLIKAT","OK"))))</f>
        <v/>
      </c>
    </row>
    <row r="1715">
      <c r="A1715" s="4" t="n"/>
      <c r="B1715" s="5" t="n"/>
      <c r="C1715" s="5" t="n"/>
      <c r="D1715" s="5" t="n"/>
      <c r="E1715" s="6">
        <f>IF(A1715="","","B"&amp;TEXT(COUNT($A$2:A1715),"00000"))</f>
        <v/>
      </c>
      <c r="F1715" s="6">
        <f>IF(OR(C1715="",D1715=""),"",IFERROR(LOOKUP(2,1/(($C$1:C1714=C1715)*($D$1:D1714=D1715)*ISNUMBER($J$1:J1714)),$J$1:J1714),SUMIFS(Master!$G$2:$G$13,Master!$E$2:$E$13,C1715,Master!$F$2:$F$13,D1715)))</f>
        <v/>
      </c>
      <c r="G1715" s="5" t="n"/>
      <c r="H1715" s="5" t="n"/>
      <c r="I1715" s="5" t="n"/>
      <c r="J1715" s="6">
        <f>IF(OR(F1715="",COUNT(G1715:I1715)&lt;3),"",F1715+G1715-H1715-I1715)</f>
        <v/>
      </c>
      <c r="K1715" s="6">
        <f>IF(COUNTA(A1715:D1715,G1715:I1715)=0,"",IF(COUNTA(A1715:D1715,G1715:I1715)&lt;7,"LENGKAPI",IF(H1715+I1715&gt;N(F1715)+G1715,"ABNORMAL",IF(COUNTIFS($A$2:$A$2001,A1715,$B$2:$B$2001,B1715,$C$2:$C$2001,C1715,$D$2:$D$2001,D1715)&gt;1,"DUPLIKAT","OK"))))</f>
        <v/>
      </c>
    </row>
    <row r="1716">
      <c r="A1716" s="4" t="n"/>
      <c r="B1716" s="5" t="n"/>
      <c r="C1716" s="5" t="n"/>
      <c r="D1716" s="5" t="n"/>
      <c r="E1716" s="6">
        <f>IF(A1716="","","B"&amp;TEXT(COUNT($A$2:A1716),"00000"))</f>
        <v/>
      </c>
      <c r="F1716" s="6">
        <f>IF(OR(C1716="",D1716=""),"",IFERROR(LOOKUP(2,1/(($C$1:C1715=C1716)*($D$1:D1715=D1716)*ISNUMBER($J$1:J1715)),$J$1:J1715),SUMIFS(Master!$G$2:$G$13,Master!$E$2:$E$13,C1716,Master!$F$2:$F$13,D1716)))</f>
        <v/>
      </c>
      <c r="G1716" s="5" t="n"/>
      <c r="H1716" s="5" t="n"/>
      <c r="I1716" s="5" t="n"/>
      <c r="J1716" s="6">
        <f>IF(OR(F1716="",COUNT(G1716:I1716)&lt;3),"",F1716+G1716-H1716-I1716)</f>
        <v/>
      </c>
      <c r="K1716" s="6">
        <f>IF(COUNTA(A1716:D1716,G1716:I1716)=0,"",IF(COUNTA(A1716:D1716,G1716:I1716)&lt;7,"LENGKAPI",IF(H1716+I1716&gt;N(F1716)+G1716,"ABNORMAL",IF(COUNTIFS($A$2:$A$2001,A1716,$B$2:$B$2001,B1716,$C$2:$C$2001,C1716,$D$2:$D$2001,D1716)&gt;1,"DUPLIKAT","OK"))))</f>
        <v/>
      </c>
    </row>
    <row r="1717">
      <c r="A1717" s="4" t="n"/>
      <c r="B1717" s="5" t="n"/>
      <c r="C1717" s="5" t="n"/>
      <c r="D1717" s="5" t="n"/>
      <c r="E1717" s="6">
        <f>IF(A1717="","","B"&amp;TEXT(COUNT($A$2:A1717),"00000"))</f>
        <v/>
      </c>
      <c r="F1717" s="6">
        <f>IF(OR(C1717="",D1717=""),"",IFERROR(LOOKUP(2,1/(($C$1:C1716=C1717)*($D$1:D1716=D1717)*ISNUMBER($J$1:J1716)),$J$1:J1716),SUMIFS(Master!$G$2:$G$13,Master!$E$2:$E$13,C1717,Master!$F$2:$F$13,D1717)))</f>
        <v/>
      </c>
      <c r="G1717" s="5" t="n"/>
      <c r="H1717" s="5" t="n"/>
      <c r="I1717" s="5" t="n"/>
      <c r="J1717" s="6">
        <f>IF(OR(F1717="",COUNT(G1717:I1717)&lt;3),"",F1717+G1717-H1717-I1717)</f>
        <v/>
      </c>
      <c r="K1717" s="6">
        <f>IF(COUNTA(A1717:D1717,G1717:I1717)=0,"",IF(COUNTA(A1717:D1717,G1717:I1717)&lt;7,"LENGKAPI",IF(H1717+I1717&gt;N(F1717)+G1717,"ABNORMAL",IF(COUNTIFS($A$2:$A$2001,A1717,$B$2:$B$2001,B1717,$C$2:$C$2001,C1717,$D$2:$D$2001,D1717)&gt;1,"DUPLIKAT","OK"))))</f>
        <v/>
      </c>
    </row>
    <row r="1718">
      <c r="A1718" s="4" t="n"/>
      <c r="B1718" s="5" t="n"/>
      <c r="C1718" s="5" t="n"/>
      <c r="D1718" s="5" t="n"/>
      <c r="E1718" s="6">
        <f>IF(A1718="","","B"&amp;TEXT(COUNT($A$2:A1718),"00000"))</f>
        <v/>
      </c>
      <c r="F1718" s="6">
        <f>IF(OR(C1718="",D1718=""),"",IFERROR(LOOKUP(2,1/(($C$1:C1717=C1718)*($D$1:D1717=D1718)*ISNUMBER($J$1:J1717)),$J$1:J1717),SUMIFS(Master!$G$2:$G$13,Master!$E$2:$E$13,C1718,Master!$F$2:$F$13,D1718)))</f>
        <v/>
      </c>
      <c r="G1718" s="5" t="n"/>
      <c r="H1718" s="5" t="n"/>
      <c r="I1718" s="5" t="n"/>
      <c r="J1718" s="6">
        <f>IF(OR(F1718="",COUNT(G1718:I1718)&lt;3),"",F1718+G1718-H1718-I1718)</f>
        <v/>
      </c>
      <c r="K1718" s="6">
        <f>IF(COUNTA(A1718:D1718,G1718:I1718)=0,"",IF(COUNTA(A1718:D1718,G1718:I1718)&lt;7,"LENGKAPI",IF(H1718+I1718&gt;N(F1718)+G1718,"ABNORMAL",IF(COUNTIFS($A$2:$A$2001,A1718,$B$2:$B$2001,B1718,$C$2:$C$2001,C1718,$D$2:$D$2001,D1718)&gt;1,"DUPLIKAT","OK"))))</f>
        <v/>
      </c>
    </row>
    <row r="1719">
      <c r="A1719" s="4" t="n"/>
      <c r="B1719" s="5" t="n"/>
      <c r="C1719" s="5" t="n"/>
      <c r="D1719" s="5" t="n"/>
      <c r="E1719" s="6">
        <f>IF(A1719="","","B"&amp;TEXT(COUNT($A$2:A1719),"00000"))</f>
        <v/>
      </c>
      <c r="F1719" s="6">
        <f>IF(OR(C1719="",D1719=""),"",IFERROR(LOOKUP(2,1/(($C$1:C1718=C1719)*($D$1:D1718=D1719)*ISNUMBER($J$1:J1718)),$J$1:J1718),SUMIFS(Master!$G$2:$G$13,Master!$E$2:$E$13,C1719,Master!$F$2:$F$13,D1719)))</f>
        <v/>
      </c>
      <c r="G1719" s="5" t="n"/>
      <c r="H1719" s="5" t="n"/>
      <c r="I1719" s="5" t="n"/>
      <c r="J1719" s="6">
        <f>IF(OR(F1719="",COUNT(G1719:I1719)&lt;3),"",F1719+G1719-H1719-I1719)</f>
        <v/>
      </c>
      <c r="K1719" s="6">
        <f>IF(COUNTA(A1719:D1719,G1719:I1719)=0,"",IF(COUNTA(A1719:D1719,G1719:I1719)&lt;7,"LENGKAPI",IF(H1719+I1719&gt;N(F1719)+G1719,"ABNORMAL",IF(COUNTIFS($A$2:$A$2001,A1719,$B$2:$B$2001,B1719,$C$2:$C$2001,C1719,$D$2:$D$2001,D1719)&gt;1,"DUPLIKAT","OK"))))</f>
        <v/>
      </c>
    </row>
    <row r="1720">
      <c r="A1720" s="4" t="n"/>
      <c r="B1720" s="5" t="n"/>
      <c r="C1720" s="5" t="n"/>
      <c r="D1720" s="5" t="n"/>
      <c r="E1720" s="6">
        <f>IF(A1720="","","B"&amp;TEXT(COUNT($A$2:A1720),"00000"))</f>
        <v/>
      </c>
      <c r="F1720" s="6">
        <f>IF(OR(C1720="",D1720=""),"",IFERROR(LOOKUP(2,1/(($C$1:C1719=C1720)*($D$1:D1719=D1720)*ISNUMBER($J$1:J1719)),$J$1:J1719),SUMIFS(Master!$G$2:$G$13,Master!$E$2:$E$13,C1720,Master!$F$2:$F$13,D1720)))</f>
        <v/>
      </c>
      <c r="G1720" s="5" t="n"/>
      <c r="H1720" s="5" t="n"/>
      <c r="I1720" s="5" t="n"/>
      <c r="J1720" s="6">
        <f>IF(OR(F1720="",COUNT(G1720:I1720)&lt;3),"",F1720+G1720-H1720-I1720)</f>
        <v/>
      </c>
      <c r="K1720" s="6">
        <f>IF(COUNTA(A1720:D1720,G1720:I1720)=0,"",IF(COUNTA(A1720:D1720,G1720:I1720)&lt;7,"LENGKAPI",IF(H1720+I1720&gt;N(F1720)+G1720,"ABNORMAL",IF(COUNTIFS($A$2:$A$2001,A1720,$B$2:$B$2001,B1720,$C$2:$C$2001,C1720,$D$2:$D$2001,D1720)&gt;1,"DUPLIKAT","OK"))))</f>
        <v/>
      </c>
    </row>
    <row r="1721">
      <c r="A1721" s="4" t="n"/>
      <c r="B1721" s="5" t="n"/>
      <c r="C1721" s="5" t="n"/>
      <c r="D1721" s="5" t="n"/>
      <c r="E1721" s="6">
        <f>IF(A1721="","","B"&amp;TEXT(COUNT($A$2:A1721),"00000"))</f>
        <v/>
      </c>
      <c r="F1721" s="6">
        <f>IF(OR(C1721="",D1721=""),"",IFERROR(LOOKUP(2,1/(($C$1:C1720=C1721)*($D$1:D1720=D1721)*ISNUMBER($J$1:J1720)),$J$1:J1720),SUMIFS(Master!$G$2:$G$13,Master!$E$2:$E$13,C1721,Master!$F$2:$F$13,D1721)))</f>
        <v/>
      </c>
      <c r="G1721" s="5" t="n"/>
      <c r="H1721" s="5" t="n"/>
      <c r="I1721" s="5" t="n"/>
      <c r="J1721" s="6">
        <f>IF(OR(F1721="",COUNT(G1721:I1721)&lt;3),"",F1721+G1721-H1721-I1721)</f>
        <v/>
      </c>
      <c r="K1721" s="6">
        <f>IF(COUNTA(A1721:D1721,G1721:I1721)=0,"",IF(COUNTA(A1721:D1721,G1721:I1721)&lt;7,"LENGKAPI",IF(H1721+I1721&gt;N(F1721)+G1721,"ABNORMAL",IF(COUNTIFS($A$2:$A$2001,A1721,$B$2:$B$2001,B1721,$C$2:$C$2001,C1721,$D$2:$D$2001,D1721)&gt;1,"DUPLIKAT","OK"))))</f>
        <v/>
      </c>
    </row>
    <row r="1722">
      <c r="A1722" s="4" t="n"/>
      <c r="B1722" s="5" t="n"/>
      <c r="C1722" s="5" t="n"/>
      <c r="D1722" s="5" t="n"/>
      <c r="E1722" s="6">
        <f>IF(A1722="","","B"&amp;TEXT(COUNT($A$2:A1722),"00000"))</f>
        <v/>
      </c>
      <c r="F1722" s="6">
        <f>IF(OR(C1722="",D1722=""),"",IFERROR(LOOKUP(2,1/(($C$1:C1721=C1722)*($D$1:D1721=D1722)*ISNUMBER($J$1:J1721)),$J$1:J1721),SUMIFS(Master!$G$2:$G$13,Master!$E$2:$E$13,C1722,Master!$F$2:$F$13,D1722)))</f>
        <v/>
      </c>
      <c r="G1722" s="5" t="n"/>
      <c r="H1722" s="5" t="n"/>
      <c r="I1722" s="5" t="n"/>
      <c r="J1722" s="6">
        <f>IF(OR(F1722="",COUNT(G1722:I1722)&lt;3),"",F1722+G1722-H1722-I1722)</f>
        <v/>
      </c>
      <c r="K1722" s="6">
        <f>IF(COUNTA(A1722:D1722,G1722:I1722)=0,"",IF(COUNTA(A1722:D1722,G1722:I1722)&lt;7,"LENGKAPI",IF(H1722+I1722&gt;N(F1722)+G1722,"ABNORMAL",IF(COUNTIFS($A$2:$A$2001,A1722,$B$2:$B$2001,B1722,$C$2:$C$2001,C1722,$D$2:$D$2001,D1722)&gt;1,"DUPLIKAT","OK"))))</f>
        <v/>
      </c>
    </row>
    <row r="1723">
      <c r="A1723" s="4" t="n"/>
      <c r="B1723" s="5" t="n"/>
      <c r="C1723" s="5" t="n"/>
      <c r="D1723" s="5" t="n"/>
      <c r="E1723" s="6">
        <f>IF(A1723="","","B"&amp;TEXT(COUNT($A$2:A1723),"00000"))</f>
        <v/>
      </c>
      <c r="F1723" s="6">
        <f>IF(OR(C1723="",D1723=""),"",IFERROR(LOOKUP(2,1/(($C$1:C1722=C1723)*($D$1:D1722=D1723)*ISNUMBER($J$1:J1722)),$J$1:J1722),SUMIFS(Master!$G$2:$G$13,Master!$E$2:$E$13,C1723,Master!$F$2:$F$13,D1723)))</f>
        <v/>
      </c>
      <c r="G1723" s="5" t="n"/>
      <c r="H1723" s="5" t="n"/>
      <c r="I1723" s="5" t="n"/>
      <c r="J1723" s="6">
        <f>IF(OR(F1723="",COUNT(G1723:I1723)&lt;3),"",F1723+G1723-H1723-I1723)</f>
        <v/>
      </c>
      <c r="K1723" s="6">
        <f>IF(COUNTA(A1723:D1723,G1723:I1723)=0,"",IF(COUNTA(A1723:D1723,G1723:I1723)&lt;7,"LENGKAPI",IF(H1723+I1723&gt;N(F1723)+G1723,"ABNORMAL",IF(COUNTIFS($A$2:$A$2001,A1723,$B$2:$B$2001,B1723,$C$2:$C$2001,C1723,$D$2:$D$2001,D1723)&gt;1,"DUPLIKAT","OK"))))</f>
        <v/>
      </c>
    </row>
    <row r="1724">
      <c r="A1724" s="4" t="n"/>
      <c r="B1724" s="5" t="n"/>
      <c r="C1724" s="5" t="n"/>
      <c r="D1724" s="5" t="n"/>
      <c r="E1724" s="6">
        <f>IF(A1724="","","B"&amp;TEXT(COUNT($A$2:A1724),"00000"))</f>
        <v/>
      </c>
      <c r="F1724" s="6">
        <f>IF(OR(C1724="",D1724=""),"",IFERROR(LOOKUP(2,1/(($C$1:C1723=C1724)*($D$1:D1723=D1724)*ISNUMBER($J$1:J1723)),$J$1:J1723),SUMIFS(Master!$G$2:$G$13,Master!$E$2:$E$13,C1724,Master!$F$2:$F$13,D1724)))</f>
        <v/>
      </c>
      <c r="G1724" s="5" t="n"/>
      <c r="H1724" s="5" t="n"/>
      <c r="I1724" s="5" t="n"/>
      <c r="J1724" s="6">
        <f>IF(OR(F1724="",COUNT(G1724:I1724)&lt;3),"",F1724+G1724-H1724-I1724)</f>
        <v/>
      </c>
      <c r="K1724" s="6">
        <f>IF(COUNTA(A1724:D1724,G1724:I1724)=0,"",IF(COUNTA(A1724:D1724,G1724:I1724)&lt;7,"LENGKAPI",IF(H1724+I1724&gt;N(F1724)+G1724,"ABNORMAL",IF(COUNTIFS($A$2:$A$2001,A1724,$B$2:$B$2001,B1724,$C$2:$C$2001,C1724,$D$2:$D$2001,D1724)&gt;1,"DUPLIKAT","OK"))))</f>
        <v/>
      </c>
    </row>
    <row r="1725">
      <c r="A1725" s="4" t="n"/>
      <c r="B1725" s="5" t="n"/>
      <c r="C1725" s="5" t="n"/>
      <c r="D1725" s="5" t="n"/>
      <c r="E1725" s="6">
        <f>IF(A1725="","","B"&amp;TEXT(COUNT($A$2:A1725),"00000"))</f>
        <v/>
      </c>
      <c r="F1725" s="6">
        <f>IF(OR(C1725="",D1725=""),"",IFERROR(LOOKUP(2,1/(($C$1:C1724=C1725)*($D$1:D1724=D1725)*ISNUMBER($J$1:J1724)),$J$1:J1724),SUMIFS(Master!$G$2:$G$13,Master!$E$2:$E$13,C1725,Master!$F$2:$F$13,D1725)))</f>
        <v/>
      </c>
      <c r="G1725" s="5" t="n"/>
      <c r="H1725" s="5" t="n"/>
      <c r="I1725" s="5" t="n"/>
      <c r="J1725" s="6">
        <f>IF(OR(F1725="",COUNT(G1725:I1725)&lt;3),"",F1725+G1725-H1725-I1725)</f>
        <v/>
      </c>
      <c r="K1725" s="6">
        <f>IF(COUNTA(A1725:D1725,G1725:I1725)=0,"",IF(COUNTA(A1725:D1725,G1725:I1725)&lt;7,"LENGKAPI",IF(H1725+I1725&gt;N(F1725)+G1725,"ABNORMAL",IF(COUNTIFS($A$2:$A$2001,A1725,$B$2:$B$2001,B1725,$C$2:$C$2001,C1725,$D$2:$D$2001,D1725)&gt;1,"DUPLIKAT","OK"))))</f>
        <v/>
      </c>
    </row>
    <row r="1726">
      <c r="A1726" s="4" t="n"/>
      <c r="B1726" s="5" t="n"/>
      <c r="C1726" s="5" t="n"/>
      <c r="D1726" s="5" t="n"/>
      <c r="E1726" s="6">
        <f>IF(A1726="","","B"&amp;TEXT(COUNT($A$2:A1726),"00000"))</f>
        <v/>
      </c>
      <c r="F1726" s="6">
        <f>IF(OR(C1726="",D1726=""),"",IFERROR(LOOKUP(2,1/(($C$1:C1725=C1726)*($D$1:D1725=D1726)*ISNUMBER($J$1:J1725)),$J$1:J1725),SUMIFS(Master!$G$2:$G$13,Master!$E$2:$E$13,C1726,Master!$F$2:$F$13,D1726)))</f>
        <v/>
      </c>
      <c r="G1726" s="5" t="n"/>
      <c r="H1726" s="5" t="n"/>
      <c r="I1726" s="5" t="n"/>
      <c r="J1726" s="6">
        <f>IF(OR(F1726="",COUNT(G1726:I1726)&lt;3),"",F1726+G1726-H1726-I1726)</f>
        <v/>
      </c>
      <c r="K1726" s="6">
        <f>IF(COUNTA(A1726:D1726,G1726:I1726)=0,"",IF(COUNTA(A1726:D1726,G1726:I1726)&lt;7,"LENGKAPI",IF(H1726+I1726&gt;N(F1726)+G1726,"ABNORMAL",IF(COUNTIFS($A$2:$A$2001,A1726,$B$2:$B$2001,B1726,$C$2:$C$2001,C1726,$D$2:$D$2001,D1726)&gt;1,"DUPLIKAT","OK"))))</f>
        <v/>
      </c>
    </row>
    <row r="1727">
      <c r="A1727" s="4" t="n"/>
      <c r="B1727" s="5" t="n"/>
      <c r="C1727" s="5" t="n"/>
      <c r="D1727" s="5" t="n"/>
      <c r="E1727" s="6">
        <f>IF(A1727="","","B"&amp;TEXT(COUNT($A$2:A1727),"00000"))</f>
        <v/>
      </c>
      <c r="F1727" s="6">
        <f>IF(OR(C1727="",D1727=""),"",IFERROR(LOOKUP(2,1/(($C$1:C1726=C1727)*($D$1:D1726=D1727)*ISNUMBER($J$1:J1726)),$J$1:J1726),SUMIFS(Master!$G$2:$G$13,Master!$E$2:$E$13,C1727,Master!$F$2:$F$13,D1727)))</f>
        <v/>
      </c>
      <c r="G1727" s="5" t="n"/>
      <c r="H1727" s="5" t="n"/>
      <c r="I1727" s="5" t="n"/>
      <c r="J1727" s="6">
        <f>IF(OR(F1727="",COUNT(G1727:I1727)&lt;3),"",F1727+G1727-H1727-I1727)</f>
        <v/>
      </c>
      <c r="K1727" s="6">
        <f>IF(COUNTA(A1727:D1727,G1727:I1727)=0,"",IF(COUNTA(A1727:D1727,G1727:I1727)&lt;7,"LENGKAPI",IF(H1727+I1727&gt;N(F1727)+G1727,"ABNORMAL",IF(COUNTIFS($A$2:$A$2001,A1727,$B$2:$B$2001,B1727,$C$2:$C$2001,C1727,$D$2:$D$2001,D1727)&gt;1,"DUPLIKAT","OK"))))</f>
        <v/>
      </c>
    </row>
    <row r="1728">
      <c r="A1728" s="4" t="n"/>
      <c r="B1728" s="5" t="n"/>
      <c r="C1728" s="5" t="n"/>
      <c r="D1728" s="5" t="n"/>
      <c r="E1728" s="6">
        <f>IF(A1728="","","B"&amp;TEXT(COUNT($A$2:A1728),"00000"))</f>
        <v/>
      </c>
      <c r="F1728" s="6">
        <f>IF(OR(C1728="",D1728=""),"",IFERROR(LOOKUP(2,1/(($C$1:C1727=C1728)*($D$1:D1727=D1728)*ISNUMBER($J$1:J1727)),$J$1:J1727),SUMIFS(Master!$G$2:$G$13,Master!$E$2:$E$13,C1728,Master!$F$2:$F$13,D1728)))</f>
        <v/>
      </c>
      <c r="G1728" s="5" t="n"/>
      <c r="H1728" s="5" t="n"/>
      <c r="I1728" s="5" t="n"/>
      <c r="J1728" s="6">
        <f>IF(OR(F1728="",COUNT(G1728:I1728)&lt;3),"",F1728+G1728-H1728-I1728)</f>
        <v/>
      </c>
      <c r="K1728" s="6">
        <f>IF(COUNTA(A1728:D1728,G1728:I1728)=0,"",IF(COUNTA(A1728:D1728,G1728:I1728)&lt;7,"LENGKAPI",IF(H1728+I1728&gt;N(F1728)+G1728,"ABNORMAL",IF(COUNTIFS($A$2:$A$2001,A1728,$B$2:$B$2001,B1728,$C$2:$C$2001,C1728,$D$2:$D$2001,D1728)&gt;1,"DUPLIKAT","OK"))))</f>
        <v/>
      </c>
    </row>
    <row r="1729">
      <c r="A1729" s="4" t="n"/>
      <c r="B1729" s="5" t="n"/>
      <c r="C1729" s="5" t="n"/>
      <c r="D1729" s="5" t="n"/>
      <c r="E1729" s="6">
        <f>IF(A1729="","","B"&amp;TEXT(COUNT($A$2:A1729),"00000"))</f>
        <v/>
      </c>
      <c r="F1729" s="6">
        <f>IF(OR(C1729="",D1729=""),"",IFERROR(LOOKUP(2,1/(($C$1:C1728=C1729)*($D$1:D1728=D1729)*ISNUMBER($J$1:J1728)),$J$1:J1728),SUMIFS(Master!$G$2:$G$13,Master!$E$2:$E$13,C1729,Master!$F$2:$F$13,D1729)))</f>
        <v/>
      </c>
      <c r="G1729" s="5" t="n"/>
      <c r="H1729" s="5" t="n"/>
      <c r="I1729" s="5" t="n"/>
      <c r="J1729" s="6">
        <f>IF(OR(F1729="",COUNT(G1729:I1729)&lt;3),"",F1729+G1729-H1729-I1729)</f>
        <v/>
      </c>
      <c r="K1729" s="6">
        <f>IF(COUNTA(A1729:D1729,G1729:I1729)=0,"",IF(COUNTA(A1729:D1729,G1729:I1729)&lt;7,"LENGKAPI",IF(H1729+I1729&gt;N(F1729)+G1729,"ABNORMAL",IF(COUNTIFS($A$2:$A$2001,A1729,$B$2:$B$2001,B1729,$C$2:$C$2001,C1729,$D$2:$D$2001,D1729)&gt;1,"DUPLIKAT","OK"))))</f>
        <v/>
      </c>
    </row>
    <row r="1730">
      <c r="A1730" s="4" t="n"/>
      <c r="B1730" s="5" t="n"/>
      <c r="C1730" s="5" t="n"/>
      <c r="D1730" s="5" t="n"/>
      <c r="E1730" s="6">
        <f>IF(A1730="","","B"&amp;TEXT(COUNT($A$2:A1730),"00000"))</f>
        <v/>
      </c>
      <c r="F1730" s="6">
        <f>IF(OR(C1730="",D1730=""),"",IFERROR(LOOKUP(2,1/(($C$1:C1729=C1730)*($D$1:D1729=D1730)*ISNUMBER($J$1:J1729)),$J$1:J1729),SUMIFS(Master!$G$2:$G$13,Master!$E$2:$E$13,C1730,Master!$F$2:$F$13,D1730)))</f>
        <v/>
      </c>
      <c r="G1730" s="5" t="n"/>
      <c r="H1730" s="5" t="n"/>
      <c r="I1730" s="5" t="n"/>
      <c r="J1730" s="6">
        <f>IF(OR(F1730="",COUNT(G1730:I1730)&lt;3),"",F1730+G1730-H1730-I1730)</f>
        <v/>
      </c>
      <c r="K1730" s="6">
        <f>IF(COUNTA(A1730:D1730,G1730:I1730)=0,"",IF(COUNTA(A1730:D1730,G1730:I1730)&lt;7,"LENGKAPI",IF(H1730+I1730&gt;N(F1730)+G1730,"ABNORMAL",IF(COUNTIFS($A$2:$A$2001,A1730,$B$2:$B$2001,B1730,$C$2:$C$2001,C1730,$D$2:$D$2001,D1730)&gt;1,"DUPLIKAT","OK"))))</f>
        <v/>
      </c>
    </row>
    <row r="1731">
      <c r="A1731" s="4" t="n"/>
      <c r="B1731" s="5" t="n"/>
      <c r="C1731" s="5" t="n"/>
      <c r="D1731" s="5" t="n"/>
      <c r="E1731" s="6">
        <f>IF(A1731="","","B"&amp;TEXT(COUNT($A$2:A1731),"00000"))</f>
        <v/>
      </c>
      <c r="F1731" s="6">
        <f>IF(OR(C1731="",D1731=""),"",IFERROR(LOOKUP(2,1/(($C$1:C1730=C1731)*($D$1:D1730=D1731)*ISNUMBER($J$1:J1730)),$J$1:J1730),SUMIFS(Master!$G$2:$G$13,Master!$E$2:$E$13,C1731,Master!$F$2:$F$13,D1731)))</f>
        <v/>
      </c>
      <c r="G1731" s="5" t="n"/>
      <c r="H1731" s="5" t="n"/>
      <c r="I1731" s="5" t="n"/>
      <c r="J1731" s="6">
        <f>IF(OR(F1731="",COUNT(G1731:I1731)&lt;3),"",F1731+G1731-H1731-I1731)</f>
        <v/>
      </c>
      <c r="K1731" s="6">
        <f>IF(COUNTA(A1731:D1731,G1731:I1731)=0,"",IF(COUNTA(A1731:D1731,G1731:I1731)&lt;7,"LENGKAPI",IF(H1731+I1731&gt;N(F1731)+G1731,"ABNORMAL",IF(COUNTIFS($A$2:$A$2001,A1731,$B$2:$B$2001,B1731,$C$2:$C$2001,C1731,$D$2:$D$2001,D1731)&gt;1,"DUPLIKAT","OK"))))</f>
        <v/>
      </c>
    </row>
    <row r="1732">
      <c r="A1732" s="4" t="n"/>
      <c r="B1732" s="5" t="n"/>
      <c r="C1732" s="5" t="n"/>
      <c r="D1732" s="5" t="n"/>
      <c r="E1732" s="6">
        <f>IF(A1732="","","B"&amp;TEXT(COUNT($A$2:A1732),"00000"))</f>
        <v/>
      </c>
      <c r="F1732" s="6">
        <f>IF(OR(C1732="",D1732=""),"",IFERROR(LOOKUP(2,1/(($C$1:C1731=C1732)*($D$1:D1731=D1732)*ISNUMBER($J$1:J1731)),$J$1:J1731),SUMIFS(Master!$G$2:$G$13,Master!$E$2:$E$13,C1732,Master!$F$2:$F$13,D1732)))</f>
        <v/>
      </c>
      <c r="G1732" s="5" t="n"/>
      <c r="H1732" s="5" t="n"/>
      <c r="I1732" s="5" t="n"/>
      <c r="J1732" s="6">
        <f>IF(OR(F1732="",COUNT(G1732:I1732)&lt;3),"",F1732+G1732-H1732-I1732)</f>
        <v/>
      </c>
      <c r="K1732" s="6">
        <f>IF(COUNTA(A1732:D1732,G1732:I1732)=0,"",IF(COUNTA(A1732:D1732,G1732:I1732)&lt;7,"LENGKAPI",IF(H1732+I1732&gt;N(F1732)+G1732,"ABNORMAL",IF(COUNTIFS($A$2:$A$2001,A1732,$B$2:$B$2001,B1732,$C$2:$C$2001,C1732,$D$2:$D$2001,D1732)&gt;1,"DUPLIKAT","OK"))))</f>
        <v/>
      </c>
    </row>
    <row r="1733">
      <c r="A1733" s="4" t="n"/>
      <c r="B1733" s="5" t="n"/>
      <c r="C1733" s="5" t="n"/>
      <c r="D1733" s="5" t="n"/>
      <c r="E1733" s="6">
        <f>IF(A1733="","","B"&amp;TEXT(COUNT($A$2:A1733),"00000"))</f>
        <v/>
      </c>
      <c r="F1733" s="6">
        <f>IF(OR(C1733="",D1733=""),"",IFERROR(LOOKUP(2,1/(($C$1:C1732=C1733)*($D$1:D1732=D1733)*ISNUMBER($J$1:J1732)),$J$1:J1732),SUMIFS(Master!$G$2:$G$13,Master!$E$2:$E$13,C1733,Master!$F$2:$F$13,D1733)))</f>
        <v/>
      </c>
      <c r="G1733" s="5" t="n"/>
      <c r="H1733" s="5" t="n"/>
      <c r="I1733" s="5" t="n"/>
      <c r="J1733" s="6">
        <f>IF(OR(F1733="",COUNT(G1733:I1733)&lt;3),"",F1733+G1733-H1733-I1733)</f>
        <v/>
      </c>
      <c r="K1733" s="6">
        <f>IF(COUNTA(A1733:D1733,G1733:I1733)=0,"",IF(COUNTA(A1733:D1733,G1733:I1733)&lt;7,"LENGKAPI",IF(H1733+I1733&gt;N(F1733)+G1733,"ABNORMAL",IF(COUNTIFS($A$2:$A$2001,A1733,$B$2:$B$2001,B1733,$C$2:$C$2001,C1733,$D$2:$D$2001,D1733)&gt;1,"DUPLIKAT","OK"))))</f>
        <v/>
      </c>
    </row>
    <row r="1734">
      <c r="A1734" s="4" t="n"/>
      <c r="B1734" s="5" t="n"/>
      <c r="C1734" s="5" t="n"/>
      <c r="D1734" s="5" t="n"/>
      <c r="E1734" s="6">
        <f>IF(A1734="","","B"&amp;TEXT(COUNT($A$2:A1734),"00000"))</f>
        <v/>
      </c>
      <c r="F1734" s="6">
        <f>IF(OR(C1734="",D1734=""),"",IFERROR(LOOKUP(2,1/(($C$1:C1733=C1734)*($D$1:D1733=D1734)*ISNUMBER($J$1:J1733)),$J$1:J1733),SUMIFS(Master!$G$2:$G$13,Master!$E$2:$E$13,C1734,Master!$F$2:$F$13,D1734)))</f>
        <v/>
      </c>
      <c r="G1734" s="5" t="n"/>
      <c r="H1734" s="5" t="n"/>
      <c r="I1734" s="5" t="n"/>
      <c r="J1734" s="6">
        <f>IF(OR(F1734="",COUNT(G1734:I1734)&lt;3),"",F1734+G1734-H1734-I1734)</f>
        <v/>
      </c>
      <c r="K1734" s="6">
        <f>IF(COUNTA(A1734:D1734,G1734:I1734)=0,"",IF(COUNTA(A1734:D1734,G1734:I1734)&lt;7,"LENGKAPI",IF(H1734+I1734&gt;N(F1734)+G1734,"ABNORMAL",IF(COUNTIFS($A$2:$A$2001,A1734,$B$2:$B$2001,B1734,$C$2:$C$2001,C1734,$D$2:$D$2001,D1734)&gt;1,"DUPLIKAT","OK"))))</f>
        <v/>
      </c>
    </row>
    <row r="1735">
      <c r="A1735" s="4" t="n"/>
      <c r="B1735" s="5" t="n"/>
      <c r="C1735" s="5" t="n"/>
      <c r="D1735" s="5" t="n"/>
      <c r="E1735" s="6">
        <f>IF(A1735="","","B"&amp;TEXT(COUNT($A$2:A1735),"00000"))</f>
        <v/>
      </c>
      <c r="F1735" s="6">
        <f>IF(OR(C1735="",D1735=""),"",IFERROR(LOOKUP(2,1/(($C$1:C1734=C1735)*($D$1:D1734=D1735)*ISNUMBER($J$1:J1734)),$J$1:J1734),SUMIFS(Master!$G$2:$G$13,Master!$E$2:$E$13,C1735,Master!$F$2:$F$13,D1735)))</f>
        <v/>
      </c>
      <c r="G1735" s="5" t="n"/>
      <c r="H1735" s="5" t="n"/>
      <c r="I1735" s="5" t="n"/>
      <c r="J1735" s="6">
        <f>IF(OR(F1735="",COUNT(G1735:I1735)&lt;3),"",F1735+G1735-H1735-I1735)</f>
        <v/>
      </c>
      <c r="K1735" s="6">
        <f>IF(COUNTA(A1735:D1735,G1735:I1735)=0,"",IF(COUNTA(A1735:D1735,G1735:I1735)&lt;7,"LENGKAPI",IF(H1735+I1735&gt;N(F1735)+G1735,"ABNORMAL",IF(COUNTIFS($A$2:$A$2001,A1735,$B$2:$B$2001,B1735,$C$2:$C$2001,C1735,$D$2:$D$2001,D1735)&gt;1,"DUPLIKAT","OK"))))</f>
        <v/>
      </c>
    </row>
    <row r="1736">
      <c r="A1736" s="4" t="n"/>
      <c r="B1736" s="5" t="n"/>
      <c r="C1736" s="5" t="n"/>
      <c r="D1736" s="5" t="n"/>
      <c r="E1736" s="6">
        <f>IF(A1736="","","B"&amp;TEXT(COUNT($A$2:A1736),"00000"))</f>
        <v/>
      </c>
      <c r="F1736" s="6">
        <f>IF(OR(C1736="",D1736=""),"",IFERROR(LOOKUP(2,1/(($C$1:C1735=C1736)*($D$1:D1735=D1736)*ISNUMBER($J$1:J1735)),$J$1:J1735),SUMIFS(Master!$G$2:$G$13,Master!$E$2:$E$13,C1736,Master!$F$2:$F$13,D1736)))</f>
        <v/>
      </c>
      <c r="G1736" s="5" t="n"/>
      <c r="H1736" s="5" t="n"/>
      <c r="I1736" s="5" t="n"/>
      <c r="J1736" s="6">
        <f>IF(OR(F1736="",COUNT(G1736:I1736)&lt;3),"",F1736+G1736-H1736-I1736)</f>
        <v/>
      </c>
      <c r="K1736" s="6">
        <f>IF(COUNTA(A1736:D1736,G1736:I1736)=0,"",IF(COUNTA(A1736:D1736,G1736:I1736)&lt;7,"LENGKAPI",IF(H1736+I1736&gt;N(F1736)+G1736,"ABNORMAL",IF(COUNTIFS($A$2:$A$2001,A1736,$B$2:$B$2001,B1736,$C$2:$C$2001,C1736,$D$2:$D$2001,D1736)&gt;1,"DUPLIKAT","OK"))))</f>
        <v/>
      </c>
    </row>
    <row r="1737">
      <c r="A1737" s="4" t="n"/>
      <c r="B1737" s="5" t="n"/>
      <c r="C1737" s="5" t="n"/>
      <c r="D1737" s="5" t="n"/>
      <c r="E1737" s="6">
        <f>IF(A1737="","","B"&amp;TEXT(COUNT($A$2:A1737),"00000"))</f>
        <v/>
      </c>
      <c r="F1737" s="6">
        <f>IF(OR(C1737="",D1737=""),"",IFERROR(LOOKUP(2,1/(($C$1:C1736=C1737)*($D$1:D1736=D1737)*ISNUMBER($J$1:J1736)),$J$1:J1736),SUMIFS(Master!$G$2:$G$13,Master!$E$2:$E$13,C1737,Master!$F$2:$F$13,D1737)))</f>
        <v/>
      </c>
      <c r="G1737" s="5" t="n"/>
      <c r="H1737" s="5" t="n"/>
      <c r="I1737" s="5" t="n"/>
      <c r="J1737" s="6">
        <f>IF(OR(F1737="",COUNT(G1737:I1737)&lt;3),"",F1737+G1737-H1737-I1737)</f>
        <v/>
      </c>
      <c r="K1737" s="6">
        <f>IF(COUNTA(A1737:D1737,G1737:I1737)=0,"",IF(COUNTA(A1737:D1737,G1737:I1737)&lt;7,"LENGKAPI",IF(H1737+I1737&gt;N(F1737)+G1737,"ABNORMAL",IF(COUNTIFS($A$2:$A$2001,A1737,$B$2:$B$2001,B1737,$C$2:$C$2001,C1737,$D$2:$D$2001,D1737)&gt;1,"DUPLIKAT","OK"))))</f>
        <v/>
      </c>
    </row>
    <row r="1738">
      <c r="A1738" s="4" t="n"/>
      <c r="B1738" s="5" t="n"/>
      <c r="C1738" s="5" t="n"/>
      <c r="D1738" s="5" t="n"/>
      <c r="E1738" s="6">
        <f>IF(A1738="","","B"&amp;TEXT(COUNT($A$2:A1738),"00000"))</f>
        <v/>
      </c>
      <c r="F1738" s="6">
        <f>IF(OR(C1738="",D1738=""),"",IFERROR(LOOKUP(2,1/(($C$1:C1737=C1738)*($D$1:D1737=D1738)*ISNUMBER($J$1:J1737)),$J$1:J1737),SUMIFS(Master!$G$2:$G$13,Master!$E$2:$E$13,C1738,Master!$F$2:$F$13,D1738)))</f>
        <v/>
      </c>
      <c r="G1738" s="5" t="n"/>
      <c r="H1738" s="5" t="n"/>
      <c r="I1738" s="5" t="n"/>
      <c r="J1738" s="6">
        <f>IF(OR(F1738="",COUNT(G1738:I1738)&lt;3),"",F1738+G1738-H1738-I1738)</f>
        <v/>
      </c>
      <c r="K1738" s="6">
        <f>IF(COUNTA(A1738:D1738,G1738:I1738)=0,"",IF(COUNTA(A1738:D1738,G1738:I1738)&lt;7,"LENGKAPI",IF(H1738+I1738&gt;N(F1738)+G1738,"ABNORMAL",IF(COUNTIFS($A$2:$A$2001,A1738,$B$2:$B$2001,B1738,$C$2:$C$2001,C1738,$D$2:$D$2001,D1738)&gt;1,"DUPLIKAT","OK"))))</f>
        <v/>
      </c>
    </row>
    <row r="1739">
      <c r="A1739" s="4" t="n"/>
      <c r="B1739" s="5" t="n"/>
      <c r="C1739" s="5" t="n"/>
      <c r="D1739" s="5" t="n"/>
      <c r="E1739" s="6">
        <f>IF(A1739="","","B"&amp;TEXT(COUNT($A$2:A1739),"00000"))</f>
        <v/>
      </c>
      <c r="F1739" s="6">
        <f>IF(OR(C1739="",D1739=""),"",IFERROR(LOOKUP(2,1/(($C$1:C1738=C1739)*($D$1:D1738=D1739)*ISNUMBER($J$1:J1738)),$J$1:J1738),SUMIFS(Master!$G$2:$G$13,Master!$E$2:$E$13,C1739,Master!$F$2:$F$13,D1739)))</f>
        <v/>
      </c>
      <c r="G1739" s="5" t="n"/>
      <c r="H1739" s="5" t="n"/>
      <c r="I1739" s="5" t="n"/>
      <c r="J1739" s="6">
        <f>IF(OR(F1739="",COUNT(G1739:I1739)&lt;3),"",F1739+G1739-H1739-I1739)</f>
        <v/>
      </c>
      <c r="K1739" s="6">
        <f>IF(COUNTA(A1739:D1739,G1739:I1739)=0,"",IF(COUNTA(A1739:D1739,G1739:I1739)&lt;7,"LENGKAPI",IF(H1739+I1739&gt;N(F1739)+G1739,"ABNORMAL",IF(COUNTIFS($A$2:$A$2001,A1739,$B$2:$B$2001,B1739,$C$2:$C$2001,C1739,$D$2:$D$2001,D1739)&gt;1,"DUPLIKAT","OK"))))</f>
        <v/>
      </c>
    </row>
    <row r="1740">
      <c r="A1740" s="4" t="n"/>
      <c r="B1740" s="5" t="n"/>
      <c r="C1740" s="5" t="n"/>
      <c r="D1740" s="5" t="n"/>
      <c r="E1740" s="6">
        <f>IF(A1740="","","B"&amp;TEXT(COUNT($A$2:A1740),"00000"))</f>
        <v/>
      </c>
      <c r="F1740" s="6">
        <f>IF(OR(C1740="",D1740=""),"",IFERROR(LOOKUP(2,1/(($C$1:C1739=C1740)*($D$1:D1739=D1740)*ISNUMBER($J$1:J1739)),$J$1:J1739),SUMIFS(Master!$G$2:$G$13,Master!$E$2:$E$13,C1740,Master!$F$2:$F$13,D1740)))</f>
        <v/>
      </c>
      <c r="G1740" s="5" t="n"/>
      <c r="H1740" s="5" t="n"/>
      <c r="I1740" s="5" t="n"/>
      <c r="J1740" s="6">
        <f>IF(OR(F1740="",COUNT(G1740:I1740)&lt;3),"",F1740+G1740-H1740-I1740)</f>
        <v/>
      </c>
      <c r="K1740" s="6">
        <f>IF(COUNTA(A1740:D1740,G1740:I1740)=0,"",IF(COUNTA(A1740:D1740,G1740:I1740)&lt;7,"LENGKAPI",IF(H1740+I1740&gt;N(F1740)+G1740,"ABNORMAL",IF(COUNTIFS($A$2:$A$2001,A1740,$B$2:$B$2001,B1740,$C$2:$C$2001,C1740,$D$2:$D$2001,D1740)&gt;1,"DUPLIKAT","OK"))))</f>
        <v/>
      </c>
    </row>
    <row r="1741">
      <c r="A1741" s="4" t="n"/>
      <c r="B1741" s="5" t="n"/>
      <c r="C1741" s="5" t="n"/>
      <c r="D1741" s="5" t="n"/>
      <c r="E1741" s="6">
        <f>IF(A1741="","","B"&amp;TEXT(COUNT($A$2:A1741),"00000"))</f>
        <v/>
      </c>
      <c r="F1741" s="6">
        <f>IF(OR(C1741="",D1741=""),"",IFERROR(LOOKUP(2,1/(($C$1:C1740=C1741)*($D$1:D1740=D1741)*ISNUMBER($J$1:J1740)),$J$1:J1740),SUMIFS(Master!$G$2:$G$13,Master!$E$2:$E$13,C1741,Master!$F$2:$F$13,D1741)))</f>
        <v/>
      </c>
      <c r="G1741" s="5" t="n"/>
      <c r="H1741" s="5" t="n"/>
      <c r="I1741" s="5" t="n"/>
      <c r="J1741" s="6">
        <f>IF(OR(F1741="",COUNT(G1741:I1741)&lt;3),"",F1741+G1741-H1741-I1741)</f>
        <v/>
      </c>
      <c r="K1741" s="6">
        <f>IF(COUNTA(A1741:D1741,G1741:I1741)=0,"",IF(COUNTA(A1741:D1741,G1741:I1741)&lt;7,"LENGKAPI",IF(H1741+I1741&gt;N(F1741)+G1741,"ABNORMAL",IF(COUNTIFS($A$2:$A$2001,A1741,$B$2:$B$2001,B1741,$C$2:$C$2001,C1741,$D$2:$D$2001,D1741)&gt;1,"DUPLIKAT","OK"))))</f>
        <v/>
      </c>
    </row>
    <row r="1742">
      <c r="A1742" s="4" t="n"/>
      <c r="B1742" s="5" t="n"/>
      <c r="C1742" s="5" t="n"/>
      <c r="D1742" s="5" t="n"/>
      <c r="E1742" s="6">
        <f>IF(A1742="","","B"&amp;TEXT(COUNT($A$2:A1742),"00000"))</f>
        <v/>
      </c>
      <c r="F1742" s="6">
        <f>IF(OR(C1742="",D1742=""),"",IFERROR(LOOKUP(2,1/(($C$1:C1741=C1742)*($D$1:D1741=D1742)*ISNUMBER($J$1:J1741)),$J$1:J1741),SUMIFS(Master!$G$2:$G$13,Master!$E$2:$E$13,C1742,Master!$F$2:$F$13,D1742)))</f>
        <v/>
      </c>
      <c r="G1742" s="5" t="n"/>
      <c r="H1742" s="5" t="n"/>
      <c r="I1742" s="5" t="n"/>
      <c r="J1742" s="6">
        <f>IF(OR(F1742="",COUNT(G1742:I1742)&lt;3),"",F1742+G1742-H1742-I1742)</f>
        <v/>
      </c>
      <c r="K1742" s="6">
        <f>IF(COUNTA(A1742:D1742,G1742:I1742)=0,"",IF(COUNTA(A1742:D1742,G1742:I1742)&lt;7,"LENGKAPI",IF(H1742+I1742&gt;N(F1742)+G1742,"ABNORMAL",IF(COUNTIFS($A$2:$A$2001,A1742,$B$2:$B$2001,B1742,$C$2:$C$2001,C1742,$D$2:$D$2001,D1742)&gt;1,"DUPLIKAT","OK"))))</f>
        <v/>
      </c>
    </row>
    <row r="1743">
      <c r="A1743" s="4" t="n"/>
      <c r="B1743" s="5" t="n"/>
      <c r="C1743" s="5" t="n"/>
      <c r="D1743" s="5" t="n"/>
      <c r="E1743" s="6">
        <f>IF(A1743="","","B"&amp;TEXT(COUNT($A$2:A1743),"00000"))</f>
        <v/>
      </c>
      <c r="F1743" s="6">
        <f>IF(OR(C1743="",D1743=""),"",IFERROR(LOOKUP(2,1/(($C$1:C1742=C1743)*($D$1:D1742=D1743)*ISNUMBER($J$1:J1742)),$J$1:J1742),SUMIFS(Master!$G$2:$G$13,Master!$E$2:$E$13,C1743,Master!$F$2:$F$13,D1743)))</f>
        <v/>
      </c>
      <c r="G1743" s="5" t="n"/>
      <c r="H1743" s="5" t="n"/>
      <c r="I1743" s="5" t="n"/>
      <c r="J1743" s="6">
        <f>IF(OR(F1743="",COUNT(G1743:I1743)&lt;3),"",F1743+G1743-H1743-I1743)</f>
        <v/>
      </c>
      <c r="K1743" s="6">
        <f>IF(COUNTA(A1743:D1743,G1743:I1743)=0,"",IF(COUNTA(A1743:D1743,G1743:I1743)&lt;7,"LENGKAPI",IF(H1743+I1743&gt;N(F1743)+G1743,"ABNORMAL",IF(COUNTIFS($A$2:$A$2001,A1743,$B$2:$B$2001,B1743,$C$2:$C$2001,C1743,$D$2:$D$2001,D1743)&gt;1,"DUPLIKAT","OK"))))</f>
        <v/>
      </c>
    </row>
    <row r="1744">
      <c r="A1744" s="4" t="n"/>
      <c r="B1744" s="5" t="n"/>
      <c r="C1744" s="5" t="n"/>
      <c r="D1744" s="5" t="n"/>
      <c r="E1744" s="6">
        <f>IF(A1744="","","B"&amp;TEXT(COUNT($A$2:A1744),"00000"))</f>
        <v/>
      </c>
      <c r="F1744" s="6">
        <f>IF(OR(C1744="",D1744=""),"",IFERROR(LOOKUP(2,1/(($C$1:C1743=C1744)*($D$1:D1743=D1744)*ISNUMBER($J$1:J1743)),$J$1:J1743),SUMIFS(Master!$G$2:$G$13,Master!$E$2:$E$13,C1744,Master!$F$2:$F$13,D1744)))</f>
        <v/>
      </c>
      <c r="G1744" s="5" t="n"/>
      <c r="H1744" s="5" t="n"/>
      <c r="I1744" s="5" t="n"/>
      <c r="J1744" s="6">
        <f>IF(OR(F1744="",COUNT(G1744:I1744)&lt;3),"",F1744+G1744-H1744-I1744)</f>
        <v/>
      </c>
      <c r="K1744" s="6">
        <f>IF(COUNTA(A1744:D1744,G1744:I1744)=0,"",IF(COUNTA(A1744:D1744,G1744:I1744)&lt;7,"LENGKAPI",IF(H1744+I1744&gt;N(F1744)+G1744,"ABNORMAL",IF(COUNTIFS($A$2:$A$2001,A1744,$B$2:$B$2001,B1744,$C$2:$C$2001,C1744,$D$2:$D$2001,D1744)&gt;1,"DUPLIKAT","OK"))))</f>
        <v/>
      </c>
    </row>
    <row r="1745">
      <c r="A1745" s="4" t="n"/>
      <c r="B1745" s="5" t="n"/>
      <c r="C1745" s="5" t="n"/>
      <c r="D1745" s="5" t="n"/>
      <c r="E1745" s="6">
        <f>IF(A1745="","","B"&amp;TEXT(COUNT($A$2:A1745),"00000"))</f>
        <v/>
      </c>
      <c r="F1745" s="6">
        <f>IF(OR(C1745="",D1745=""),"",IFERROR(LOOKUP(2,1/(($C$1:C1744=C1745)*($D$1:D1744=D1745)*ISNUMBER($J$1:J1744)),$J$1:J1744),SUMIFS(Master!$G$2:$G$13,Master!$E$2:$E$13,C1745,Master!$F$2:$F$13,D1745)))</f>
        <v/>
      </c>
      <c r="G1745" s="5" t="n"/>
      <c r="H1745" s="5" t="n"/>
      <c r="I1745" s="5" t="n"/>
      <c r="J1745" s="6">
        <f>IF(OR(F1745="",COUNT(G1745:I1745)&lt;3),"",F1745+G1745-H1745-I1745)</f>
        <v/>
      </c>
      <c r="K1745" s="6">
        <f>IF(COUNTA(A1745:D1745,G1745:I1745)=0,"",IF(COUNTA(A1745:D1745,G1745:I1745)&lt;7,"LENGKAPI",IF(H1745+I1745&gt;N(F1745)+G1745,"ABNORMAL",IF(COUNTIFS($A$2:$A$2001,A1745,$B$2:$B$2001,B1745,$C$2:$C$2001,C1745,$D$2:$D$2001,D1745)&gt;1,"DUPLIKAT","OK"))))</f>
        <v/>
      </c>
    </row>
    <row r="1746">
      <c r="A1746" s="4" t="n"/>
      <c r="B1746" s="5" t="n"/>
      <c r="C1746" s="5" t="n"/>
      <c r="D1746" s="5" t="n"/>
      <c r="E1746" s="6">
        <f>IF(A1746="","","B"&amp;TEXT(COUNT($A$2:A1746),"00000"))</f>
        <v/>
      </c>
      <c r="F1746" s="6">
        <f>IF(OR(C1746="",D1746=""),"",IFERROR(LOOKUP(2,1/(($C$1:C1745=C1746)*($D$1:D1745=D1746)*ISNUMBER($J$1:J1745)),$J$1:J1745),SUMIFS(Master!$G$2:$G$13,Master!$E$2:$E$13,C1746,Master!$F$2:$F$13,D1746)))</f>
        <v/>
      </c>
      <c r="G1746" s="5" t="n"/>
      <c r="H1746" s="5" t="n"/>
      <c r="I1746" s="5" t="n"/>
      <c r="J1746" s="6">
        <f>IF(OR(F1746="",COUNT(G1746:I1746)&lt;3),"",F1746+G1746-H1746-I1746)</f>
        <v/>
      </c>
      <c r="K1746" s="6">
        <f>IF(COUNTA(A1746:D1746,G1746:I1746)=0,"",IF(COUNTA(A1746:D1746,G1746:I1746)&lt;7,"LENGKAPI",IF(H1746+I1746&gt;N(F1746)+G1746,"ABNORMAL",IF(COUNTIFS($A$2:$A$2001,A1746,$B$2:$B$2001,B1746,$C$2:$C$2001,C1746,$D$2:$D$2001,D1746)&gt;1,"DUPLIKAT","OK"))))</f>
        <v/>
      </c>
    </row>
    <row r="1747">
      <c r="A1747" s="4" t="n"/>
      <c r="B1747" s="5" t="n"/>
      <c r="C1747" s="5" t="n"/>
      <c r="D1747" s="5" t="n"/>
      <c r="E1747" s="6">
        <f>IF(A1747="","","B"&amp;TEXT(COUNT($A$2:A1747),"00000"))</f>
        <v/>
      </c>
      <c r="F1747" s="6">
        <f>IF(OR(C1747="",D1747=""),"",IFERROR(LOOKUP(2,1/(($C$1:C1746=C1747)*($D$1:D1746=D1747)*ISNUMBER($J$1:J1746)),$J$1:J1746),SUMIFS(Master!$G$2:$G$13,Master!$E$2:$E$13,C1747,Master!$F$2:$F$13,D1747)))</f>
        <v/>
      </c>
      <c r="G1747" s="5" t="n"/>
      <c r="H1747" s="5" t="n"/>
      <c r="I1747" s="5" t="n"/>
      <c r="J1747" s="6">
        <f>IF(OR(F1747="",COUNT(G1747:I1747)&lt;3),"",F1747+G1747-H1747-I1747)</f>
        <v/>
      </c>
      <c r="K1747" s="6">
        <f>IF(COUNTA(A1747:D1747,G1747:I1747)=0,"",IF(COUNTA(A1747:D1747,G1747:I1747)&lt;7,"LENGKAPI",IF(H1747+I1747&gt;N(F1747)+G1747,"ABNORMAL",IF(COUNTIFS($A$2:$A$2001,A1747,$B$2:$B$2001,B1747,$C$2:$C$2001,C1747,$D$2:$D$2001,D1747)&gt;1,"DUPLIKAT","OK"))))</f>
        <v/>
      </c>
    </row>
    <row r="1748">
      <c r="A1748" s="4" t="n"/>
      <c r="B1748" s="5" t="n"/>
      <c r="C1748" s="5" t="n"/>
      <c r="D1748" s="5" t="n"/>
      <c r="E1748" s="6">
        <f>IF(A1748="","","B"&amp;TEXT(COUNT($A$2:A1748),"00000"))</f>
        <v/>
      </c>
      <c r="F1748" s="6">
        <f>IF(OR(C1748="",D1748=""),"",IFERROR(LOOKUP(2,1/(($C$1:C1747=C1748)*($D$1:D1747=D1748)*ISNUMBER($J$1:J1747)),$J$1:J1747),SUMIFS(Master!$G$2:$G$13,Master!$E$2:$E$13,C1748,Master!$F$2:$F$13,D1748)))</f>
        <v/>
      </c>
      <c r="G1748" s="5" t="n"/>
      <c r="H1748" s="5" t="n"/>
      <c r="I1748" s="5" t="n"/>
      <c r="J1748" s="6">
        <f>IF(OR(F1748="",COUNT(G1748:I1748)&lt;3),"",F1748+G1748-H1748-I1748)</f>
        <v/>
      </c>
      <c r="K1748" s="6">
        <f>IF(COUNTA(A1748:D1748,G1748:I1748)=0,"",IF(COUNTA(A1748:D1748,G1748:I1748)&lt;7,"LENGKAPI",IF(H1748+I1748&gt;N(F1748)+G1748,"ABNORMAL",IF(COUNTIFS($A$2:$A$2001,A1748,$B$2:$B$2001,B1748,$C$2:$C$2001,C1748,$D$2:$D$2001,D1748)&gt;1,"DUPLIKAT","OK"))))</f>
        <v/>
      </c>
    </row>
    <row r="1749">
      <c r="A1749" s="4" t="n"/>
      <c r="B1749" s="5" t="n"/>
      <c r="C1749" s="5" t="n"/>
      <c r="D1749" s="5" t="n"/>
      <c r="E1749" s="6">
        <f>IF(A1749="","","B"&amp;TEXT(COUNT($A$2:A1749),"00000"))</f>
        <v/>
      </c>
      <c r="F1749" s="6">
        <f>IF(OR(C1749="",D1749=""),"",IFERROR(LOOKUP(2,1/(($C$1:C1748=C1749)*($D$1:D1748=D1749)*ISNUMBER($J$1:J1748)),$J$1:J1748),SUMIFS(Master!$G$2:$G$13,Master!$E$2:$E$13,C1749,Master!$F$2:$F$13,D1749)))</f>
        <v/>
      </c>
      <c r="G1749" s="5" t="n"/>
      <c r="H1749" s="5" t="n"/>
      <c r="I1749" s="5" t="n"/>
      <c r="J1749" s="6">
        <f>IF(OR(F1749="",COUNT(G1749:I1749)&lt;3),"",F1749+G1749-H1749-I1749)</f>
        <v/>
      </c>
      <c r="K1749" s="6">
        <f>IF(COUNTA(A1749:D1749,G1749:I1749)=0,"",IF(COUNTA(A1749:D1749,G1749:I1749)&lt;7,"LENGKAPI",IF(H1749+I1749&gt;N(F1749)+G1749,"ABNORMAL",IF(COUNTIFS($A$2:$A$2001,A1749,$B$2:$B$2001,B1749,$C$2:$C$2001,C1749,$D$2:$D$2001,D1749)&gt;1,"DUPLIKAT","OK"))))</f>
        <v/>
      </c>
    </row>
    <row r="1750">
      <c r="A1750" s="4" t="n"/>
      <c r="B1750" s="5" t="n"/>
      <c r="C1750" s="5" t="n"/>
      <c r="D1750" s="5" t="n"/>
      <c r="E1750" s="6">
        <f>IF(A1750="","","B"&amp;TEXT(COUNT($A$2:A1750),"00000"))</f>
        <v/>
      </c>
      <c r="F1750" s="6">
        <f>IF(OR(C1750="",D1750=""),"",IFERROR(LOOKUP(2,1/(($C$1:C1749=C1750)*($D$1:D1749=D1750)*ISNUMBER($J$1:J1749)),$J$1:J1749),SUMIFS(Master!$G$2:$G$13,Master!$E$2:$E$13,C1750,Master!$F$2:$F$13,D1750)))</f>
        <v/>
      </c>
      <c r="G1750" s="5" t="n"/>
      <c r="H1750" s="5" t="n"/>
      <c r="I1750" s="5" t="n"/>
      <c r="J1750" s="6">
        <f>IF(OR(F1750="",COUNT(G1750:I1750)&lt;3),"",F1750+G1750-H1750-I1750)</f>
        <v/>
      </c>
      <c r="K1750" s="6">
        <f>IF(COUNTA(A1750:D1750,G1750:I1750)=0,"",IF(COUNTA(A1750:D1750,G1750:I1750)&lt;7,"LENGKAPI",IF(H1750+I1750&gt;N(F1750)+G1750,"ABNORMAL",IF(COUNTIFS($A$2:$A$2001,A1750,$B$2:$B$2001,B1750,$C$2:$C$2001,C1750,$D$2:$D$2001,D1750)&gt;1,"DUPLIKAT","OK"))))</f>
        <v/>
      </c>
    </row>
    <row r="1751">
      <c r="A1751" s="4" t="n"/>
      <c r="B1751" s="5" t="n"/>
      <c r="C1751" s="5" t="n"/>
      <c r="D1751" s="5" t="n"/>
      <c r="E1751" s="6">
        <f>IF(A1751="","","B"&amp;TEXT(COUNT($A$2:A1751),"00000"))</f>
        <v/>
      </c>
      <c r="F1751" s="6">
        <f>IF(OR(C1751="",D1751=""),"",IFERROR(LOOKUP(2,1/(($C$1:C1750=C1751)*($D$1:D1750=D1751)*ISNUMBER($J$1:J1750)),$J$1:J1750),SUMIFS(Master!$G$2:$G$13,Master!$E$2:$E$13,C1751,Master!$F$2:$F$13,D1751)))</f>
        <v/>
      </c>
      <c r="G1751" s="5" t="n"/>
      <c r="H1751" s="5" t="n"/>
      <c r="I1751" s="5" t="n"/>
      <c r="J1751" s="6">
        <f>IF(OR(F1751="",COUNT(G1751:I1751)&lt;3),"",F1751+G1751-H1751-I1751)</f>
        <v/>
      </c>
      <c r="K1751" s="6">
        <f>IF(COUNTA(A1751:D1751,G1751:I1751)=0,"",IF(COUNTA(A1751:D1751,G1751:I1751)&lt;7,"LENGKAPI",IF(H1751+I1751&gt;N(F1751)+G1751,"ABNORMAL",IF(COUNTIFS($A$2:$A$2001,A1751,$B$2:$B$2001,B1751,$C$2:$C$2001,C1751,$D$2:$D$2001,D1751)&gt;1,"DUPLIKAT","OK"))))</f>
        <v/>
      </c>
    </row>
    <row r="1752">
      <c r="A1752" s="4" t="n"/>
      <c r="B1752" s="5" t="n"/>
      <c r="C1752" s="5" t="n"/>
      <c r="D1752" s="5" t="n"/>
      <c r="E1752" s="6">
        <f>IF(A1752="","","B"&amp;TEXT(COUNT($A$2:A1752),"00000"))</f>
        <v/>
      </c>
      <c r="F1752" s="6">
        <f>IF(OR(C1752="",D1752=""),"",IFERROR(LOOKUP(2,1/(($C$1:C1751=C1752)*($D$1:D1751=D1752)*ISNUMBER($J$1:J1751)),$J$1:J1751),SUMIFS(Master!$G$2:$G$13,Master!$E$2:$E$13,C1752,Master!$F$2:$F$13,D1752)))</f>
        <v/>
      </c>
      <c r="G1752" s="5" t="n"/>
      <c r="H1752" s="5" t="n"/>
      <c r="I1752" s="5" t="n"/>
      <c r="J1752" s="6">
        <f>IF(OR(F1752="",COUNT(G1752:I1752)&lt;3),"",F1752+G1752-H1752-I1752)</f>
        <v/>
      </c>
      <c r="K1752" s="6">
        <f>IF(COUNTA(A1752:D1752,G1752:I1752)=0,"",IF(COUNTA(A1752:D1752,G1752:I1752)&lt;7,"LENGKAPI",IF(H1752+I1752&gt;N(F1752)+G1752,"ABNORMAL",IF(COUNTIFS($A$2:$A$2001,A1752,$B$2:$B$2001,B1752,$C$2:$C$2001,C1752,$D$2:$D$2001,D1752)&gt;1,"DUPLIKAT","OK"))))</f>
        <v/>
      </c>
    </row>
    <row r="1753">
      <c r="A1753" s="4" t="n"/>
      <c r="B1753" s="5" t="n"/>
      <c r="C1753" s="5" t="n"/>
      <c r="D1753" s="5" t="n"/>
      <c r="E1753" s="6">
        <f>IF(A1753="","","B"&amp;TEXT(COUNT($A$2:A1753),"00000"))</f>
        <v/>
      </c>
      <c r="F1753" s="6">
        <f>IF(OR(C1753="",D1753=""),"",IFERROR(LOOKUP(2,1/(($C$1:C1752=C1753)*($D$1:D1752=D1753)*ISNUMBER($J$1:J1752)),$J$1:J1752),SUMIFS(Master!$G$2:$G$13,Master!$E$2:$E$13,C1753,Master!$F$2:$F$13,D1753)))</f>
        <v/>
      </c>
      <c r="G1753" s="5" t="n"/>
      <c r="H1753" s="5" t="n"/>
      <c r="I1753" s="5" t="n"/>
      <c r="J1753" s="6">
        <f>IF(OR(F1753="",COUNT(G1753:I1753)&lt;3),"",F1753+G1753-H1753-I1753)</f>
        <v/>
      </c>
      <c r="K1753" s="6">
        <f>IF(COUNTA(A1753:D1753,G1753:I1753)=0,"",IF(COUNTA(A1753:D1753,G1753:I1753)&lt;7,"LENGKAPI",IF(H1753+I1753&gt;N(F1753)+G1753,"ABNORMAL",IF(COUNTIFS($A$2:$A$2001,A1753,$B$2:$B$2001,B1753,$C$2:$C$2001,C1753,$D$2:$D$2001,D1753)&gt;1,"DUPLIKAT","OK"))))</f>
        <v/>
      </c>
    </row>
    <row r="1754">
      <c r="A1754" s="4" t="n"/>
      <c r="B1754" s="5" t="n"/>
      <c r="C1754" s="5" t="n"/>
      <c r="D1754" s="5" t="n"/>
      <c r="E1754" s="6">
        <f>IF(A1754="","","B"&amp;TEXT(COUNT($A$2:A1754),"00000"))</f>
        <v/>
      </c>
      <c r="F1754" s="6">
        <f>IF(OR(C1754="",D1754=""),"",IFERROR(LOOKUP(2,1/(($C$1:C1753=C1754)*($D$1:D1753=D1754)*ISNUMBER($J$1:J1753)),$J$1:J1753),SUMIFS(Master!$G$2:$G$13,Master!$E$2:$E$13,C1754,Master!$F$2:$F$13,D1754)))</f>
        <v/>
      </c>
      <c r="G1754" s="5" t="n"/>
      <c r="H1754" s="5" t="n"/>
      <c r="I1754" s="5" t="n"/>
      <c r="J1754" s="6">
        <f>IF(OR(F1754="",COUNT(G1754:I1754)&lt;3),"",F1754+G1754-H1754-I1754)</f>
        <v/>
      </c>
      <c r="K1754" s="6">
        <f>IF(COUNTA(A1754:D1754,G1754:I1754)=0,"",IF(COUNTA(A1754:D1754,G1754:I1754)&lt;7,"LENGKAPI",IF(H1754+I1754&gt;N(F1754)+G1754,"ABNORMAL",IF(COUNTIFS($A$2:$A$2001,A1754,$B$2:$B$2001,B1754,$C$2:$C$2001,C1754,$D$2:$D$2001,D1754)&gt;1,"DUPLIKAT","OK"))))</f>
        <v/>
      </c>
    </row>
    <row r="1755">
      <c r="A1755" s="4" t="n"/>
      <c r="B1755" s="5" t="n"/>
      <c r="C1755" s="5" t="n"/>
      <c r="D1755" s="5" t="n"/>
      <c r="E1755" s="6">
        <f>IF(A1755="","","B"&amp;TEXT(COUNT($A$2:A1755),"00000"))</f>
        <v/>
      </c>
      <c r="F1755" s="6">
        <f>IF(OR(C1755="",D1755=""),"",IFERROR(LOOKUP(2,1/(($C$1:C1754=C1755)*($D$1:D1754=D1755)*ISNUMBER($J$1:J1754)),$J$1:J1754),SUMIFS(Master!$G$2:$G$13,Master!$E$2:$E$13,C1755,Master!$F$2:$F$13,D1755)))</f>
        <v/>
      </c>
      <c r="G1755" s="5" t="n"/>
      <c r="H1755" s="5" t="n"/>
      <c r="I1755" s="5" t="n"/>
      <c r="J1755" s="6">
        <f>IF(OR(F1755="",COUNT(G1755:I1755)&lt;3),"",F1755+G1755-H1755-I1755)</f>
        <v/>
      </c>
      <c r="K1755" s="6">
        <f>IF(COUNTA(A1755:D1755,G1755:I1755)=0,"",IF(COUNTA(A1755:D1755,G1755:I1755)&lt;7,"LENGKAPI",IF(H1755+I1755&gt;N(F1755)+G1755,"ABNORMAL",IF(COUNTIFS($A$2:$A$2001,A1755,$B$2:$B$2001,B1755,$C$2:$C$2001,C1755,$D$2:$D$2001,D1755)&gt;1,"DUPLIKAT","OK"))))</f>
        <v/>
      </c>
    </row>
    <row r="1756">
      <c r="A1756" s="4" t="n"/>
      <c r="B1756" s="5" t="n"/>
      <c r="C1756" s="5" t="n"/>
      <c r="D1756" s="5" t="n"/>
      <c r="E1756" s="6">
        <f>IF(A1756="","","B"&amp;TEXT(COUNT($A$2:A1756),"00000"))</f>
        <v/>
      </c>
      <c r="F1756" s="6">
        <f>IF(OR(C1756="",D1756=""),"",IFERROR(LOOKUP(2,1/(($C$1:C1755=C1756)*($D$1:D1755=D1756)*ISNUMBER($J$1:J1755)),$J$1:J1755),SUMIFS(Master!$G$2:$G$13,Master!$E$2:$E$13,C1756,Master!$F$2:$F$13,D1756)))</f>
        <v/>
      </c>
      <c r="G1756" s="5" t="n"/>
      <c r="H1756" s="5" t="n"/>
      <c r="I1756" s="5" t="n"/>
      <c r="J1756" s="6">
        <f>IF(OR(F1756="",COUNT(G1756:I1756)&lt;3),"",F1756+G1756-H1756-I1756)</f>
        <v/>
      </c>
      <c r="K1756" s="6">
        <f>IF(COUNTA(A1756:D1756,G1756:I1756)=0,"",IF(COUNTA(A1756:D1756,G1756:I1756)&lt;7,"LENGKAPI",IF(H1756+I1756&gt;N(F1756)+G1756,"ABNORMAL",IF(COUNTIFS($A$2:$A$2001,A1756,$B$2:$B$2001,B1756,$C$2:$C$2001,C1756,$D$2:$D$2001,D1756)&gt;1,"DUPLIKAT","OK"))))</f>
        <v/>
      </c>
    </row>
    <row r="1757">
      <c r="A1757" s="4" t="n"/>
      <c r="B1757" s="5" t="n"/>
      <c r="C1757" s="5" t="n"/>
      <c r="D1757" s="5" t="n"/>
      <c r="E1757" s="6">
        <f>IF(A1757="","","B"&amp;TEXT(COUNT($A$2:A1757),"00000"))</f>
        <v/>
      </c>
      <c r="F1757" s="6">
        <f>IF(OR(C1757="",D1757=""),"",IFERROR(LOOKUP(2,1/(($C$1:C1756=C1757)*($D$1:D1756=D1757)*ISNUMBER($J$1:J1756)),$J$1:J1756),SUMIFS(Master!$G$2:$G$13,Master!$E$2:$E$13,C1757,Master!$F$2:$F$13,D1757)))</f>
        <v/>
      </c>
      <c r="G1757" s="5" t="n"/>
      <c r="H1757" s="5" t="n"/>
      <c r="I1757" s="5" t="n"/>
      <c r="J1757" s="6">
        <f>IF(OR(F1757="",COUNT(G1757:I1757)&lt;3),"",F1757+G1757-H1757-I1757)</f>
        <v/>
      </c>
      <c r="K1757" s="6">
        <f>IF(COUNTA(A1757:D1757,G1757:I1757)=0,"",IF(COUNTA(A1757:D1757,G1757:I1757)&lt;7,"LENGKAPI",IF(H1757+I1757&gt;N(F1757)+G1757,"ABNORMAL",IF(COUNTIFS($A$2:$A$2001,A1757,$B$2:$B$2001,B1757,$C$2:$C$2001,C1757,$D$2:$D$2001,D1757)&gt;1,"DUPLIKAT","OK"))))</f>
        <v/>
      </c>
    </row>
    <row r="1758">
      <c r="A1758" s="4" t="n"/>
      <c r="B1758" s="5" t="n"/>
      <c r="C1758" s="5" t="n"/>
      <c r="D1758" s="5" t="n"/>
      <c r="E1758" s="6">
        <f>IF(A1758="","","B"&amp;TEXT(COUNT($A$2:A1758),"00000"))</f>
        <v/>
      </c>
      <c r="F1758" s="6">
        <f>IF(OR(C1758="",D1758=""),"",IFERROR(LOOKUP(2,1/(($C$1:C1757=C1758)*($D$1:D1757=D1758)*ISNUMBER($J$1:J1757)),$J$1:J1757),SUMIFS(Master!$G$2:$G$13,Master!$E$2:$E$13,C1758,Master!$F$2:$F$13,D1758)))</f>
        <v/>
      </c>
      <c r="G1758" s="5" t="n"/>
      <c r="H1758" s="5" t="n"/>
      <c r="I1758" s="5" t="n"/>
      <c r="J1758" s="6">
        <f>IF(OR(F1758="",COUNT(G1758:I1758)&lt;3),"",F1758+G1758-H1758-I1758)</f>
        <v/>
      </c>
      <c r="K1758" s="6">
        <f>IF(COUNTA(A1758:D1758,G1758:I1758)=0,"",IF(COUNTA(A1758:D1758,G1758:I1758)&lt;7,"LENGKAPI",IF(H1758+I1758&gt;N(F1758)+G1758,"ABNORMAL",IF(COUNTIFS($A$2:$A$2001,A1758,$B$2:$B$2001,B1758,$C$2:$C$2001,C1758,$D$2:$D$2001,D1758)&gt;1,"DUPLIKAT","OK"))))</f>
        <v/>
      </c>
    </row>
    <row r="1759">
      <c r="A1759" s="4" t="n"/>
      <c r="B1759" s="5" t="n"/>
      <c r="C1759" s="5" t="n"/>
      <c r="D1759" s="5" t="n"/>
      <c r="E1759" s="6">
        <f>IF(A1759="","","B"&amp;TEXT(COUNT($A$2:A1759),"00000"))</f>
        <v/>
      </c>
      <c r="F1759" s="6">
        <f>IF(OR(C1759="",D1759=""),"",IFERROR(LOOKUP(2,1/(($C$1:C1758=C1759)*($D$1:D1758=D1759)*ISNUMBER($J$1:J1758)),$J$1:J1758),SUMIFS(Master!$G$2:$G$13,Master!$E$2:$E$13,C1759,Master!$F$2:$F$13,D1759)))</f>
        <v/>
      </c>
      <c r="G1759" s="5" t="n"/>
      <c r="H1759" s="5" t="n"/>
      <c r="I1759" s="5" t="n"/>
      <c r="J1759" s="6">
        <f>IF(OR(F1759="",COUNT(G1759:I1759)&lt;3),"",F1759+G1759-H1759-I1759)</f>
        <v/>
      </c>
      <c r="K1759" s="6">
        <f>IF(COUNTA(A1759:D1759,G1759:I1759)=0,"",IF(COUNTA(A1759:D1759,G1759:I1759)&lt;7,"LENGKAPI",IF(H1759+I1759&gt;N(F1759)+G1759,"ABNORMAL",IF(COUNTIFS($A$2:$A$2001,A1759,$B$2:$B$2001,B1759,$C$2:$C$2001,C1759,$D$2:$D$2001,D1759)&gt;1,"DUPLIKAT","OK"))))</f>
        <v/>
      </c>
    </row>
    <row r="1760">
      <c r="A1760" s="4" t="n"/>
      <c r="B1760" s="5" t="n"/>
      <c r="C1760" s="5" t="n"/>
      <c r="D1760" s="5" t="n"/>
      <c r="E1760" s="6">
        <f>IF(A1760="","","B"&amp;TEXT(COUNT($A$2:A1760),"00000"))</f>
        <v/>
      </c>
      <c r="F1760" s="6">
        <f>IF(OR(C1760="",D1760=""),"",IFERROR(LOOKUP(2,1/(($C$1:C1759=C1760)*($D$1:D1759=D1760)*ISNUMBER($J$1:J1759)),$J$1:J1759),SUMIFS(Master!$G$2:$G$13,Master!$E$2:$E$13,C1760,Master!$F$2:$F$13,D1760)))</f>
        <v/>
      </c>
      <c r="G1760" s="5" t="n"/>
      <c r="H1760" s="5" t="n"/>
      <c r="I1760" s="5" t="n"/>
      <c r="J1760" s="6">
        <f>IF(OR(F1760="",COUNT(G1760:I1760)&lt;3),"",F1760+G1760-H1760-I1760)</f>
        <v/>
      </c>
      <c r="K1760" s="6">
        <f>IF(COUNTA(A1760:D1760,G1760:I1760)=0,"",IF(COUNTA(A1760:D1760,G1760:I1760)&lt;7,"LENGKAPI",IF(H1760+I1760&gt;N(F1760)+G1760,"ABNORMAL",IF(COUNTIFS($A$2:$A$2001,A1760,$B$2:$B$2001,B1760,$C$2:$C$2001,C1760,$D$2:$D$2001,D1760)&gt;1,"DUPLIKAT","OK"))))</f>
        <v/>
      </c>
    </row>
    <row r="1761">
      <c r="A1761" s="4" t="n"/>
      <c r="B1761" s="5" t="n"/>
      <c r="C1761" s="5" t="n"/>
      <c r="D1761" s="5" t="n"/>
      <c r="E1761" s="6">
        <f>IF(A1761="","","B"&amp;TEXT(COUNT($A$2:A1761),"00000"))</f>
        <v/>
      </c>
      <c r="F1761" s="6">
        <f>IF(OR(C1761="",D1761=""),"",IFERROR(LOOKUP(2,1/(($C$1:C1760=C1761)*($D$1:D1760=D1761)*ISNUMBER($J$1:J1760)),$J$1:J1760),SUMIFS(Master!$G$2:$G$13,Master!$E$2:$E$13,C1761,Master!$F$2:$F$13,D1761)))</f>
        <v/>
      </c>
      <c r="G1761" s="5" t="n"/>
      <c r="H1761" s="5" t="n"/>
      <c r="I1761" s="5" t="n"/>
      <c r="J1761" s="6">
        <f>IF(OR(F1761="",COUNT(G1761:I1761)&lt;3),"",F1761+G1761-H1761-I1761)</f>
        <v/>
      </c>
      <c r="K1761" s="6">
        <f>IF(COUNTA(A1761:D1761,G1761:I1761)=0,"",IF(COUNTA(A1761:D1761,G1761:I1761)&lt;7,"LENGKAPI",IF(H1761+I1761&gt;N(F1761)+G1761,"ABNORMAL",IF(COUNTIFS($A$2:$A$2001,A1761,$B$2:$B$2001,B1761,$C$2:$C$2001,C1761,$D$2:$D$2001,D1761)&gt;1,"DUPLIKAT","OK"))))</f>
        <v/>
      </c>
    </row>
    <row r="1762">
      <c r="A1762" s="4" t="n"/>
      <c r="B1762" s="5" t="n"/>
      <c r="C1762" s="5" t="n"/>
      <c r="D1762" s="5" t="n"/>
      <c r="E1762" s="6">
        <f>IF(A1762="","","B"&amp;TEXT(COUNT($A$2:A1762),"00000"))</f>
        <v/>
      </c>
      <c r="F1762" s="6">
        <f>IF(OR(C1762="",D1762=""),"",IFERROR(LOOKUP(2,1/(($C$1:C1761=C1762)*($D$1:D1761=D1762)*ISNUMBER($J$1:J1761)),$J$1:J1761),SUMIFS(Master!$G$2:$G$13,Master!$E$2:$E$13,C1762,Master!$F$2:$F$13,D1762)))</f>
        <v/>
      </c>
      <c r="G1762" s="5" t="n"/>
      <c r="H1762" s="5" t="n"/>
      <c r="I1762" s="5" t="n"/>
      <c r="J1762" s="6">
        <f>IF(OR(F1762="",COUNT(G1762:I1762)&lt;3),"",F1762+G1762-H1762-I1762)</f>
        <v/>
      </c>
      <c r="K1762" s="6">
        <f>IF(COUNTA(A1762:D1762,G1762:I1762)=0,"",IF(COUNTA(A1762:D1762,G1762:I1762)&lt;7,"LENGKAPI",IF(H1762+I1762&gt;N(F1762)+G1762,"ABNORMAL",IF(COUNTIFS($A$2:$A$2001,A1762,$B$2:$B$2001,B1762,$C$2:$C$2001,C1762,$D$2:$D$2001,D1762)&gt;1,"DUPLIKAT","OK"))))</f>
        <v/>
      </c>
    </row>
    <row r="1763">
      <c r="A1763" s="4" t="n"/>
      <c r="B1763" s="5" t="n"/>
      <c r="C1763" s="5" t="n"/>
      <c r="D1763" s="5" t="n"/>
      <c r="E1763" s="6">
        <f>IF(A1763="","","B"&amp;TEXT(COUNT($A$2:A1763),"00000"))</f>
        <v/>
      </c>
      <c r="F1763" s="6">
        <f>IF(OR(C1763="",D1763=""),"",IFERROR(LOOKUP(2,1/(($C$1:C1762=C1763)*($D$1:D1762=D1763)*ISNUMBER($J$1:J1762)),$J$1:J1762),SUMIFS(Master!$G$2:$G$13,Master!$E$2:$E$13,C1763,Master!$F$2:$F$13,D1763)))</f>
        <v/>
      </c>
      <c r="G1763" s="5" t="n"/>
      <c r="H1763" s="5" t="n"/>
      <c r="I1763" s="5" t="n"/>
      <c r="J1763" s="6">
        <f>IF(OR(F1763="",COUNT(G1763:I1763)&lt;3),"",F1763+G1763-H1763-I1763)</f>
        <v/>
      </c>
      <c r="K1763" s="6">
        <f>IF(COUNTA(A1763:D1763,G1763:I1763)=0,"",IF(COUNTA(A1763:D1763,G1763:I1763)&lt;7,"LENGKAPI",IF(H1763+I1763&gt;N(F1763)+G1763,"ABNORMAL",IF(COUNTIFS($A$2:$A$2001,A1763,$B$2:$B$2001,B1763,$C$2:$C$2001,C1763,$D$2:$D$2001,D1763)&gt;1,"DUPLIKAT","OK"))))</f>
        <v/>
      </c>
    </row>
    <row r="1764">
      <c r="A1764" s="4" t="n"/>
      <c r="B1764" s="5" t="n"/>
      <c r="C1764" s="5" t="n"/>
      <c r="D1764" s="5" t="n"/>
      <c r="E1764" s="6">
        <f>IF(A1764="","","B"&amp;TEXT(COUNT($A$2:A1764),"00000"))</f>
        <v/>
      </c>
      <c r="F1764" s="6">
        <f>IF(OR(C1764="",D1764=""),"",IFERROR(LOOKUP(2,1/(($C$1:C1763=C1764)*($D$1:D1763=D1764)*ISNUMBER($J$1:J1763)),$J$1:J1763),SUMIFS(Master!$G$2:$G$13,Master!$E$2:$E$13,C1764,Master!$F$2:$F$13,D1764)))</f>
        <v/>
      </c>
      <c r="G1764" s="5" t="n"/>
      <c r="H1764" s="5" t="n"/>
      <c r="I1764" s="5" t="n"/>
      <c r="J1764" s="6">
        <f>IF(OR(F1764="",COUNT(G1764:I1764)&lt;3),"",F1764+G1764-H1764-I1764)</f>
        <v/>
      </c>
      <c r="K1764" s="6">
        <f>IF(COUNTA(A1764:D1764,G1764:I1764)=0,"",IF(COUNTA(A1764:D1764,G1764:I1764)&lt;7,"LENGKAPI",IF(H1764+I1764&gt;N(F1764)+G1764,"ABNORMAL",IF(COUNTIFS($A$2:$A$2001,A1764,$B$2:$B$2001,B1764,$C$2:$C$2001,C1764,$D$2:$D$2001,D1764)&gt;1,"DUPLIKAT","OK"))))</f>
        <v/>
      </c>
    </row>
    <row r="1765">
      <c r="A1765" s="4" t="n"/>
      <c r="B1765" s="5" t="n"/>
      <c r="C1765" s="5" t="n"/>
      <c r="D1765" s="5" t="n"/>
      <c r="E1765" s="6">
        <f>IF(A1765="","","B"&amp;TEXT(COUNT($A$2:A1765),"00000"))</f>
        <v/>
      </c>
      <c r="F1765" s="6">
        <f>IF(OR(C1765="",D1765=""),"",IFERROR(LOOKUP(2,1/(($C$1:C1764=C1765)*($D$1:D1764=D1765)*ISNUMBER($J$1:J1764)),$J$1:J1764),SUMIFS(Master!$G$2:$G$13,Master!$E$2:$E$13,C1765,Master!$F$2:$F$13,D1765)))</f>
        <v/>
      </c>
      <c r="G1765" s="5" t="n"/>
      <c r="H1765" s="5" t="n"/>
      <c r="I1765" s="5" t="n"/>
      <c r="J1765" s="6">
        <f>IF(OR(F1765="",COUNT(G1765:I1765)&lt;3),"",F1765+G1765-H1765-I1765)</f>
        <v/>
      </c>
      <c r="K1765" s="6">
        <f>IF(COUNTA(A1765:D1765,G1765:I1765)=0,"",IF(COUNTA(A1765:D1765,G1765:I1765)&lt;7,"LENGKAPI",IF(H1765+I1765&gt;N(F1765)+G1765,"ABNORMAL",IF(COUNTIFS($A$2:$A$2001,A1765,$B$2:$B$2001,B1765,$C$2:$C$2001,C1765,$D$2:$D$2001,D1765)&gt;1,"DUPLIKAT","OK"))))</f>
        <v/>
      </c>
    </row>
    <row r="1766">
      <c r="A1766" s="4" t="n"/>
      <c r="B1766" s="5" t="n"/>
      <c r="C1766" s="5" t="n"/>
      <c r="D1766" s="5" t="n"/>
      <c r="E1766" s="6">
        <f>IF(A1766="","","B"&amp;TEXT(COUNT($A$2:A1766),"00000"))</f>
        <v/>
      </c>
      <c r="F1766" s="6">
        <f>IF(OR(C1766="",D1766=""),"",IFERROR(LOOKUP(2,1/(($C$1:C1765=C1766)*($D$1:D1765=D1766)*ISNUMBER($J$1:J1765)),$J$1:J1765),SUMIFS(Master!$G$2:$G$13,Master!$E$2:$E$13,C1766,Master!$F$2:$F$13,D1766)))</f>
        <v/>
      </c>
      <c r="G1766" s="5" t="n"/>
      <c r="H1766" s="5" t="n"/>
      <c r="I1766" s="5" t="n"/>
      <c r="J1766" s="6">
        <f>IF(OR(F1766="",COUNT(G1766:I1766)&lt;3),"",F1766+G1766-H1766-I1766)</f>
        <v/>
      </c>
      <c r="K1766" s="6">
        <f>IF(COUNTA(A1766:D1766,G1766:I1766)=0,"",IF(COUNTA(A1766:D1766,G1766:I1766)&lt;7,"LENGKAPI",IF(H1766+I1766&gt;N(F1766)+G1766,"ABNORMAL",IF(COUNTIFS($A$2:$A$2001,A1766,$B$2:$B$2001,B1766,$C$2:$C$2001,C1766,$D$2:$D$2001,D1766)&gt;1,"DUPLIKAT","OK"))))</f>
        <v/>
      </c>
    </row>
    <row r="1767">
      <c r="A1767" s="4" t="n"/>
      <c r="B1767" s="5" t="n"/>
      <c r="C1767" s="5" t="n"/>
      <c r="D1767" s="5" t="n"/>
      <c r="E1767" s="6">
        <f>IF(A1767="","","B"&amp;TEXT(COUNT($A$2:A1767),"00000"))</f>
        <v/>
      </c>
      <c r="F1767" s="6">
        <f>IF(OR(C1767="",D1767=""),"",IFERROR(LOOKUP(2,1/(($C$1:C1766=C1767)*($D$1:D1766=D1767)*ISNUMBER($J$1:J1766)),$J$1:J1766),SUMIFS(Master!$G$2:$G$13,Master!$E$2:$E$13,C1767,Master!$F$2:$F$13,D1767)))</f>
        <v/>
      </c>
      <c r="G1767" s="5" t="n"/>
      <c r="H1767" s="5" t="n"/>
      <c r="I1767" s="5" t="n"/>
      <c r="J1767" s="6">
        <f>IF(OR(F1767="",COUNT(G1767:I1767)&lt;3),"",F1767+G1767-H1767-I1767)</f>
        <v/>
      </c>
      <c r="K1767" s="6">
        <f>IF(COUNTA(A1767:D1767,G1767:I1767)=0,"",IF(COUNTA(A1767:D1767,G1767:I1767)&lt;7,"LENGKAPI",IF(H1767+I1767&gt;N(F1767)+G1767,"ABNORMAL",IF(COUNTIFS($A$2:$A$2001,A1767,$B$2:$B$2001,B1767,$C$2:$C$2001,C1767,$D$2:$D$2001,D1767)&gt;1,"DUPLIKAT","OK"))))</f>
        <v/>
      </c>
    </row>
    <row r="1768">
      <c r="A1768" s="4" t="n"/>
      <c r="B1768" s="5" t="n"/>
      <c r="C1768" s="5" t="n"/>
      <c r="D1768" s="5" t="n"/>
      <c r="E1768" s="6">
        <f>IF(A1768="","","B"&amp;TEXT(COUNT($A$2:A1768),"00000"))</f>
        <v/>
      </c>
      <c r="F1768" s="6">
        <f>IF(OR(C1768="",D1768=""),"",IFERROR(LOOKUP(2,1/(($C$1:C1767=C1768)*($D$1:D1767=D1768)*ISNUMBER($J$1:J1767)),$J$1:J1767),SUMIFS(Master!$G$2:$G$13,Master!$E$2:$E$13,C1768,Master!$F$2:$F$13,D1768)))</f>
        <v/>
      </c>
      <c r="G1768" s="5" t="n"/>
      <c r="H1768" s="5" t="n"/>
      <c r="I1768" s="5" t="n"/>
      <c r="J1768" s="6">
        <f>IF(OR(F1768="",COUNT(G1768:I1768)&lt;3),"",F1768+G1768-H1768-I1768)</f>
        <v/>
      </c>
      <c r="K1768" s="6">
        <f>IF(COUNTA(A1768:D1768,G1768:I1768)=0,"",IF(COUNTA(A1768:D1768,G1768:I1768)&lt;7,"LENGKAPI",IF(H1768+I1768&gt;N(F1768)+G1768,"ABNORMAL",IF(COUNTIFS($A$2:$A$2001,A1768,$B$2:$B$2001,B1768,$C$2:$C$2001,C1768,$D$2:$D$2001,D1768)&gt;1,"DUPLIKAT","OK"))))</f>
        <v/>
      </c>
    </row>
    <row r="1769">
      <c r="A1769" s="4" t="n"/>
      <c r="B1769" s="5" t="n"/>
      <c r="C1769" s="5" t="n"/>
      <c r="D1769" s="5" t="n"/>
      <c r="E1769" s="6">
        <f>IF(A1769="","","B"&amp;TEXT(COUNT($A$2:A1769),"00000"))</f>
        <v/>
      </c>
      <c r="F1769" s="6">
        <f>IF(OR(C1769="",D1769=""),"",IFERROR(LOOKUP(2,1/(($C$1:C1768=C1769)*($D$1:D1768=D1769)*ISNUMBER($J$1:J1768)),$J$1:J1768),SUMIFS(Master!$G$2:$G$13,Master!$E$2:$E$13,C1769,Master!$F$2:$F$13,D1769)))</f>
        <v/>
      </c>
      <c r="G1769" s="5" t="n"/>
      <c r="H1769" s="5" t="n"/>
      <c r="I1769" s="5" t="n"/>
      <c r="J1769" s="6">
        <f>IF(OR(F1769="",COUNT(G1769:I1769)&lt;3),"",F1769+G1769-H1769-I1769)</f>
        <v/>
      </c>
      <c r="K1769" s="6">
        <f>IF(COUNTA(A1769:D1769,G1769:I1769)=0,"",IF(COUNTA(A1769:D1769,G1769:I1769)&lt;7,"LENGKAPI",IF(H1769+I1769&gt;N(F1769)+G1769,"ABNORMAL",IF(COUNTIFS($A$2:$A$2001,A1769,$B$2:$B$2001,B1769,$C$2:$C$2001,C1769,$D$2:$D$2001,D1769)&gt;1,"DUPLIKAT","OK"))))</f>
        <v/>
      </c>
    </row>
    <row r="1770">
      <c r="A1770" s="4" t="n"/>
      <c r="B1770" s="5" t="n"/>
      <c r="C1770" s="5" t="n"/>
      <c r="D1770" s="5" t="n"/>
      <c r="E1770" s="6">
        <f>IF(A1770="","","B"&amp;TEXT(COUNT($A$2:A1770),"00000"))</f>
        <v/>
      </c>
      <c r="F1770" s="6">
        <f>IF(OR(C1770="",D1770=""),"",IFERROR(LOOKUP(2,1/(($C$1:C1769=C1770)*($D$1:D1769=D1770)*ISNUMBER($J$1:J1769)),$J$1:J1769),SUMIFS(Master!$G$2:$G$13,Master!$E$2:$E$13,C1770,Master!$F$2:$F$13,D1770)))</f>
        <v/>
      </c>
      <c r="G1770" s="5" t="n"/>
      <c r="H1770" s="5" t="n"/>
      <c r="I1770" s="5" t="n"/>
      <c r="J1770" s="6">
        <f>IF(OR(F1770="",COUNT(G1770:I1770)&lt;3),"",F1770+G1770-H1770-I1770)</f>
        <v/>
      </c>
      <c r="K1770" s="6">
        <f>IF(COUNTA(A1770:D1770,G1770:I1770)=0,"",IF(COUNTA(A1770:D1770,G1770:I1770)&lt;7,"LENGKAPI",IF(H1770+I1770&gt;N(F1770)+G1770,"ABNORMAL",IF(COUNTIFS($A$2:$A$2001,A1770,$B$2:$B$2001,B1770,$C$2:$C$2001,C1770,$D$2:$D$2001,D1770)&gt;1,"DUPLIKAT","OK"))))</f>
        <v/>
      </c>
    </row>
    <row r="1771">
      <c r="A1771" s="4" t="n"/>
      <c r="B1771" s="5" t="n"/>
      <c r="C1771" s="5" t="n"/>
      <c r="D1771" s="5" t="n"/>
      <c r="E1771" s="6">
        <f>IF(A1771="","","B"&amp;TEXT(COUNT($A$2:A1771),"00000"))</f>
        <v/>
      </c>
      <c r="F1771" s="6">
        <f>IF(OR(C1771="",D1771=""),"",IFERROR(LOOKUP(2,1/(($C$1:C1770=C1771)*($D$1:D1770=D1771)*ISNUMBER($J$1:J1770)),$J$1:J1770),SUMIFS(Master!$G$2:$G$13,Master!$E$2:$E$13,C1771,Master!$F$2:$F$13,D1771)))</f>
        <v/>
      </c>
      <c r="G1771" s="5" t="n"/>
      <c r="H1771" s="5" t="n"/>
      <c r="I1771" s="5" t="n"/>
      <c r="J1771" s="6">
        <f>IF(OR(F1771="",COUNT(G1771:I1771)&lt;3),"",F1771+G1771-H1771-I1771)</f>
        <v/>
      </c>
      <c r="K1771" s="6">
        <f>IF(COUNTA(A1771:D1771,G1771:I1771)=0,"",IF(COUNTA(A1771:D1771,G1771:I1771)&lt;7,"LENGKAPI",IF(H1771+I1771&gt;N(F1771)+G1771,"ABNORMAL",IF(COUNTIFS($A$2:$A$2001,A1771,$B$2:$B$2001,B1771,$C$2:$C$2001,C1771,$D$2:$D$2001,D1771)&gt;1,"DUPLIKAT","OK"))))</f>
        <v/>
      </c>
    </row>
    <row r="1772">
      <c r="A1772" s="4" t="n"/>
      <c r="B1772" s="5" t="n"/>
      <c r="C1772" s="5" t="n"/>
      <c r="D1772" s="5" t="n"/>
      <c r="E1772" s="6">
        <f>IF(A1772="","","B"&amp;TEXT(COUNT($A$2:A1772),"00000"))</f>
        <v/>
      </c>
      <c r="F1772" s="6">
        <f>IF(OR(C1772="",D1772=""),"",IFERROR(LOOKUP(2,1/(($C$1:C1771=C1772)*($D$1:D1771=D1772)*ISNUMBER($J$1:J1771)),$J$1:J1771),SUMIFS(Master!$G$2:$G$13,Master!$E$2:$E$13,C1772,Master!$F$2:$F$13,D1772)))</f>
        <v/>
      </c>
      <c r="G1772" s="5" t="n"/>
      <c r="H1772" s="5" t="n"/>
      <c r="I1772" s="5" t="n"/>
      <c r="J1772" s="6">
        <f>IF(OR(F1772="",COUNT(G1772:I1772)&lt;3),"",F1772+G1772-H1772-I1772)</f>
        <v/>
      </c>
      <c r="K1772" s="6">
        <f>IF(COUNTA(A1772:D1772,G1772:I1772)=0,"",IF(COUNTA(A1772:D1772,G1772:I1772)&lt;7,"LENGKAPI",IF(H1772+I1772&gt;N(F1772)+G1772,"ABNORMAL",IF(COUNTIFS($A$2:$A$2001,A1772,$B$2:$B$2001,B1772,$C$2:$C$2001,C1772,$D$2:$D$2001,D1772)&gt;1,"DUPLIKAT","OK"))))</f>
        <v/>
      </c>
    </row>
    <row r="1773">
      <c r="A1773" s="4" t="n"/>
      <c r="B1773" s="5" t="n"/>
      <c r="C1773" s="5" t="n"/>
      <c r="D1773" s="5" t="n"/>
      <c r="E1773" s="6">
        <f>IF(A1773="","","B"&amp;TEXT(COUNT($A$2:A1773),"00000"))</f>
        <v/>
      </c>
      <c r="F1773" s="6">
        <f>IF(OR(C1773="",D1773=""),"",IFERROR(LOOKUP(2,1/(($C$1:C1772=C1773)*($D$1:D1772=D1773)*ISNUMBER($J$1:J1772)),$J$1:J1772),SUMIFS(Master!$G$2:$G$13,Master!$E$2:$E$13,C1773,Master!$F$2:$F$13,D1773)))</f>
        <v/>
      </c>
      <c r="G1773" s="5" t="n"/>
      <c r="H1773" s="5" t="n"/>
      <c r="I1773" s="5" t="n"/>
      <c r="J1773" s="6">
        <f>IF(OR(F1773="",COUNT(G1773:I1773)&lt;3),"",F1773+G1773-H1773-I1773)</f>
        <v/>
      </c>
      <c r="K1773" s="6">
        <f>IF(COUNTA(A1773:D1773,G1773:I1773)=0,"",IF(COUNTA(A1773:D1773,G1773:I1773)&lt;7,"LENGKAPI",IF(H1773+I1773&gt;N(F1773)+G1773,"ABNORMAL",IF(COUNTIFS($A$2:$A$2001,A1773,$B$2:$B$2001,B1773,$C$2:$C$2001,C1773,$D$2:$D$2001,D1773)&gt;1,"DUPLIKAT","OK"))))</f>
        <v/>
      </c>
    </row>
    <row r="1774">
      <c r="A1774" s="4" t="n"/>
      <c r="B1774" s="5" t="n"/>
      <c r="C1774" s="5" t="n"/>
      <c r="D1774" s="5" t="n"/>
      <c r="E1774" s="6">
        <f>IF(A1774="","","B"&amp;TEXT(COUNT($A$2:A1774),"00000"))</f>
        <v/>
      </c>
      <c r="F1774" s="6">
        <f>IF(OR(C1774="",D1774=""),"",IFERROR(LOOKUP(2,1/(($C$1:C1773=C1774)*($D$1:D1773=D1774)*ISNUMBER($J$1:J1773)),$J$1:J1773),SUMIFS(Master!$G$2:$G$13,Master!$E$2:$E$13,C1774,Master!$F$2:$F$13,D1774)))</f>
        <v/>
      </c>
      <c r="G1774" s="5" t="n"/>
      <c r="H1774" s="5" t="n"/>
      <c r="I1774" s="5" t="n"/>
      <c r="J1774" s="6">
        <f>IF(OR(F1774="",COUNT(G1774:I1774)&lt;3),"",F1774+G1774-H1774-I1774)</f>
        <v/>
      </c>
      <c r="K1774" s="6">
        <f>IF(COUNTA(A1774:D1774,G1774:I1774)=0,"",IF(COUNTA(A1774:D1774,G1774:I1774)&lt;7,"LENGKAPI",IF(H1774+I1774&gt;N(F1774)+G1774,"ABNORMAL",IF(COUNTIFS($A$2:$A$2001,A1774,$B$2:$B$2001,B1774,$C$2:$C$2001,C1774,$D$2:$D$2001,D1774)&gt;1,"DUPLIKAT","OK"))))</f>
        <v/>
      </c>
    </row>
    <row r="1775">
      <c r="A1775" s="4" t="n"/>
      <c r="B1775" s="5" t="n"/>
      <c r="C1775" s="5" t="n"/>
      <c r="D1775" s="5" t="n"/>
      <c r="E1775" s="6">
        <f>IF(A1775="","","B"&amp;TEXT(COUNT($A$2:A1775),"00000"))</f>
        <v/>
      </c>
      <c r="F1775" s="6">
        <f>IF(OR(C1775="",D1775=""),"",IFERROR(LOOKUP(2,1/(($C$1:C1774=C1775)*($D$1:D1774=D1775)*ISNUMBER($J$1:J1774)),$J$1:J1774),SUMIFS(Master!$G$2:$G$13,Master!$E$2:$E$13,C1775,Master!$F$2:$F$13,D1775)))</f>
        <v/>
      </c>
      <c r="G1775" s="5" t="n"/>
      <c r="H1775" s="5" t="n"/>
      <c r="I1775" s="5" t="n"/>
      <c r="J1775" s="6">
        <f>IF(OR(F1775="",COUNT(G1775:I1775)&lt;3),"",F1775+G1775-H1775-I1775)</f>
        <v/>
      </c>
      <c r="K1775" s="6">
        <f>IF(COUNTA(A1775:D1775,G1775:I1775)=0,"",IF(COUNTA(A1775:D1775,G1775:I1775)&lt;7,"LENGKAPI",IF(H1775+I1775&gt;N(F1775)+G1775,"ABNORMAL",IF(COUNTIFS($A$2:$A$2001,A1775,$B$2:$B$2001,B1775,$C$2:$C$2001,C1775,$D$2:$D$2001,D1775)&gt;1,"DUPLIKAT","OK"))))</f>
        <v/>
      </c>
    </row>
    <row r="1776">
      <c r="A1776" s="4" t="n"/>
      <c r="B1776" s="5" t="n"/>
      <c r="C1776" s="5" t="n"/>
      <c r="D1776" s="5" t="n"/>
      <c r="E1776" s="6">
        <f>IF(A1776="","","B"&amp;TEXT(COUNT($A$2:A1776),"00000"))</f>
        <v/>
      </c>
      <c r="F1776" s="6">
        <f>IF(OR(C1776="",D1776=""),"",IFERROR(LOOKUP(2,1/(($C$1:C1775=C1776)*($D$1:D1775=D1776)*ISNUMBER($J$1:J1775)),$J$1:J1775),SUMIFS(Master!$G$2:$G$13,Master!$E$2:$E$13,C1776,Master!$F$2:$F$13,D1776)))</f>
        <v/>
      </c>
      <c r="G1776" s="5" t="n"/>
      <c r="H1776" s="5" t="n"/>
      <c r="I1776" s="5" t="n"/>
      <c r="J1776" s="6">
        <f>IF(OR(F1776="",COUNT(G1776:I1776)&lt;3),"",F1776+G1776-H1776-I1776)</f>
        <v/>
      </c>
      <c r="K1776" s="6">
        <f>IF(COUNTA(A1776:D1776,G1776:I1776)=0,"",IF(COUNTA(A1776:D1776,G1776:I1776)&lt;7,"LENGKAPI",IF(H1776+I1776&gt;N(F1776)+G1776,"ABNORMAL",IF(COUNTIFS($A$2:$A$2001,A1776,$B$2:$B$2001,B1776,$C$2:$C$2001,C1776,$D$2:$D$2001,D1776)&gt;1,"DUPLIKAT","OK"))))</f>
        <v/>
      </c>
    </row>
    <row r="1777">
      <c r="A1777" s="4" t="n"/>
      <c r="B1777" s="5" t="n"/>
      <c r="C1777" s="5" t="n"/>
      <c r="D1777" s="5" t="n"/>
      <c r="E1777" s="6">
        <f>IF(A1777="","","B"&amp;TEXT(COUNT($A$2:A1777),"00000"))</f>
        <v/>
      </c>
      <c r="F1777" s="6">
        <f>IF(OR(C1777="",D1777=""),"",IFERROR(LOOKUP(2,1/(($C$1:C1776=C1777)*($D$1:D1776=D1777)*ISNUMBER($J$1:J1776)),$J$1:J1776),SUMIFS(Master!$G$2:$G$13,Master!$E$2:$E$13,C1777,Master!$F$2:$F$13,D1777)))</f>
        <v/>
      </c>
      <c r="G1777" s="5" t="n"/>
      <c r="H1777" s="5" t="n"/>
      <c r="I1777" s="5" t="n"/>
      <c r="J1777" s="6">
        <f>IF(OR(F1777="",COUNT(G1777:I1777)&lt;3),"",F1777+G1777-H1777-I1777)</f>
        <v/>
      </c>
      <c r="K1777" s="6">
        <f>IF(COUNTA(A1777:D1777,G1777:I1777)=0,"",IF(COUNTA(A1777:D1777,G1777:I1777)&lt;7,"LENGKAPI",IF(H1777+I1777&gt;N(F1777)+G1777,"ABNORMAL",IF(COUNTIFS($A$2:$A$2001,A1777,$B$2:$B$2001,B1777,$C$2:$C$2001,C1777,$D$2:$D$2001,D1777)&gt;1,"DUPLIKAT","OK"))))</f>
        <v/>
      </c>
    </row>
    <row r="1778">
      <c r="A1778" s="4" t="n"/>
      <c r="B1778" s="5" t="n"/>
      <c r="C1778" s="5" t="n"/>
      <c r="D1778" s="5" t="n"/>
      <c r="E1778" s="6">
        <f>IF(A1778="","","B"&amp;TEXT(COUNT($A$2:A1778),"00000"))</f>
        <v/>
      </c>
      <c r="F1778" s="6">
        <f>IF(OR(C1778="",D1778=""),"",IFERROR(LOOKUP(2,1/(($C$1:C1777=C1778)*($D$1:D1777=D1778)*ISNUMBER($J$1:J1777)),$J$1:J1777),SUMIFS(Master!$G$2:$G$13,Master!$E$2:$E$13,C1778,Master!$F$2:$F$13,D1778)))</f>
        <v/>
      </c>
      <c r="G1778" s="5" t="n"/>
      <c r="H1778" s="5" t="n"/>
      <c r="I1778" s="5" t="n"/>
      <c r="J1778" s="6">
        <f>IF(OR(F1778="",COUNT(G1778:I1778)&lt;3),"",F1778+G1778-H1778-I1778)</f>
        <v/>
      </c>
      <c r="K1778" s="6">
        <f>IF(COUNTA(A1778:D1778,G1778:I1778)=0,"",IF(COUNTA(A1778:D1778,G1778:I1778)&lt;7,"LENGKAPI",IF(H1778+I1778&gt;N(F1778)+G1778,"ABNORMAL",IF(COUNTIFS($A$2:$A$2001,A1778,$B$2:$B$2001,B1778,$C$2:$C$2001,C1778,$D$2:$D$2001,D1778)&gt;1,"DUPLIKAT","OK"))))</f>
        <v/>
      </c>
    </row>
    <row r="1779">
      <c r="A1779" s="4" t="n"/>
      <c r="B1779" s="5" t="n"/>
      <c r="C1779" s="5" t="n"/>
      <c r="D1779" s="5" t="n"/>
      <c r="E1779" s="6">
        <f>IF(A1779="","","B"&amp;TEXT(COUNT($A$2:A1779),"00000"))</f>
        <v/>
      </c>
      <c r="F1779" s="6">
        <f>IF(OR(C1779="",D1779=""),"",IFERROR(LOOKUP(2,1/(($C$1:C1778=C1779)*($D$1:D1778=D1779)*ISNUMBER($J$1:J1778)),$J$1:J1778),SUMIFS(Master!$G$2:$G$13,Master!$E$2:$E$13,C1779,Master!$F$2:$F$13,D1779)))</f>
        <v/>
      </c>
      <c r="G1779" s="5" t="n"/>
      <c r="H1779" s="5" t="n"/>
      <c r="I1779" s="5" t="n"/>
      <c r="J1779" s="6">
        <f>IF(OR(F1779="",COUNT(G1779:I1779)&lt;3),"",F1779+G1779-H1779-I1779)</f>
        <v/>
      </c>
      <c r="K1779" s="6">
        <f>IF(COUNTA(A1779:D1779,G1779:I1779)=0,"",IF(COUNTA(A1779:D1779,G1779:I1779)&lt;7,"LENGKAPI",IF(H1779+I1779&gt;N(F1779)+G1779,"ABNORMAL",IF(COUNTIFS($A$2:$A$2001,A1779,$B$2:$B$2001,B1779,$C$2:$C$2001,C1779,$D$2:$D$2001,D1779)&gt;1,"DUPLIKAT","OK"))))</f>
        <v/>
      </c>
    </row>
    <row r="1780">
      <c r="A1780" s="4" t="n"/>
      <c r="B1780" s="5" t="n"/>
      <c r="C1780" s="5" t="n"/>
      <c r="D1780" s="5" t="n"/>
      <c r="E1780" s="6">
        <f>IF(A1780="","","B"&amp;TEXT(COUNT($A$2:A1780),"00000"))</f>
        <v/>
      </c>
      <c r="F1780" s="6">
        <f>IF(OR(C1780="",D1780=""),"",IFERROR(LOOKUP(2,1/(($C$1:C1779=C1780)*($D$1:D1779=D1780)*ISNUMBER($J$1:J1779)),$J$1:J1779),SUMIFS(Master!$G$2:$G$13,Master!$E$2:$E$13,C1780,Master!$F$2:$F$13,D1780)))</f>
        <v/>
      </c>
      <c r="G1780" s="5" t="n"/>
      <c r="H1780" s="5" t="n"/>
      <c r="I1780" s="5" t="n"/>
      <c r="J1780" s="6">
        <f>IF(OR(F1780="",COUNT(G1780:I1780)&lt;3),"",F1780+G1780-H1780-I1780)</f>
        <v/>
      </c>
      <c r="K1780" s="6">
        <f>IF(COUNTA(A1780:D1780,G1780:I1780)=0,"",IF(COUNTA(A1780:D1780,G1780:I1780)&lt;7,"LENGKAPI",IF(H1780+I1780&gt;N(F1780)+G1780,"ABNORMAL",IF(COUNTIFS($A$2:$A$2001,A1780,$B$2:$B$2001,B1780,$C$2:$C$2001,C1780,$D$2:$D$2001,D1780)&gt;1,"DUPLIKAT","OK"))))</f>
        <v/>
      </c>
    </row>
    <row r="1781">
      <c r="A1781" s="4" t="n"/>
      <c r="B1781" s="5" t="n"/>
      <c r="C1781" s="5" t="n"/>
      <c r="D1781" s="5" t="n"/>
      <c r="E1781" s="6">
        <f>IF(A1781="","","B"&amp;TEXT(COUNT($A$2:A1781),"00000"))</f>
        <v/>
      </c>
      <c r="F1781" s="6">
        <f>IF(OR(C1781="",D1781=""),"",IFERROR(LOOKUP(2,1/(($C$1:C1780=C1781)*($D$1:D1780=D1781)*ISNUMBER($J$1:J1780)),$J$1:J1780),SUMIFS(Master!$G$2:$G$13,Master!$E$2:$E$13,C1781,Master!$F$2:$F$13,D1781)))</f>
        <v/>
      </c>
      <c r="G1781" s="5" t="n"/>
      <c r="H1781" s="5" t="n"/>
      <c r="I1781" s="5" t="n"/>
      <c r="J1781" s="6">
        <f>IF(OR(F1781="",COUNT(G1781:I1781)&lt;3),"",F1781+G1781-H1781-I1781)</f>
        <v/>
      </c>
      <c r="K1781" s="6">
        <f>IF(COUNTA(A1781:D1781,G1781:I1781)=0,"",IF(COUNTA(A1781:D1781,G1781:I1781)&lt;7,"LENGKAPI",IF(H1781+I1781&gt;N(F1781)+G1781,"ABNORMAL",IF(COUNTIFS($A$2:$A$2001,A1781,$B$2:$B$2001,B1781,$C$2:$C$2001,C1781,$D$2:$D$2001,D1781)&gt;1,"DUPLIKAT","OK"))))</f>
        <v/>
      </c>
    </row>
    <row r="1782">
      <c r="A1782" s="4" t="n"/>
      <c r="B1782" s="5" t="n"/>
      <c r="C1782" s="5" t="n"/>
      <c r="D1782" s="5" t="n"/>
      <c r="E1782" s="6">
        <f>IF(A1782="","","B"&amp;TEXT(COUNT($A$2:A1782),"00000"))</f>
        <v/>
      </c>
      <c r="F1782" s="6">
        <f>IF(OR(C1782="",D1782=""),"",IFERROR(LOOKUP(2,1/(($C$1:C1781=C1782)*($D$1:D1781=D1782)*ISNUMBER($J$1:J1781)),$J$1:J1781),SUMIFS(Master!$G$2:$G$13,Master!$E$2:$E$13,C1782,Master!$F$2:$F$13,D1782)))</f>
        <v/>
      </c>
      <c r="G1782" s="5" t="n"/>
      <c r="H1782" s="5" t="n"/>
      <c r="I1782" s="5" t="n"/>
      <c r="J1782" s="6">
        <f>IF(OR(F1782="",COUNT(G1782:I1782)&lt;3),"",F1782+G1782-H1782-I1782)</f>
        <v/>
      </c>
      <c r="K1782" s="6">
        <f>IF(COUNTA(A1782:D1782,G1782:I1782)=0,"",IF(COUNTA(A1782:D1782,G1782:I1782)&lt;7,"LENGKAPI",IF(H1782+I1782&gt;N(F1782)+G1782,"ABNORMAL",IF(COUNTIFS($A$2:$A$2001,A1782,$B$2:$B$2001,B1782,$C$2:$C$2001,C1782,$D$2:$D$2001,D1782)&gt;1,"DUPLIKAT","OK"))))</f>
        <v/>
      </c>
    </row>
    <row r="1783">
      <c r="A1783" s="4" t="n"/>
      <c r="B1783" s="5" t="n"/>
      <c r="C1783" s="5" t="n"/>
      <c r="D1783" s="5" t="n"/>
      <c r="E1783" s="6">
        <f>IF(A1783="","","B"&amp;TEXT(COUNT($A$2:A1783),"00000"))</f>
        <v/>
      </c>
      <c r="F1783" s="6">
        <f>IF(OR(C1783="",D1783=""),"",IFERROR(LOOKUP(2,1/(($C$1:C1782=C1783)*($D$1:D1782=D1783)*ISNUMBER($J$1:J1782)),$J$1:J1782),SUMIFS(Master!$G$2:$G$13,Master!$E$2:$E$13,C1783,Master!$F$2:$F$13,D1783)))</f>
        <v/>
      </c>
      <c r="G1783" s="5" t="n"/>
      <c r="H1783" s="5" t="n"/>
      <c r="I1783" s="5" t="n"/>
      <c r="J1783" s="6">
        <f>IF(OR(F1783="",COUNT(G1783:I1783)&lt;3),"",F1783+G1783-H1783-I1783)</f>
        <v/>
      </c>
      <c r="K1783" s="6">
        <f>IF(COUNTA(A1783:D1783,G1783:I1783)=0,"",IF(COUNTA(A1783:D1783,G1783:I1783)&lt;7,"LENGKAPI",IF(H1783+I1783&gt;N(F1783)+G1783,"ABNORMAL",IF(COUNTIFS($A$2:$A$2001,A1783,$B$2:$B$2001,B1783,$C$2:$C$2001,C1783,$D$2:$D$2001,D1783)&gt;1,"DUPLIKAT","OK"))))</f>
        <v/>
      </c>
    </row>
    <row r="1784">
      <c r="A1784" s="4" t="n"/>
      <c r="B1784" s="5" t="n"/>
      <c r="C1784" s="5" t="n"/>
      <c r="D1784" s="5" t="n"/>
      <c r="E1784" s="6">
        <f>IF(A1784="","","B"&amp;TEXT(COUNT($A$2:A1784),"00000"))</f>
        <v/>
      </c>
      <c r="F1784" s="6">
        <f>IF(OR(C1784="",D1784=""),"",IFERROR(LOOKUP(2,1/(($C$1:C1783=C1784)*($D$1:D1783=D1784)*ISNUMBER($J$1:J1783)),$J$1:J1783),SUMIFS(Master!$G$2:$G$13,Master!$E$2:$E$13,C1784,Master!$F$2:$F$13,D1784)))</f>
        <v/>
      </c>
      <c r="G1784" s="5" t="n"/>
      <c r="H1784" s="5" t="n"/>
      <c r="I1784" s="5" t="n"/>
      <c r="J1784" s="6">
        <f>IF(OR(F1784="",COUNT(G1784:I1784)&lt;3),"",F1784+G1784-H1784-I1784)</f>
        <v/>
      </c>
      <c r="K1784" s="6">
        <f>IF(COUNTA(A1784:D1784,G1784:I1784)=0,"",IF(COUNTA(A1784:D1784,G1784:I1784)&lt;7,"LENGKAPI",IF(H1784+I1784&gt;N(F1784)+G1784,"ABNORMAL",IF(COUNTIFS($A$2:$A$2001,A1784,$B$2:$B$2001,B1784,$C$2:$C$2001,C1784,$D$2:$D$2001,D1784)&gt;1,"DUPLIKAT","OK"))))</f>
        <v/>
      </c>
    </row>
    <row r="1785">
      <c r="A1785" s="4" t="n"/>
      <c r="B1785" s="5" t="n"/>
      <c r="C1785" s="5" t="n"/>
      <c r="D1785" s="5" t="n"/>
      <c r="E1785" s="6">
        <f>IF(A1785="","","B"&amp;TEXT(COUNT($A$2:A1785),"00000"))</f>
        <v/>
      </c>
      <c r="F1785" s="6">
        <f>IF(OR(C1785="",D1785=""),"",IFERROR(LOOKUP(2,1/(($C$1:C1784=C1785)*($D$1:D1784=D1785)*ISNUMBER($J$1:J1784)),$J$1:J1784),SUMIFS(Master!$G$2:$G$13,Master!$E$2:$E$13,C1785,Master!$F$2:$F$13,D1785)))</f>
        <v/>
      </c>
      <c r="G1785" s="5" t="n"/>
      <c r="H1785" s="5" t="n"/>
      <c r="I1785" s="5" t="n"/>
      <c r="J1785" s="6">
        <f>IF(OR(F1785="",COUNT(G1785:I1785)&lt;3),"",F1785+G1785-H1785-I1785)</f>
        <v/>
      </c>
      <c r="K1785" s="6">
        <f>IF(COUNTA(A1785:D1785,G1785:I1785)=0,"",IF(COUNTA(A1785:D1785,G1785:I1785)&lt;7,"LENGKAPI",IF(H1785+I1785&gt;N(F1785)+G1785,"ABNORMAL",IF(COUNTIFS($A$2:$A$2001,A1785,$B$2:$B$2001,B1785,$C$2:$C$2001,C1785,$D$2:$D$2001,D1785)&gt;1,"DUPLIKAT","OK"))))</f>
        <v/>
      </c>
    </row>
    <row r="1786">
      <c r="A1786" s="4" t="n"/>
      <c r="B1786" s="5" t="n"/>
      <c r="C1786" s="5" t="n"/>
      <c r="D1786" s="5" t="n"/>
      <c r="E1786" s="6">
        <f>IF(A1786="","","B"&amp;TEXT(COUNT($A$2:A1786),"00000"))</f>
        <v/>
      </c>
      <c r="F1786" s="6">
        <f>IF(OR(C1786="",D1786=""),"",IFERROR(LOOKUP(2,1/(($C$1:C1785=C1786)*($D$1:D1785=D1786)*ISNUMBER($J$1:J1785)),$J$1:J1785),SUMIFS(Master!$G$2:$G$13,Master!$E$2:$E$13,C1786,Master!$F$2:$F$13,D1786)))</f>
        <v/>
      </c>
      <c r="G1786" s="5" t="n"/>
      <c r="H1786" s="5" t="n"/>
      <c r="I1786" s="5" t="n"/>
      <c r="J1786" s="6">
        <f>IF(OR(F1786="",COUNT(G1786:I1786)&lt;3),"",F1786+G1786-H1786-I1786)</f>
        <v/>
      </c>
      <c r="K1786" s="6">
        <f>IF(COUNTA(A1786:D1786,G1786:I1786)=0,"",IF(COUNTA(A1786:D1786,G1786:I1786)&lt;7,"LENGKAPI",IF(H1786+I1786&gt;N(F1786)+G1786,"ABNORMAL",IF(COUNTIFS($A$2:$A$2001,A1786,$B$2:$B$2001,B1786,$C$2:$C$2001,C1786,$D$2:$D$2001,D1786)&gt;1,"DUPLIKAT","OK"))))</f>
        <v/>
      </c>
    </row>
    <row r="1787">
      <c r="A1787" s="4" t="n"/>
      <c r="B1787" s="5" t="n"/>
      <c r="C1787" s="5" t="n"/>
      <c r="D1787" s="5" t="n"/>
      <c r="E1787" s="6">
        <f>IF(A1787="","","B"&amp;TEXT(COUNT($A$2:A1787),"00000"))</f>
        <v/>
      </c>
      <c r="F1787" s="6">
        <f>IF(OR(C1787="",D1787=""),"",IFERROR(LOOKUP(2,1/(($C$1:C1786=C1787)*($D$1:D1786=D1787)*ISNUMBER($J$1:J1786)),$J$1:J1786),SUMIFS(Master!$G$2:$G$13,Master!$E$2:$E$13,C1787,Master!$F$2:$F$13,D1787)))</f>
        <v/>
      </c>
      <c r="G1787" s="5" t="n"/>
      <c r="H1787" s="5" t="n"/>
      <c r="I1787" s="5" t="n"/>
      <c r="J1787" s="6">
        <f>IF(OR(F1787="",COUNT(G1787:I1787)&lt;3),"",F1787+G1787-H1787-I1787)</f>
        <v/>
      </c>
      <c r="K1787" s="6">
        <f>IF(COUNTA(A1787:D1787,G1787:I1787)=0,"",IF(COUNTA(A1787:D1787,G1787:I1787)&lt;7,"LENGKAPI",IF(H1787+I1787&gt;N(F1787)+G1787,"ABNORMAL",IF(COUNTIFS($A$2:$A$2001,A1787,$B$2:$B$2001,B1787,$C$2:$C$2001,C1787,$D$2:$D$2001,D1787)&gt;1,"DUPLIKAT","OK"))))</f>
        <v/>
      </c>
    </row>
    <row r="1788">
      <c r="A1788" s="4" t="n"/>
      <c r="B1788" s="5" t="n"/>
      <c r="C1788" s="5" t="n"/>
      <c r="D1788" s="5" t="n"/>
      <c r="E1788" s="6">
        <f>IF(A1788="","","B"&amp;TEXT(COUNT($A$2:A1788),"00000"))</f>
        <v/>
      </c>
      <c r="F1788" s="6">
        <f>IF(OR(C1788="",D1788=""),"",IFERROR(LOOKUP(2,1/(($C$1:C1787=C1788)*($D$1:D1787=D1788)*ISNUMBER($J$1:J1787)),$J$1:J1787),SUMIFS(Master!$G$2:$G$13,Master!$E$2:$E$13,C1788,Master!$F$2:$F$13,D1788)))</f>
        <v/>
      </c>
      <c r="G1788" s="5" t="n"/>
      <c r="H1788" s="5" t="n"/>
      <c r="I1788" s="5" t="n"/>
      <c r="J1788" s="6">
        <f>IF(OR(F1788="",COUNT(G1788:I1788)&lt;3),"",F1788+G1788-H1788-I1788)</f>
        <v/>
      </c>
      <c r="K1788" s="6">
        <f>IF(COUNTA(A1788:D1788,G1788:I1788)=0,"",IF(COUNTA(A1788:D1788,G1788:I1788)&lt;7,"LENGKAPI",IF(H1788+I1788&gt;N(F1788)+G1788,"ABNORMAL",IF(COUNTIFS($A$2:$A$2001,A1788,$B$2:$B$2001,B1788,$C$2:$C$2001,C1788,$D$2:$D$2001,D1788)&gt;1,"DUPLIKAT","OK"))))</f>
        <v/>
      </c>
    </row>
    <row r="1789">
      <c r="A1789" s="4" t="n"/>
      <c r="B1789" s="5" t="n"/>
      <c r="C1789" s="5" t="n"/>
      <c r="D1789" s="5" t="n"/>
      <c r="E1789" s="6">
        <f>IF(A1789="","","B"&amp;TEXT(COUNT($A$2:A1789),"00000"))</f>
        <v/>
      </c>
      <c r="F1789" s="6">
        <f>IF(OR(C1789="",D1789=""),"",IFERROR(LOOKUP(2,1/(($C$1:C1788=C1789)*($D$1:D1788=D1789)*ISNUMBER($J$1:J1788)),$J$1:J1788),SUMIFS(Master!$G$2:$G$13,Master!$E$2:$E$13,C1789,Master!$F$2:$F$13,D1789)))</f>
        <v/>
      </c>
      <c r="G1789" s="5" t="n"/>
      <c r="H1789" s="5" t="n"/>
      <c r="I1789" s="5" t="n"/>
      <c r="J1789" s="6">
        <f>IF(OR(F1789="",COUNT(G1789:I1789)&lt;3),"",F1789+G1789-H1789-I1789)</f>
        <v/>
      </c>
      <c r="K1789" s="6">
        <f>IF(COUNTA(A1789:D1789,G1789:I1789)=0,"",IF(COUNTA(A1789:D1789,G1789:I1789)&lt;7,"LENGKAPI",IF(H1789+I1789&gt;N(F1789)+G1789,"ABNORMAL",IF(COUNTIFS($A$2:$A$2001,A1789,$B$2:$B$2001,B1789,$C$2:$C$2001,C1789,$D$2:$D$2001,D1789)&gt;1,"DUPLIKAT","OK"))))</f>
        <v/>
      </c>
    </row>
    <row r="1790">
      <c r="A1790" s="4" t="n"/>
      <c r="B1790" s="5" t="n"/>
      <c r="C1790" s="5" t="n"/>
      <c r="D1790" s="5" t="n"/>
      <c r="E1790" s="6">
        <f>IF(A1790="","","B"&amp;TEXT(COUNT($A$2:A1790),"00000"))</f>
        <v/>
      </c>
      <c r="F1790" s="6">
        <f>IF(OR(C1790="",D1790=""),"",IFERROR(LOOKUP(2,1/(($C$1:C1789=C1790)*($D$1:D1789=D1790)*ISNUMBER($J$1:J1789)),$J$1:J1789),SUMIFS(Master!$G$2:$G$13,Master!$E$2:$E$13,C1790,Master!$F$2:$F$13,D1790)))</f>
        <v/>
      </c>
      <c r="G1790" s="5" t="n"/>
      <c r="H1790" s="5" t="n"/>
      <c r="I1790" s="5" t="n"/>
      <c r="J1790" s="6">
        <f>IF(OR(F1790="",COUNT(G1790:I1790)&lt;3),"",F1790+G1790-H1790-I1790)</f>
        <v/>
      </c>
      <c r="K1790" s="6">
        <f>IF(COUNTA(A1790:D1790,G1790:I1790)=0,"",IF(COUNTA(A1790:D1790,G1790:I1790)&lt;7,"LENGKAPI",IF(H1790+I1790&gt;N(F1790)+G1790,"ABNORMAL",IF(COUNTIFS($A$2:$A$2001,A1790,$B$2:$B$2001,B1790,$C$2:$C$2001,C1790,$D$2:$D$2001,D1790)&gt;1,"DUPLIKAT","OK"))))</f>
        <v/>
      </c>
    </row>
    <row r="1791">
      <c r="A1791" s="4" t="n"/>
      <c r="B1791" s="5" t="n"/>
      <c r="C1791" s="5" t="n"/>
      <c r="D1791" s="5" t="n"/>
      <c r="E1791" s="6">
        <f>IF(A1791="","","B"&amp;TEXT(COUNT($A$2:A1791),"00000"))</f>
        <v/>
      </c>
      <c r="F1791" s="6">
        <f>IF(OR(C1791="",D1791=""),"",IFERROR(LOOKUP(2,1/(($C$1:C1790=C1791)*($D$1:D1790=D1791)*ISNUMBER($J$1:J1790)),$J$1:J1790),SUMIFS(Master!$G$2:$G$13,Master!$E$2:$E$13,C1791,Master!$F$2:$F$13,D1791)))</f>
        <v/>
      </c>
      <c r="G1791" s="5" t="n"/>
      <c r="H1791" s="5" t="n"/>
      <c r="I1791" s="5" t="n"/>
      <c r="J1791" s="6">
        <f>IF(OR(F1791="",COUNT(G1791:I1791)&lt;3),"",F1791+G1791-H1791-I1791)</f>
        <v/>
      </c>
      <c r="K1791" s="6">
        <f>IF(COUNTA(A1791:D1791,G1791:I1791)=0,"",IF(COUNTA(A1791:D1791,G1791:I1791)&lt;7,"LENGKAPI",IF(H1791+I1791&gt;N(F1791)+G1791,"ABNORMAL",IF(COUNTIFS($A$2:$A$2001,A1791,$B$2:$B$2001,B1791,$C$2:$C$2001,C1791,$D$2:$D$2001,D1791)&gt;1,"DUPLIKAT","OK"))))</f>
        <v/>
      </c>
    </row>
    <row r="1792">
      <c r="A1792" s="4" t="n"/>
      <c r="B1792" s="5" t="n"/>
      <c r="C1792" s="5" t="n"/>
      <c r="D1792" s="5" t="n"/>
      <c r="E1792" s="6">
        <f>IF(A1792="","","B"&amp;TEXT(COUNT($A$2:A1792),"00000"))</f>
        <v/>
      </c>
      <c r="F1792" s="6">
        <f>IF(OR(C1792="",D1792=""),"",IFERROR(LOOKUP(2,1/(($C$1:C1791=C1792)*($D$1:D1791=D1792)*ISNUMBER($J$1:J1791)),$J$1:J1791),SUMIFS(Master!$G$2:$G$13,Master!$E$2:$E$13,C1792,Master!$F$2:$F$13,D1792)))</f>
        <v/>
      </c>
      <c r="G1792" s="5" t="n"/>
      <c r="H1792" s="5" t="n"/>
      <c r="I1792" s="5" t="n"/>
      <c r="J1792" s="6">
        <f>IF(OR(F1792="",COUNT(G1792:I1792)&lt;3),"",F1792+G1792-H1792-I1792)</f>
        <v/>
      </c>
      <c r="K1792" s="6">
        <f>IF(COUNTA(A1792:D1792,G1792:I1792)=0,"",IF(COUNTA(A1792:D1792,G1792:I1792)&lt;7,"LENGKAPI",IF(H1792+I1792&gt;N(F1792)+G1792,"ABNORMAL",IF(COUNTIFS($A$2:$A$2001,A1792,$B$2:$B$2001,B1792,$C$2:$C$2001,C1792,$D$2:$D$2001,D1792)&gt;1,"DUPLIKAT","OK"))))</f>
        <v/>
      </c>
    </row>
    <row r="1793">
      <c r="A1793" s="4" t="n"/>
      <c r="B1793" s="5" t="n"/>
      <c r="C1793" s="5" t="n"/>
      <c r="D1793" s="5" t="n"/>
      <c r="E1793" s="6">
        <f>IF(A1793="","","B"&amp;TEXT(COUNT($A$2:A1793),"00000"))</f>
        <v/>
      </c>
      <c r="F1793" s="6">
        <f>IF(OR(C1793="",D1793=""),"",IFERROR(LOOKUP(2,1/(($C$1:C1792=C1793)*($D$1:D1792=D1793)*ISNUMBER($J$1:J1792)),$J$1:J1792),SUMIFS(Master!$G$2:$G$13,Master!$E$2:$E$13,C1793,Master!$F$2:$F$13,D1793)))</f>
        <v/>
      </c>
      <c r="G1793" s="5" t="n"/>
      <c r="H1793" s="5" t="n"/>
      <c r="I1793" s="5" t="n"/>
      <c r="J1793" s="6">
        <f>IF(OR(F1793="",COUNT(G1793:I1793)&lt;3),"",F1793+G1793-H1793-I1793)</f>
        <v/>
      </c>
      <c r="K1793" s="6">
        <f>IF(COUNTA(A1793:D1793,G1793:I1793)=0,"",IF(COUNTA(A1793:D1793,G1793:I1793)&lt;7,"LENGKAPI",IF(H1793+I1793&gt;N(F1793)+G1793,"ABNORMAL",IF(COUNTIFS($A$2:$A$2001,A1793,$B$2:$B$2001,B1793,$C$2:$C$2001,C1793,$D$2:$D$2001,D1793)&gt;1,"DUPLIKAT","OK"))))</f>
        <v/>
      </c>
    </row>
    <row r="1794">
      <c r="A1794" s="4" t="n"/>
      <c r="B1794" s="5" t="n"/>
      <c r="C1794" s="5" t="n"/>
      <c r="D1794" s="5" t="n"/>
      <c r="E1794" s="6">
        <f>IF(A1794="","","B"&amp;TEXT(COUNT($A$2:A1794),"00000"))</f>
        <v/>
      </c>
      <c r="F1794" s="6">
        <f>IF(OR(C1794="",D1794=""),"",IFERROR(LOOKUP(2,1/(($C$1:C1793=C1794)*($D$1:D1793=D1794)*ISNUMBER($J$1:J1793)),$J$1:J1793),SUMIFS(Master!$G$2:$G$13,Master!$E$2:$E$13,C1794,Master!$F$2:$F$13,D1794)))</f>
        <v/>
      </c>
      <c r="G1794" s="5" t="n"/>
      <c r="H1794" s="5" t="n"/>
      <c r="I1794" s="5" t="n"/>
      <c r="J1794" s="6">
        <f>IF(OR(F1794="",COUNT(G1794:I1794)&lt;3),"",F1794+G1794-H1794-I1794)</f>
        <v/>
      </c>
      <c r="K1794" s="6">
        <f>IF(COUNTA(A1794:D1794,G1794:I1794)=0,"",IF(COUNTA(A1794:D1794,G1794:I1794)&lt;7,"LENGKAPI",IF(H1794+I1794&gt;N(F1794)+G1794,"ABNORMAL",IF(COUNTIFS($A$2:$A$2001,A1794,$B$2:$B$2001,B1794,$C$2:$C$2001,C1794,$D$2:$D$2001,D1794)&gt;1,"DUPLIKAT","OK"))))</f>
        <v/>
      </c>
    </row>
    <row r="1795">
      <c r="A1795" s="4" t="n"/>
      <c r="B1795" s="5" t="n"/>
      <c r="C1795" s="5" t="n"/>
      <c r="D1795" s="5" t="n"/>
      <c r="E1795" s="6">
        <f>IF(A1795="","","B"&amp;TEXT(COUNT($A$2:A1795),"00000"))</f>
        <v/>
      </c>
      <c r="F1795" s="6">
        <f>IF(OR(C1795="",D1795=""),"",IFERROR(LOOKUP(2,1/(($C$1:C1794=C1795)*($D$1:D1794=D1795)*ISNUMBER($J$1:J1794)),$J$1:J1794),SUMIFS(Master!$G$2:$G$13,Master!$E$2:$E$13,C1795,Master!$F$2:$F$13,D1795)))</f>
        <v/>
      </c>
      <c r="G1795" s="5" t="n"/>
      <c r="H1795" s="5" t="n"/>
      <c r="I1795" s="5" t="n"/>
      <c r="J1795" s="6">
        <f>IF(OR(F1795="",COUNT(G1795:I1795)&lt;3),"",F1795+G1795-H1795-I1795)</f>
        <v/>
      </c>
      <c r="K1795" s="6">
        <f>IF(COUNTA(A1795:D1795,G1795:I1795)=0,"",IF(COUNTA(A1795:D1795,G1795:I1795)&lt;7,"LENGKAPI",IF(H1795+I1795&gt;N(F1795)+G1795,"ABNORMAL",IF(COUNTIFS($A$2:$A$2001,A1795,$B$2:$B$2001,B1795,$C$2:$C$2001,C1795,$D$2:$D$2001,D1795)&gt;1,"DUPLIKAT","OK"))))</f>
        <v/>
      </c>
    </row>
    <row r="1796">
      <c r="A1796" s="4" t="n"/>
      <c r="B1796" s="5" t="n"/>
      <c r="C1796" s="5" t="n"/>
      <c r="D1796" s="5" t="n"/>
      <c r="E1796" s="6">
        <f>IF(A1796="","","B"&amp;TEXT(COUNT($A$2:A1796),"00000"))</f>
        <v/>
      </c>
      <c r="F1796" s="6">
        <f>IF(OR(C1796="",D1796=""),"",IFERROR(LOOKUP(2,1/(($C$1:C1795=C1796)*($D$1:D1795=D1796)*ISNUMBER($J$1:J1795)),$J$1:J1795),SUMIFS(Master!$G$2:$G$13,Master!$E$2:$E$13,C1796,Master!$F$2:$F$13,D1796)))</f>
        <v/>
      </c>
      <c r="G1796" s="5" t="n"/>
      <c r="H1796" s="5" t="n"/>
      <c r="I1796" s="5" t="n"/>
      <c r="J1796" s="6">
        <f>IF(OR(F1796="",COUNT(G1796:I1796)&lt;3),"",F1796+G1796-H1796-I1796)</f>
        <v/>
      </c>
      <c r="K1796" s="6">
        <f>IF(COUNTA(A1796:D1796,G1796:I1796)=0,"",IF(COUNTA(A1796:D1796,G1796:I1796)&lt;7,"LENGKAPI",IF(H1796+I1796&gt;N(F1796)+G1796,"ABNORMAL",IF(COUNTIFS($A$2:$A$2001,A1796,$B$2:$B$2001,B1796,$C$2:$C$2001,C1796,$D$2:$D$2001,D1796)&gt;1,"DUPLIKAT","OK"))))</f>
        <v/>
      </c>
    </row>
    <row r="1797">
      <c r="A1797" s="4" t="n"/>
      <c r="B1797" s="5" t="n"/>
      <c r="C1797" s="5" t="n"/>
      <c r="D1797" s="5" t="n"/>
      <c r="E1797" s="6">
        <f>IF(A1797="","","B"&amp;TEXT(COUNT($A$2:A1797),"00000"))</f>
        <v/>
      </c>
      <c r="F1797" s="6">
        <f>IF(OR(C1797="",D1797=""),"",IFERROR(LOOKUP(2,1/(($C$1:C1796=C1797)*($D$1:D1796=D1797)*ISNUMBER($J$1:J1796)),$J$1:J1796),SUMIFS(Master!$G$2:$G$13,Master!$E$2:$E$13,C1797,Master!$F$2:$F$13,D1797)))</f>
        <v/>
      </c>
      <c r="G1797" s="5" t="n"/>
      <c r="H1797" s="5" t="n"/>
      <c r="I1797" s="5" t="n"/>
      <c r="J1797" s="6">
        <f>IF(OR(F1797="",COUNT(G1797:I1797)&lt;3),"",F1797+G1797-H1797-I1797)</f>
        <v/>
      </c>
      <c r="K1797" s="6">
        <f>IF(COUNTA(A1797:D1797,G1797:I1797)=0,"",IF(COUNTA(A1797:D1797,G1797:I1797)&lt;7,"LENGKAPI",IF(H1797+I1797&gt;N(F1797)+G1797,"ABNORMAL",IF(COUNTIFS($A$2:$A$2001,A1797,$B$2:$B$2001,B1797,$C$2:$C$2001,C1797,$D$2:$D$2001,D1797)&gt;1,"DUPLIKAT","OK"))))</f>
        <v/>
      </c>
    </row>
    <row r="1798">
      <c r="A1798" s="4" t="n"/>
      <c r="B1798" s="5" t="n"/>
      <c r="C1798" s="5" t="n"/>
      <c r="D1798" s="5" t="n"/>
      <c r="E1798" s="6">
        <f>IF(A1798="","","B"&amp;TEXT(COUNT($A$2:A1798),"00000"))</f>
        <v/>
      </c>
      <c r="F1798" s="6">
        <f>IF(OR(C1798="",D1798=""),"",IFERROR(LOOKUP(2,1/(($C$1:C1797=C1798)*($D$1:D1797=D1798)*ISNUMBER($J$1:J1797)),$J$1:J1797),SUMIFS(Master!$G$2:$G$13,Master!$E$2:$E$13,C1798,Master!$F$2:$F$13,D1798)))</f>
        <v/>
      </c>
      <c r="G1798" s="5" t="n"/>
      <c r="H1798" s="5" t="n"/>
      <c r="I1798" s="5" t="n"/>
      <c r="J1798" s="6">
        <f>IF(OR(F1798="",COUNT(G1798:I1798)&lt;3),"",F1798+G1798-H1798-I1798)</f>
        <v/>
      </c>
      <c r="K1798" s="6">
        <f>IF(COUNTA(A1798:D1798,G1798:I1798)=0,"",IF(COUNTA(A1798:D1798,G1798:I1798)&lt;7,"LENGKAPI",IF(H1798+I1798&gt;N(F1798)+G1798,"ABNORMAL",IF(COUNTIFS($A$2:$A$2001,A1798,$B$2:$B$2001,B1798,$C$2:$C$2001,C1798,$D$2:$D$2001,D1798)&gt;1,"DUPLIKAT","OK"))))</f>
        <v/>
      </c>
    </row>
    <row r="1799">
      <c r="A1799" s="4" t="n"/>
      <c r="B1799" s="5" t="n"/>
      <c r="C1799" s="5" t="n"/>
      <c r="D1799" s="5" t="n"/>
      <c r="E1799" s="6">
        <f>IF(A1799="","","B"&amp;TEXT(COUNT($A$2:A1799),"00000"))</f>
        <v/>
      </c>
      <c r="F1799" s="6">
        <f>IF(OR(C1799="",D1799=""),"",IFERROR(LOOKUP(2,1/(($C$1:C1798=C1799)*($D$1:D1798=D1799)*ISNUMBER($J$1:J1798)),$J$1:J1798),SUMIFS(Master!$G$2:$G$13,Master!$E$2:$E$13,C1799,Master!$F$2:$F$13,D1799)))</f>
        <v/>
      </c>
      <c r="G1799" s="5" t="n"/>
      <c r="H1799" s="5" t="n"/>
      <c r="I1799" s="5" t="n"/>
      <c r="J1799" s="6">
        <f>IF(OR(F1799="",COUNT(G1799:I1799)&lt;3),"",F1799+G1799-H1799-I1799)</f>
        <v/>
      </c>
      <c r="K1799" s="6">
        <f>IF(COUNTA(A1799:D1799,G1799:I1799)=0,"",IF(COUNTA(A1799:D1799,G1799:I1799)&lt;7,"LENGKAPI",IF(H1799+I1799&gt;N(F1799)+G1799,"ABNORMAL",IF(COUNTIFS($A$2:$A$2001,A1799,$B$2:$B$2001,B1799,$C$2:$C$2001,C1799,$D$2:$D$2001,D1799)&gt;1,"DUPLIKAT","OK"))))</f>
        <v/>
      </c>
    </row>
    <row r="1800">
      <c r="A1800" s="4" t="n"/>
      <c r="B1800" s="5" t="n"/>
      <c r="C1800" s="5" t="n"/>
      <c r="D1800" s="5" t="n"/>
      <c r="E1800" s="6">
        <f>IF(A1800="","","B"&amp;TEXT(COUNT($A$2:A1800),"00000"))</f>
        <v/>
      </c>
      <c r="F1800" s="6">
        <f>IF(OR(C1800="",D1800=""),"",IFERROR(LOOKUP(2,1/(($C$1:C1799=C1800)*($D$1:D1799=D1800)*ISNUMBER($J$1:J1799)),$J$1:J1799),SUMIFS(Master!$G$2:$G$13,Master!$E$2:$E$13,C1800,Master!$F$2:$F$13,D1800)))</f>
        <v/>
      </c>
      <c r="G1800" s="5" t="n"/>
      <c r="H1800" s="5" t="n"/>
      <c r="I1800" s="5" t="n"/>
      <c r="J1800" s="6">
        <f>IF(OR(F1800="",COUNT(G1800:I1800)&lt;3),"",F1800+G1800-H1800-I1800)</f>
        <v/>
      </c>
      <c r="K1800" s="6">
        <f>IF(COUNTA(A1800:D1800,G1800:I1800)=0,"",IF(COUNTA(A1800:D1800,G1800:I1800)&lt;7,"LENGKAPI",IF(H1800+I1800&gt;N(F1800)+G1800,"ABNORMAL",IF(COUNTIFS($A$2:$A$2001,A1800,$B$2:$B$2001,B1800,$C$2:$C$2001,C1800,$D$2:$D$2001,D1800)&gt;1,"DUPLIKAT","OK"))))</f>
        <v/>
      </c>
    </row>
    <row r="1801">
      <c r="A1801" s="4" t="n"/>
      <c r="B1801" s="5" t="n"/>
      <c r="C1801" s="5" t="n"/>
      <c r="D1801" s="5" t="n"/>
      <c r="E1801" s="6">
        <f>IF(A1801="","","B"&amp;TEXT(COUNT($A$2:A1801),"00000"))</f>
        <v/>
      </c>
      <c r="F1801" s="6">
        <f>IF(OR(C1801="",D1801=""),"",IFERROR(LOOKUP(2,1/(($C$1:C1800=C1801)*($D$1:D1800=D1801)*ISNUMBER($J$1:J1800)),$J$1:J1800),SUMIFS(Master!$G$2:$G$13,Master!$E$2:$E$13,C1801,Master!$F$2:$F$13,D1801)))</f>
        <v/>
      </c>
      <c r="G1801" s="5" t="n"/>
      <c r="H1801" s="5" t="n"/>
      <c r="I1801" s="5" t="n"/>
      <c r="J1801" s="6">
        <f>IF(OR(F1801="",COUNT(G1801:I1801)&lt;3),"",F1801+G1801-H1801-I1801)</f>
        <v/>
      </c>
      <c r="K1801" s="6">
        <f>IF(COUNTA(A1801:D1801,G1801:I1801)=0,"",IF(COUNTA(A1801:D1801,G1801:I1801)&lt;7,"LENGKAPI",IF(H1801+I1801&gt;N(F1801)+G1801,"ABNORMAL",IF(COUNTIFS($A$2:$A$2001,A1801,$B$2:$B$2001,B1801,$C$2:$C$2001,C1801,$D$2:$D$2001,D1801)&gt;1,"DUPLIKAT","OK"))))</f>
        <v/>
      </c>
    </row>
    <row r="1802">
      <c r="A1802" s="4" t="n"/>
      <c r="B1802" s="5" t="n"/>
      <c r="C1802" s="5" t="n"/>
      <c r="D1802" s="5" t="n"/>
      <c r="E1802" s="6">
        <f>IF(A1802="","","B"&amp;TEXT(COUNT($A$2:A1802),"00000"))</f>
        <v/>
      </c>
      <c r="F1802" s="6">
        <f>IF(OR(C1802="",D1802=""),"",IFERROR(LOOKUP(2,1/(($C$1:C1801=C1802)*($D$1:D1801=D1802)*ISNUMBER($J$1:J1801)),$J$1:J1801),SUMIFS(Master!$G$2:$G$13,Master!$E$2:$E$13,C1802,Master!$F$2:$F$13,D1802)))</f>
        <v/>
      </c>
      <c r="G1802" s="5" t="n"/>
      <c r="H1802" s="5" t="n"/>
      <c r="I1802" s="5" t="n"/>
      <c r="J1802" s="6">
        <f>IF(OR(F1802="",COUNT(G1802:I1802)&lt;3),"",F1802+G1802-H1802-I1802)</f>
        <v/>
      </c>
      <c r="K1802" s="6">
        <f>IF(COUNTA(A1802:D1802,G1802:I1802)=0,"",IF(COUNTA(A1802:D1802,G1802:I1802)&lt;7,"LENGKAPI",IF(H1802+I1802&gt;N(F1802)+G1802,"ABNORMAL",IF(COUNTIFS($A$2:$A$2001,A1802,$B$2:$B$2001,B1802,$C$2:$C$2001,C1802,$D$2:$D$2001,D1802)&gt;1,"DUPLIKAT","OK"))))</f>
        <v/>
      </c>
    </row>
    <row r="1803">
      <c r="A1803" s="4" t="n"/>
      <c r="B1803" s="5" t="n"/>
      <c r="C1803" s="5" t="n"/>
      <c r="D1803" s="5" t="n"/>
      <c r="E1803" s="6">
        <f>IF(A1803="","","B"&amp;TEXT(COUNT($A$2:A1803),"00000"))</f>
        <v/>
      </c>
      <c r="F1803" s="6">
        <f>IF(OR(C1803="",D1803=""),"",IFERROR(LOOKUP(2,1/(($C$1:C1802=C1803)*($D$1:D1802=D1803)*ISNUMBER($J$1:J1802)),$J$1:J1802),SUMIFS(Master!$G$2:$G$13,Master!$E$2:$E$13,C1803,Master!$F$2:$F$13,D1803)))</f>
        <v/>
      </c>
      <c r="G1803" s="5" t="n"/>
      <c r="H1803" s="5" t="n"/>
      <c r="I1803" s="5" t="n"/>
      <c r="J1803" s="6">
        <f>IF(OR(F1803="",COUNT(G1803:I1803)&lt;3),"",F1803+G1803-H1803-I1803)</f>
        <v/>
      </c>
      <c r="K1803" s="6">
        <f>IF(COUNTA(A1803:D1803,G1803:I1803)=0,"",IF(COUNTA(A1803:D1803,G1803:I1803)&lt;7,"LENGKAPI",IF(H1803+I1803&gt;N(F1803)+G1803,"ABNORMAL",IF(COUNTIFS($A$2:$A$2001,A1803,$B$2:$B$2001,B1803,$C$2:$C$2001,C1803,$D$2:$D$2001,D1803)&gt;1,"DUPLIKAT","OK"))))</f>
        <v/>
      </c>
    </row>
    <row r="1804">
      <c r="A1804" s="4" t="n"/>
      <c r="B1804" s="5" t="n"/>
      <c r="C1804" s="5" t="n"/>
      <c r="D1804" s="5" t="n"/>
      <c r="E1804" s="6">
        <f>IF(A1804="","","B"&amp;TEXT(COUNT($A$2:A1804),"00000"))</f>
        <v/>
      </c>
      <c r="F1804" s="6">
        <f>IF(OR(C1804="",D1804=""),"",IFERROR(LOOKUP(2,1/(($C$1:C1803=C1804)*($D$1:D1803=D1804)*ISNUMBER($J$1:J1803)),$J$1:J1803),SUMIFS(Master!$G$2:$G$13,Master!$E$2:$E$13,C1804,Master!$F$2:$F$13,D1804)))</f>
        <v/>
      </c>
      <c r="G1804" s="5" t="n"/>
      <c r="H1804" s="5" t="n"/>
      <c r="I1804" s="5" t="n"/>
      <c r="J1804" s="6">
        <f>IF(OR(F1804="",COUNT(G1804:I1804)&lt;3),"",F1804+G1804-H1804-I1804)</f>
        <v/>
      </c>
      <c r="K1804" s="6">
        <f>IF(COUNTA(A1804:D1804,G1804:I1804)=0,"",IF(COUNTA(A1804:D1804,G1804:I1804)&lt;7,"LENGKAPI",IF(H1804+I1804&gt;N(F1804)+G1804,"ABNORMAL",IF(COUNTIFS($A$2:$A$2001,A1804,$B$2:$B$2001,B1804,$C$2:$C$2001,C1804,$D$2:$D$2001,D1804)&gt;1,"DUPLIKAT","OK"))))</f>
        <v/>
      </c>
    </row>
    <row r="1805">
      <c r="A1805" s="4" t="n"/>
      <c r="B1805" s="5" t="n"/>
      <c r="C1805" s="5" t="n"/>
      <c r="D1805" s="5" t="n"/>
      <c r="E1805" s="6">
        <f>IF(A1805="","","B"&amp;TEXT(COUNT($A$2:A1805),"00000"))</f>
        <v/>
      </c>
      <c r="F1805" s="6">
        <f>IF(OR(C1805="",D1805=""),"",IFERROR(LOOKUP(2,1/(($C$1:C1804=C1805)*($D$1:D1804=D1805)*ISNUMBER($J$1:J1804)),$J$1:J1804),SUMIFS(Master!$G$2:$G$13,Master!$E$2:$E$13,C1805,Master!$F$2:$F$13,D1805)))</f>
        <v/>
      </c>
      <c r="G1805" s="5" t="n"/>
      <c r="H1805" s="5" t="n"/>
      <c r="I1805" s="5" t="n"/>
      <c r="J1805" s="6">
        <f>IF(OR(F1805="",COUNT(G1805:I1805)&lt;3),"",F1805+G1805-H1805-I1805)</f>
        <v/>
      </c>
      <c r="K1805" s="6">
        <f>IF(COUNTA(A1805:D1805,G1805:I1805)=0,"",IF(COUNTA(A1805:D1805,G1805:I1805)&lt;7,"LENGKAPI",IF(H1805+I1805&gt;N(F1805)+G1805,"ABNORMAL",IF(COUNTIFS($A$2:$A$2001,A1805,$B$2:$B$2001,B1805,$C$2:$C$2001,C1805,$D$2:$D$2001,D1805)&gt;1,"DUPLIKAT","OK"))))</f>
        <v/>
      </c>
    </row>
    <row r="1806">
      <c r="A1806" s="4" t="n"/>
      <c r="B1806" s="5" t="n"/>
      <c r="C1806" s="5" t="n"/>
      <c r="D1806" s="5" t="n"/>
      <c r="E1806" s="6">
        <f>IF(A1806="","","B"&amp;TEXT(COUNT($A$2:A1806),"00000"))</f>
        <v/>
      </c>
      <c r="F1806" s="6">
        <f>IF(OR(C1806="",D1806=""),"",IFERROR(LOOKUP(2,1/(($C$1:C1805=C1806)*($D$1:D1805=D1806)*ISNUMBER($J$1:J1805)),$J$1:J1805),SUMIFS(Master!$G$2:$G$13,Master!$E$2:$E$13,C1806,Master!$F$2:$F$13,D1806)))</f>
        <v/>
      </c>
      <c r="G1806" s="5" t="n"/>
      <c r="H1806" s="5" t="n"/>
      <c r="I1806" s="5" t="n"/>
      <c r="J1806" s="6">
        <f>IF(OR(F1806="",COUNT(G1806:I1806)&lt;3),"",F1806+G1806-H1806-I1806)</f>
        <v/>
      </c>
      <c r="K1806" s="6">
        <f>IF(COUNTA(A1806:D1806,G1806:I1806)=0,"",IF(COUNTA(A1806:D1806,G1806:I1806)&lt;7,"LENGKAPI",IF(H1806+I1806&gt;N(F1806)+G1806,"ABNORMAL",IF(COUNTIFS($A$2:$A$2001,A1806,$B$2:$B$2001,B1806,$C$2:$C$2001,C1806,$D$2:$D$2001,D1806)&gt;1,"DUPLIKAT","OK"))))</f>
        <v/>
      </c>
    </row>
    <row r="1807">
      <c r="A1807" s="4" t="n"/>
      <c r="B1807" s="5" t="n"/>
      <c r="C1807" s="5" t="n"/>
      <c r="D1807" s="5" t="n"/>
      <c r="E1807" s="6">
        <f>IF(A1807="","","B"&amp;TEXT(COUNT($A$2:A1807),"00000"))</f>
        <v/>
      </c>
      <c r="F1807" s="6">
        <f>IF(OR(C1807="",D1807=""),"",IFERROR(LOOKUP(2,1/(($C$1:C1806=C1807)*($D$1:D1806=D1807)*ISNUMBER($J$1:J1806)),$J$1:J1806),SUMIFS(Master!$G$2:$G$13,Master!$E$2:$E$13,C1807,Master!$F$2:$F$13,D1807)))</f>
        <v/>
      </c>
      <c r="G1807" s="5" t="n"/>
      <c r="H1807" s="5" t="n"/>
      <c r="I1807" s="5" t="n"/>
      <c r="J1807" s="6">
        <f>IF(OR(F1807="",COUNT(G1807:I1807)&lt;3),"",F1807+G1807-H1807-I1807)</f>
        <v/>
      </c>
      <c r="K1807" s="6">
        <f>IF(COUNTA(A1807:D1807,G1807:I1807)=0,"",IF(COUNTA(A1807:D1807,G1807:I1807)&lt;7,"LENGKAPI",IF(H1807+I1807&gt;N(F1807)+G1807,"ABNORMAL",IF(COUNTIFS($A$2:$A$2001,A1807,$B$2:$B$2001,B1807,$C$2:$C$2001,C1807,$D$2:$D$2001,D1807)&gt;1,"DUPLIKAT","OK"))))</f>
        <v/>
      </c>
    </row>
    <row r="1808">
      <c r="A1808" s="4" t="n"/>
      <c r="B1808" s="5" t="n"/>
      <c r="C1808" s="5" t="n"/>
      <c r="D1808" s="5" t="n"/>
      <c r="E1808" s="6">
        <f>IF(A1808="","","B"&amp;TEXT(COUNT($A$2:A1808),"00000"))</f>
        <v/>
      </c>
      <c r="F1808" s="6">
        <f>IF(OR(C1808="",D1808=""),"",IFERROR(LOOKUP(2,1/(($C$1:C1807=C1808)*($D$1:D1807=D1808)*ISNUMBER($J$1:J1807)),$J$1:J1807),SUMIFS(Master!$G$2:$G$13,Master!$E$2:$E$13,C1808,Master!$F$2:$F$13,D1808)))</f>
        <v/>
      </c>
      <c r="G1808" s="5" t="n"/>
      <c r="H1808" s="5" t="n"/>
      <c r="I1808" s="5" t="n"/>
      <c r="J1808" s="6">
        <f>IF(OR(F1808="",COUNT(G1808:I1808)&lt;3),"",F1808+G1808-H1808-I1808)</f>
        <v/>
      </c>
      <c r="K1808" s="6">
        <f>IF(COUNTA(A1808:D1808,G1808:I1808)=0,"",IF(COUNTA(A1808:D1808,G1808:I1808)&lt;7,"LENGKAPI",IF(H1808+I1808&gt;N(F1808)+G1808,"ABNORMAL",IF(COUNTIFS($A$2:$A$2001,A1808,$B$2:$B$2001,B1808,$C$2:$C$2001,C1808,$D$2:$D$2001,D1808)&gt;1,"DUPLIKAT","OK"))))</f>
        <v/>
      </c>
    </row>
    <row r="1809">
      <c r="A1809" s="4" t="n"/>
      <c r="B1809" s="5" t="n"/>
      <c r="C1809" s="5" t="n"/>
      <c r="D1809" s="5" t="n"/>
      <c r="E1809" s="6">
        <f>IF(A1809="","","B"&amp;TEXT(COUNT($A$2:A1809),"00000"))</f>
        <v/>
      </c>
      <c r="F1809" s="6">
        <f>IF(OR(C1809="",D1809=""),"",IFERROR(LOOKUP(2,1/(($C$1:C1808=C1809)*($D$1:D1808=D1809)*ISNUMBER($J$1:J1808)),$J$1:J1808),SUMIFS(Master!$G$2:$G$13,Master!$E$2:$E$13,C1809,Master!$F$2:$F$13,D1809)))</f>
        <v/>
      </c>
      <c r="G1809" s="5" t="n"/>
      <c r="H1809" s="5" t="n"/>
      <c r="I1809" s="5" t="n"/>
      <c r="J1809" s="6">
        <f>IF(OR(F1809="",COUNT(G1809:I1809)&lt;3),"",F1809+G1809-H1809-I1809)</f>
        <v/>
      </c>
      <c r="K1809" s="6">
        <f>IF(COUNTA(A1809:D1809,G1809:I1809)=0,"",IF(COUNTA(A1809:D1809,G1809:I1809)&lt;7,"LENGKAPI",IF(H1809+I1809&gt;N(F1809)+G1809,"ABNORMAL",IF(COUNTIFS($A$2:$A$2001,A1809,$B$2:$B$2001,B1809,$C$2:$C$2001,C1809,$D$2:$D$2001,D1809)&gt;1,"DUPLIKAT","OK"))))</f>
        <v/>
      </c>
    </row>
    <row r="1810">
      <c r="A1810" s="4" t="n"/>
      <c r="B1810" s="5" t="n"/>
      <c r="C1810" s="5" t="n"/>
      <c r="D1810" s="5" t="n"/>
      <c r="E1810" s="6">
        <f>IF(A1810="","","B"&amp;TEXT(COUNT($A$2:A1810),"00000"))</f>
        <v/>
      </c>
      <c r="F1810" s="6">
        <f>IF(OR(C1810="",D1810=""),"",IFERROR(LOOKUP(2,1/(($C$1:C1809=C1810)*($D$1:D1809=D1810)*ISNUMBER($J$1:J1809)),$J$1:J1809),SUMIFS(Master!$G$2:$G$13,Master!$E$2:$E$13,C1810,Master!$F$2:$F$13,D1810)))</f>
        <v/>
      </c>
      <c r="G1810" s="5" t="n"/>
      <c r="H1810" s="5" t="n"/>
      <c r="I1810" s="5" t="n"/>
      <c r="J1810" s="6">
        <f>IF(OR(F1810="",COUNT(G1810:I1810)&lt;3),"",F1810+G1810-H1810-I1810)</f>
        <v/>
      </c>
      <c r="K1810" s="6">
        <f>IF(COUNTA(A1810:D1810,G1810:I1810)=0,"",IF(COUNTA(A1810:D1810,G1810:I1810)&lt;7,"LENGKAPI",IF(H1810+I1810&gt;N(F1810)+G1810,"ABNORMAL",IF(COUNTIFS($A$2:$A$2001,A1810,$B$2:$B$2001,B1810,$C$2:$C$2001,C1810,$D$2:$D$2001,D1810)&gt;1,"DUPLIKAT","OK"))))</f>
        <v/>
      </c>
    </row>
    <row r="1811">
      <c r="A1811" s="4" t="n"/>
      <c r="B1811" s="5" t="n"/>
      <c r="C1811" s="5" t="n"/>
      <c r="D1811" s="5" t="n"/>
      <c r="E1811" s="6">
        <f>IF(A1811="","","B"&amp;TEXT(COUNT($A$2:A1811),"00000"))</f>
        <v/>
      </c>
      <c r="F1811" s="6">
        <f>IF(OR(C1811="",D1811=""),"",IFERROR(LOOKUP(2,1/(($C$1:C1810=C1811)*($D$1:D1810=D1811)*ISNUMBER($J$1:J1810)),$J$1:J1810),SUMIFS(Master!$G$2:$G$13,Master!$E$2:$E$13,C1811,Master!$F$2:$F$13,D1811)))</f>
        <v/>
      </c>
      <c r="G1811" s="5" t="n"/>
      <c r="H1811" s="5" t="n"/>
      <c r="I1811" s="5" t="n"/>
      <c r="J1811" s="6">
        <f>IF(OR(F1811="",COUNT(G1811:I1811)&lt;3),"",F1811+G1811-H1811-I1811)</f>
        <v/>
      </c>
      <c r="K1811" s="6">
        <f>IF(COUNTA(A1811:D1811,G1811:I1811)=0,"",IF(COUNTA(A1811:D1811,G1811:I1811)&lt;7,"LENGKAPI",IF(H1811+I1811&gt;N(F1811)+G1811,"ABNORMAL",IF(COUNTIFS($A$2:$A$2001,A1811,$B$2:$B$2001,B1811,$C$2:$C$2001,C1811,$D$2:$D$2001,D1811)&gt;1,"DUPLIKAT","OK"))))</f>
        <v/>
      </c>
    </row>
    <row r="1812">
      <c r="A1812" s="4" t="n"/>
      <c r="B1812" s="5" t="n"/>
      <c r="C1812" s="5" t="n"/>
      <c r="D1812" s="5" t="n"/>
      <c r="E1812" s="6">
        <f>IF(A1812="","","B"&amp;TEXT(COUNT($A$2:A1812),"00000"))</f>
        <v/>
      </c>
      <c r="F1812" s="6">
        <f>IF(OR(C1812="",D1812=""),"",IFERROR(LOOKUP(2,1/(($C$1:C1811=C1812)*($D$1:D1811=D1812)*ISNUMBER($J$1:J1811)),$J$1:J1811),SUMIFS(Master!$G$2:$G$13,Master!$E$2:$E$13,C1812,Master!$F$2:$F$13,D1812)))</f>
        <v/>
      </c>
      <c r="G1812" s="5" t="n"/>
      <c r="H1812" s="5" t="n"/>
      <c r="I1812" s="5" t="n"/>
      <c r="J1812" s="6">
        <f>IF(OR(F1812="",COUNT(G1812:I1812)&lt;3),"",F1812+G1812-H1812-I1812)</f>
        <v/>
      </c>
      <c r="K1812" s="6">
        <f>IF(COUNTA(A1812:D1812,G1812:I1812)=0,"",IF(COUNTA(A1812:D1812,G1812:I1812)&lt;7,"LENGKAPI",IF(H1812+I1812&gt;N(F1812)+G1812,"ABNORMAL",IF(COUNTIFS($A$2:$A$2001,A1812,$B$2:$B$2001,B1812,$C$2:$C$2001,C1812,$D$2:$D$2001,D1812)&gt;1,"DUPLIKAT","OK"))))</f>
        <v/>
      </c>
    </row>
    <row r="1813">
      <c r="A1813" s="4" t="n"/>
      <c r="B1813" s="5" t="n"/>
      <c r="C1813" s="5" t="n"/>
      <c r="D1813" s="5" t="n"/>
      <c r="E1813" s="6">
        <f>IF(A1813="","","B"&amp;TEXT(COUNT($A$2:A1813),"00000"))</f>
        <v/>
      </c>
      <c r="F1813" s="6">
        <f>IF(OR(C1813="",D1813=""),"",IFERROR(LOOKUP(2,1/(($C$1:C1812=C1813)*($D$1:D1812=D1813)*ISNUMBER($J$1:J1812)),$J$1:J1812),SUMIFS(Master!$G$2:$G$13,Master!$E$2:$E$13,C1813,Master!$F$2:$F$13,D1813)))</f>
        <v/>
      </c>
      <c r="G1813" s="5" t="n"/>
      <c r="H1813" s="5" t="n"/>
      <c r="I1813" s="5" t="n"/>
      <c r="J1813" s="6">
        <f>IF(OR(F1813="",COUNT(G1813:I1813)&lt;3),"",F1813+G1813-H1813-I1813)</f>
        <v/>
      </c>
      <c r="K1813" s="6">
        <f>IF(COUNTA(A1813:D1813,G1813:I1813)=0,"",IF(COUNTA(A1813:D1813,G1813:I1813)&lt;7,"LENGKAPI",IF(H1813+I1813&gt;N(F1813)+G1813,"ABNORMAL",IF(COUNTIFS($A$2:$A$2001,A1813,$B$2:$B$2001,B1813,$C$2:$C$2001,C1813,$D$2:$D$2001,D1813)&gt;1,"DUPLIKAT","OK"))))</f>
        <v/>
      </c>
    </row>
    <row r="1814">
      <c r="A1814" s="4" t="n"/>
      <c r="B1814" s="5" t="n"/>
      <c r="C1814" s="5" t="n"/>
      <c r="D1814" s="5" t="n"/>
      <c r="E1814" s="6">
        <f>IF(A1814="","","B"&amp;TEXT(COUNT($A$2:A1814),"00000"))</f>
        <v/>
      </c>
      <c r="F1814" s="6">
        <f>IF(OR(C1814="",D1814=""),"",IFERROR(LOOKUP(2,1/(($C$1:C1813=C1814)*($D$1:D1813=D1814)*ISNUMBER($J$1:J1813)),$J$1:J1813),SUMIFS(Master!$G$2:$G$13,Master!$E$2:$E$13,C1814,Master!$F$2:$F$13,D1814)))</f>
        <v/>
      </c>
      <c r="G1814" s="5" t="n"/>
      <c r="H1814" s="5" t="n"/>
      <c r="I1814" s="5" t="n"/>
      <c r="J1814" s="6">
        <f>IF(OR(F1814="",COUNT(G1814:I1814)&lt;3),"",F1814+G1814-H1814-I1814)</f>
        <v/>
      </c>
      <c r="K1814" s="6">
        <f>IF(COUNTA(A1814:D1814,G1814:I1814)=0,"",IF(COUNTA(A1814:D1814,G1814:I1814)&lt;7,"LENGKAPI",IF(H1814+I1814&gt;N(F1814)+G1814,"ABNORMAL",IF(COUNTIFS($A$2:$A$2001,A1814,$B$2:$B$2001,B1814,$C$2:$C$2001,C1814,$D$2:$D$2001,D1814)&gt;1,"DUPLIKAT","OK"))))</f>
        <v/>
      </c>
    </row>
    <row r="1815">
      <c r="A1815" s="4" t="n"/>
      <c r="B1815" s="5" t="n"/>
      <c r="C1815" s="5" t="n"/>
      <c r="D1815" s="5" t="n"/>
      <c r="E1815" s="6">
        <f>IF(A1815="","","B"&amp;TEXT(COUNT($A$2:A1815),"00000"))</f>
        <v/>
      </c>
      <c r="F1815" s="6">
        <f>IF(OR(C1815="",D1815=""),"",IFERROR(LOOKUP(2,1/(($C$1:C1814=C1815)*($D$1:D1814=D1815)*ISNUMBER($J$1:J1814)),$J$1:J1814),SUMIFS(Master!$G$2:$G$13,Master!$E$2:$E$13,C1815,Master!$F$2:$F$13,D1815)))</f>
        <v/>
      </c>
      <c r="G1815" s="5" t="n"/>
      <c r="H1815" s="5" t="n"/>
      <c r="I1815" s="5" t="n"/>
      <c r="J1815" s="6">
        <f>IF(OR(F1815="",COUNT(G1815:I1815)&lt;3),"",F1815+G1815-H1815-I1815)</f>
        <v/>
      </c>
      <c r="K1815" s="6">
        <f>IF(COUNTA(A1815:D1815,G1815:I1815)=0,"",IF(COUNTA(A1815:D1815,G1815:I1815)&lt;7,"LENGKAPI",IF(H1815+I1815&gt;N(F1815)+G1815,"ABNORMAL",IF(COUNTIFS($A$2:$A$2001,A1815,$B$2:$B$2001,B1815,$C$2:$C$2001,C1815,$D$2:$D$2001,D1815)&gt;1,"DUPLIKAT","OK"))))</f>
        <v/>
      </c>
    </row>
    <row r="1816">
      <c r="A1816" s="4" t="n"/>
      <c r="B1816" s="5" t="n"/>
      <c r="C1816" s="5" t="n"/>
      <c r="D1816" s="5" t="n"/>
      <c r="E1816" s="6">
        <f>IF(A1816="","","B"&amp;TEXT(COUNT($A$2:A1816),"00000"))</f>
        <v/>
      </c>
      <c r="F1816" s="6">
        <f>IF(OR(C1816="",D1816=""),"",IFERROR(LOOKUP(2,1/(($C$1:C1815=C1816)*($D$1:D1815=D1816)*ISNUMBER($J$1:J1815)),$J$1:J1815),SUMIFS(Master!$G$2:$G$13,Master!$E$2:$E$13,C1816,Master!$F$2:$F$13,D1816)))</f>
        <v/>
      </c>
      <c r="G1816" s="5" t="n"/>
      <c r="H1816" s="5" t="n"/>
      <c r="I1816" s="5" t="n"/>
      <c r="J1816" s="6">
        <f>IF(OR(F1816="",COUNT(G1816:I1816)&lt;3),"",F1816+G1816-H1816-I1816)</f>
        <v/>
      </c>
      <c r="K1816" s="6">
        <f>IF(COUNTA(A1816:D1816,G1816:I1816)=0,"",IF(COUNTA(A1816:D1816,G1816:I1816)&lt;7,"LENGKAPI",IF(H1816+I1816&gt;N(F1816)+G1816,"ABNORMAL",IF(COUNTIFS($A$2:$A$2001,A1816,$B$2:$B$2001,B1816,$C$2:$C$2001,C1816,$D$2:$D$2001,D1816)&gt;1,"DUPLIKAT","OK"))))</f>
        <v/>
      </c>
    </row>
    <row r="1817">
      <c r="A1817" s="4" t="n"/>
      <c r="B1817" s="5" t="n"/>
      <c r="C1817" s="5" t="n"/>
      <c r="D1817" s="5" t="n"/>
      <c r="E1817" s="6">
        <f>IF(A1817="","","B"&amp;TEXT(COUNT($A$2:A1817),"00000"))</f>
        <v/>
      </c>
      <c r="F1817" s="6">
        <f>IF(OR(C1817="",D1817=""),"",IFERROR(LOOKUP(2,1/(($C$1:C1816=C1817)*($D$1:D1816=D1817)*ISNUMBER($J$1:J1816)),$J$1:J1816),SUMIFS(Master!$G$2:$G$13,Master!$E$2:$E$13,C1817,Master!$F$2:$F$13,D1817)))</f>
        <v/>
      </c>
      <c r="G1817" s="5" t="n"/>
      <c r="H1817" s="5" t="n"/>
      <c r="I1817" s="5" t="n"/>
      <c r="J1817" s="6">
        <f>IF(OR(F1817="",COUNT(G1817:I1817)&lt;3),"",F1817+G1817-H1817-I1817)</f>
        <v/>
      </c>
      <c r="K1817" s="6">
        <f>IF(COUNTA(A1817:D1817,G1817:I1817)=0,"",IF(COUNTA(A1817:D1817,G1817:I1817)&lt;7,"LENGKAPI",IF(H1817+I1817&gt;N(F1817)+G1817,"ABNORMAL",IF(COUNTIFS($A$2:$A$2001,A1817,$B$2:$B$2001,B1817,$C$2:$C$2001,C1817,$D$2:$D$2001,D1817)&gt;1,"DUPLIKAT","OK"))))</f>
        <v/>
      </c>
    </row>
    <row r="1818">
      <c r="A1818" s="4" t="n"/>
      <c r="B1818" s="5" t="n"/>
      <c r="C1818" s="5" t="n"/>
      <c r="D1818" s="5" t="n"/>
      <c r="E1818" s="6">
        <f>IF(A1818="","","B"&amp;TEXT(COUNT($A$2:A1818),"00000"))</f>
        <v/>
      </c>
      <c r="F1818" s="6">
        <f>IF(OR(C1818="",D1818=""),"",IFERROR(LOOKUP(2,1/(($C$1:C1817=C1818)*($D$1:D1817=D1818)*ISNUMBER($J$1:J1817)),$J$1:J1817),SUMIFS(Master!$G$2:$G$13,Master!$E$2:$E$13,C1818,Master!$F$2:$F$13,D1818)))</f>
        <v/>
      </c>
      <c r="G1818" s="5" t="n"/>
      <c r="H1818" s="5" t="n"/>
      <c r="I1818" s="5" t="n"/>
      <c r="J1818" s="6">
        <f>IF(OR(F1818="",COUNT(G1818:I1818)&lt;3),"",F1818+G1818-H1818-I1818)</f>
        <v/>
      </c>
      <c r="K1818" s="6">
        <f>IF(COUNTA(A1818:D1818,G1818:I1818)=0,"",IF(COUNTA(A1818:D1818,G1818:I1818)&lt;7,"LENGKAPI",IF(H1818+I1818&gt;N(F1818)+G1818,"ABNORMAL",IF(COUNTIFS($A$2:$A$2001,A1818,$B$2:$B$2001,B1818,$C$2:$C$2001,C1818,$D$2:$D$2001,D1818)&gt;1,"DUPLIKAT","OK"))))</f>
        <v/>
      </c>
    </row>
    <row r="1819">
      <c r="A1819" s="4" t="n"/>
      <c r="B1819" s="5" t="n"/>
      <c r="C1819" s="5" t="n"/>
      <c r="D1819" s="5" t="n"/>
      <c r="E1819" s="6">
        <f>IF(A1819="","","B"&amp;TEXT(COUNT($A$2:A1819),"00000"))</f>
        <v/>
      </c>
      <c r="F1819" s="6">
        <f>IF(OR(C1819="",D1819=""),"",IFERROR(LOOKUP(2,1/(($C$1:C1818=C1819)*($D$1:D1818=D1819)*ISNUMBER($J$1:J1818)),$J$1:J1818),SUMIFS(Master!$G$2:$G$13,Master!$E$2:$E$13,C1819,Master!$F$2:$F$13,D1819)))</f>
        <v/>
      </c>
      <c r="G1819" s="5" t="n"/>
      <c r="H1819" s="5" t="n"/>
      <c r="I1819" s="5" t="n"/>
      <c r="J1819" s="6">
        <f>IF(OR(F1819="",COUNT(G1819:I1819)&lt;3),"",F1819+G1819-H1819-I1819)</f>
        <v/>
      </c>
      <c r="K1819" s="6">
        <f>IF(COUNTA(A1819:D1819,G1819:I1819)=0,"",IF(COUNTA(A1819:D1819,G1819:I1819)&lt;7,"LENGKAPI",IF(H1819+I1819&gt;N(F1819)+G1819,"ABNORMAL",IF(COUNTIFS($A$2:$A$2001,A1819,$B$2:$B$2001,B1819,$C$2:$C$2001,C1819,$D$2:$D$2001,D1819)&gt;1,"DUPLIKAT","OK"))))</f>
        <v/>
      </c>
    </row>
    <row r="1820">
      <c r="A1820" s="4" t="n"/>
      <c r="B1820" s="5" t="n"/>
      <c r="C1820" s="5" t="n"/>
      <c r="D1820" s="5" t="n"/>
      <c r="E1820" s="6">
        <f>IF(A1820="","","B"&amp;TEXT(COUNT($A$2:A1820),"00000"))</f>
        <v/>
      </c>
      <c r="F1820" s="6">
        <f>IF(OR(C1820="",D1820=""),"",IFERROR(LOOKUP(2,1/(($C$1:C1819=C1820)*($D$1:D1819=D1820)*ISNUMBER($J$1:J1819)),$J$1:J1819),SUMIFS(Master!$G$2:$G$13,Master!$E$2:$E$13,C1820,Master!$F$2:$F$13,D1820)))</f>
        <v/>
      </c>
      <c r="G1820" s="5" t="n"/>
      <c r="H1820" s="5" t="n"/>
      <c r="I1820" s="5" t="n"/>
      <c r="J1820" s="6">
        <f>IF(OR(F1820="",COUNT(G1820:I1820)&lt;3),"",F1820+G1820-H1820-I1820)</f>
        <v/>
      </c>
      <c r="K1820" s="6">
        <f>IF(COUNTA(A1820:D1820,G1820:I1820)=0,"",IF(COUNTA(A1820:D1820,G1820:I1820)&lt;7,"LENGKAPI",IF(H1820+I1820&gt;N(F1820)+G1820,"ABNORMAL",IF(COUNTIFS($A$2:$A$2001,A1820,$B$2:$B$2001,B1820,$C$2:$C$2001,C1820,$D$2:$D$2001,D1820)&gt;1,"DUPLIKAT","OK"))))</f>
        <v/>
      </c>
    </row>
    <row r="1821">
      <c r="A1821" s="4" t="n"/>
      <c r="B1821" s="5" t="n"/>
      <c r="C1821" s="5" t="n"/>
      <c r="D1821" s="5" t="n"/>
      <c r="E1821" s="6">
        <f>IF(A1821="","","B"&amp;TEXT(COUNT($A$2:A1821),"00000"))</f>
        <v/>
      </c>
      <c r="F1821" s="6">
        <f>IF(OR(C1821="",D1821=""),"",IFERROR(LOOKUP(2,1/(($C$1:C1820=C1821)*($D$1:D1820=D1821)*ISNUMBER($J$1:J1820)),$J$1:J1820),SUMIFS(Master!$G$2:$G$13,Master!$E$2:$E$13,C1821,Master!$F$2:$F$13,D1821)))</f>
        <v/>
      </c>
      <c r="G1821" s="5" t="n"/>
      <c r="H1821" s="5" t="n"/>
      <c r="I1821" s="5" t="n"/>
      <c r="J1821" s="6">
        <f>IF(OR(F1821="",COUNT(G1821:I1821)&lt;3),"",F1821+G1821-H1821-I1821)</f>
        <v/>
      </c>
      <c r="K1821" s="6">
        <f>IF(COUNTA(A1821:D1821,G1821:I1821)=0,"",IF(COUNTA(A1821:D1821,G1821:I1821)&lt;7,"LENGKAPI",IF(H1821+I1821&gt;N(F1821)+G1821,"ABNORMAL",IF(COUNTIFS($A$2:$A$2001,A1821,$B$2:$B$2001,B1821,$C$2:$C$2001,C1821,$D$2:$D$2001,D1821)&gt;1,"DUPLIKAT","OK"))))</f>
        <v/>
      </c>
    </row>
    <row r="1822">
      <c r="A1822" s="4" t="n"/>
      <c r="B1822" s="5" t="n"/>
      <c r="C1822" s="5" t="n"/>
      <c r="D1822" s="5" t="n"/>
      <c r="E1822" s="6">
        <f>IF(A1822="","","B"&amp;TEXT(COUNT($A$2:A1822),"00000"))</f>
        <v/>
      </c>
      <c r="F1822" s="6">
        <f>IF(OR(C1822="",D1822=""),"",IFERROR(LOOKUP(2,1/(($C$1:C1821=C1822)*($D$1:D1821=D1822)*ISNUMBER($J$1:J1821)),$J$1:J1821),SUMIFS(Master!$G$2:$G$13,Master!$E$2:$E$13,C1822,Master!$F$2:$F$13,D1822)))</f>
        <v/>
      </c>
      <c r="G1822" s="5" t="n"/>
      <c r="H1822" s="5" t="n"/>
      <c r="I1822" s="5" t="n"/>
      <c r="J1822" s="6">
        <f>IF(OR(F1822="",COUNT(G1822:I1822)&lt;3),"",F1822+G1822-H1822-I1822)</f>
        <v/>
      </c>
      <c r="K1822" s="6">
        <f>IF(COUNTA(A1822:D1822,G1822:I1822)=0,"",IF(COUNTA(A1822:D1822,G1822:I1822)&lt;7,"LENGKAPI",IF(H1822+I1822&gt;N(F1822)+G1822,"ABNORMAL",IF(COUNTIFS($A$2:$A$2001,A1822,$B$2:$B$2001,B1822,$C$2:$C$2001,C1822,$D$2:$D$2001,D1822)&gt;1,"DUPLIKAT","OK"))))</f>
        <v/>
      </c>
    </row>
    <row r="1823">
      <c r="A1823" s="4" t="n"/>
      <c r="B1823" s="5" t="n"/>
      <c r="C1823" s="5" t="n"/>
      <c r="D1823" s="5" t="n"/>
      <c r="E1823" s="6">
        <f>IF(A1823="","","B"&amp;TEXT(COUNT($A$2:A1823),"00000"))</f>
        <v/>
      </c>
      <c r="F1823" s="6">
        <f>IF(OR(C1823="",D1823=""),"",IFERROR(LOOKUP(2,1/(($C$1:C1822=C1823)*($D$1:D1822=D1823)*ISNUMBER($J$1:J1822)),$J$1:J1822),SUMIFS(Master!$G$2:$G$13,Master!$E$2:$E$13,C1823,Master!$F$2:$F$13,D1823)))</f>
        <v/>
      </c>
      <c r="G1823" s="5" t="n"/>
      <c r="H1823" s="5" t="n"/>
      <c r="I1823" s="5" t="n"/>
      <c r="J1823" s="6">
        <f>IF(OR(F1823="",COUNT(G1823:I1823)&lt;3),"",F1823+G1823-H1823-I1823)</f>
        <v/>
      </c>
      <c r="K1823" s="6">
        <f>IF(COUNTA(A1823:D1823,G1823:I1823)=0,"",IF(COUNTA(A1823:D1823,G1823:I1823)&lt;7,"LENGKAPI",IF(H1823+I1823&gt;N(F1823)+G1823,"ABNORMAL",IF(COUNTIFS($A$2:$A$2001,A1823,$B$2:$B$2001,B1823,$C$2:$C$2001,C1823,$D$2:$D$2001,D1823)&gt;1,"DUPLIKAT","OK"))))</f>
        <v/>
      </c>
    </row>
    <row r="1824">
      <c r="A1824" s="4" t="n"/>
      <c r="B1824" s="5" t="n"/>
      <c r="C1824" s="5" t="n"/>
      <c r="D1824" s="5" t="n"/>
      <c r="E1824" s="6">
        <f>IF(A1824="","","B"&amp;TEXT(COUNT($A$2:A1824),"00000"))</f>
        <v/>
      </c>
      <c r="F1824" s="6">
        <f>IF(OR(C1824="",D1824=""),"",IFERROR(LOOKUP(2,1/(($C$1:C1823=C1824)*($D$1:D1823=D1824)*ISNUMBER($J$1:J1823)),$J$1:J1823),SUMIFS(Master!$G$2:$G$13,Master!$E$2:$E$13,C1824,Master!$F$2:$F$13,D1824)))</f>
        <v/>
      </c>
      <c r="G1824" s="5" t="n"/>
      <c r="H1824" s="5" t="n"/>
      <c r="I1824" s="5" t="n"/>
      <c r="J1824" s="6">
        <f>IF(OR(F1824="",COUNT(G1824:I1824)&lt;3),"",F1824+G1824-H1824-I1824)</f>
        <v/>
      </c>
      <c r="K1824" s="6">
        <f>IF(COUNTA(A1824:D1824,G1824:I1824)=0,"",IF(COUNTA(A1824:D1824,G1824:I1824)&lt;7,"LENGKAPI",IF(H1824+I1824&gt;N(F1824)+G1824,"ABNORMAL",IF(COUNTIFS($A$2:$A$2001,A1824,$B$2:$B$2001,B1824,$C$2:$C$2001,C1824,$D$2:$D$2001,D1824)&gt;1,"DUPLIKAT","OK"))))</f>
        <v/>
      </c>
    </row>
    <row r="1825">
      <c r="A1825" s="4" t="n"/>
      <c r="B1825" s="5" t="n"/>
      <c r="C1825" s="5" t="n"/>
      <c r="D1825" s="5" t="n"/>
      <c r="E1825" s="6">
        <f>IF(A1825="","","B"&amp;TEXT(COUNT($A$2:A1825),"00000"))</f>
        <v/>
      </c>
      <c r="F1825" s="6">
        <f>IF(OR(C1825="",D1825=""),"",IFERROR(LOOKUP(2,1/(($C$1:C1824=C1825)*($D$1:D1824=D1825)*ISNUMBER($J$1:J1824)),$J$1:J1824),SUMIFS(Master!$G$2:$G$13,Master!$E$2:$E$13,C1825,Master!$F$2:$F$13,D1825)))</f>
        <v/>
      </c>
      <c r="G1825" s="5" t="n"/>
      <c r="H1825" s="5" t="n"/>
      <c r="I1825" s="5" t="n"/>
      <c r="J1825" s="6">
        <f>IF(OR(F1825="",COUNT(G1825:I1825)&lt;3),"",F1825+G1825-H1825-I1825)</f>
        <v/>
      </c>
      <c r="K1825" s="6">
        <f>IF(COUNTA(A1825:D1825,G1825:I1825)=0,"",IF(COUNTA(A1825:D1825,G1825:I1825)&lt;7,"LENGKAPI",IF(H1825+I1825&gt;N(F1825)+G1825,"ABNORMAL",IF(COUNTIFS($A$2:$A$2001,A1825,$B$2:$B$2001,B1825,$C$2:$C$2001,C1825,$D$2:$D$2001,D1825)&gt;1,"DUPLIKAT","OK"))))</f>
        <v/>
      </c>
    </row>
    <row r="1826">
      <c r="A1826" s="4" t="n"/>
      <c r="B1826" s="5" t="n"/>
      <c r="C1826" s="5" t="n"/>
      <c r="D1826" s="5" t="n"/>
      <c r="E1826" s="6">
        <f>IF(A1826="","","B"&amp;TEXT(COUNT($A$2:A1826),"00000"))</f>
        <v/>
      </c>
      <c r="F1826" s="6">
        <f>IF(OR(C1826="",D1826=""),"",IFERROR(LOOKUP(2,1/(($C$1:C1825=C1826)*($D$1:D1825=D1826)*ISNUMBER($J$1:J1825)),$J$1:J1825),SUMIFS(Master!$G$2:$G$13,Master!$E$2:$E$13,C1826,Master!$F$2:$F$13,D1826)))</f>
        <v/>
      </c>
      <c r="G1826" s="5" t="n"/>
      <c r="H1826" s="5" t="n"/>
      <c r="I1826" s="5" t="n"/>
      <c r="J1826" s="6">
        <f>IF(OR(F1826="",COUNT(G1826:I1826)&lt;3),"",F1826+G1826-H1826-I1826)</f>
        <v/>
      </c>
      <c r="K1826" s="6">
        <f>IF(COUNTA(A1826:D1826,G1826:I1826)=0,"",IF(COUNTA(A1826:D1826,G1826:I1826)&lt;7,"LENGKAPI",IF(H1826+I1826&gt;N(F1826)+G1826,"ABNORMAL",IF(COUNTIFS($A$2:$A$2001,A1826,$B$2:$B$2001,B1826,$C$2:$C$2001,C1826,$D$2:$D$2001,D1826)&gt;1,"DUPLIKAT","OK"))))</f>
        <v/>
      </c>
    </row>
    <row r="1827">
      <c r="A1827" s="4" t="n"/>
      <c r="B1827" s="5" t="n"/>
      <c r="C1827" s="5" t="n"/>
      <c r="D1827" s="5" t="n"/>
      <c r="E1827" s="6">
        <f>IF(A1827="","","B"&amp;TEXT(COUNT($A$2:A1827),"00000"))</f>
        <v/>
      </c>
      <c r="F1827" s="6">
        <f>IF(OR(C1827="",D1827=""),"",IFERROR(LOOKUP(2,1/(($C$1:C1826=C1827)*($D$1:D1826=D1827)*ISNUMBER($J$1:J1826)),$J$1:J1826),SUMIFS(Master!$G$2:$G$13,Master!$E$2:$E$13,C1827,Master!$F$2:$F$13,D1827)))</f>
        <v/>
      </c>
      <c r="G1827" s="5" t="n"/>
      <c r="H1827" s="5" t="n"/>
      <c r="I1827" s="5" t="n"/>
      <c r="J1827" s="6">
        <f>IF(OR(F1827="",COUNT(G1827:I1827)&lt;3),"",F1827+G1827-H1827-I1827)</f>
        <v/>
      </c>
      <c r="K1827" s="6">
        <f>IF(COUNTA(A1827:D1827,G1827:I1827)=0,"",IF(COUNTA(A1827:D1827,G1827:I1827)&lt;7,"LENGKAPI",IF(H1827+I1827&gt;N(F1827)+G1827,"ABNORMAL",IF(COUNTIFS($A$2:$A$2001,A1827,$B$2:$B$2001,B1827,$C$2:$C$2001,C1827,$D$2:$D$2001,D1827)&gt;1,"DUPLIKAT","OK"))))</f>
        <v/>
      </c>
    </row>
    <row r="1828">
      <c r="A1828" s="4" t="n"/>
      <c r="B1828" s="5" t="n"/>
      <c r="C1828" s="5" t="n"/>
      <c r="D1828" s="5" t="n"/>
      <c r="E1828" s="6">
        <f>IF(A1828="","","B"&amp;TEXT(COUNT($A$2:A1828),"00000"))</f>
        <v/>
      </c>
      <c r="F1828" s="6">
        <f>IF(OR(C1828="",D1828=""),"",IFERROR(LOOKUP(2,1/(($C$1:C1827=C1828)*($D$1:D1827=D1828)*ISNUMBER($J$1:J1827)),$J$1:J1827),SUMIFS(Master!$G$2:$G$13,Master!$E$2:$E$13,C1828,Master!$F$2:$F$13,D1828)))</f>
        <v/>
      </c>
      <c r="G1828" s="5" t="n"/>
      <c r="H1828" s="5" t="n"/>
      <c r="I1828" s="5" t="n"/>
      <c r="J1828" s="6">
        <f>IF(OR(F1828="",COUNT(G1828:I1828)&lt;3),"",F1828+G1828-H1828-I1828)</f>
        <v/>
      </c>
      <c r="K1828" s="6">
        <f>IF(COUNTA(A1828:D1828,G1828:I1828)=0,"",IF(COUNTA(A1828:D1828,G1828:I1828)&lt;7,"LENGKAPI",IF(H1828+I1828&gt;N(F1828)+G1828,"ABNORMAL",IF(COUNTIFS($A$2:$A$2001,A1828,$B$2:$B$2001,B1828,$C$2:$C$2001,C1828,$D$2:$D$2001,D1828)&gt;1,"DUPLIKAT","OK"))))</f>
        <v/>
      </c>
    </row>
    <row r="1829">
      <c r="A1829" s="4" t="n"/>
      <c r="B1829" s="5" t="n"/>
      <c r="C1829" s="5" t="n"/>
      <c r="D1829" s="5" t="n"/>
      <c r="E1829" s="6">
        <f>IF(A1829="","","B"&amp;TEXT(COUNT($A$2:A1829),"00000"))</f>
        <v/>
      </c>
      <c r="F1829" s="6">
        <f>IF(OR(C1829="",D1829=""),"",IFERROR(LOOKUP(2,1/(($C$1:C1828=C1829)*($D$1:D1828=D1829)*ISNUMBER($J$1:J1828)),$J$1:J1828),SUMIFS(Master!$G$2:$G$13,Master!$E$2:$E$13,C1829,Master!$F$2:$F$13,D1829)))</f>
        <v/>
      </c>
      <c r="G1829" s="5" t="n"/>
      <c r="H1829" s="5" t="n"/>
      <c r="I1829" s="5" t="n"/>
      <c r="J1829" s="6">
        <f>IF(OR(F1829="",COUNT(G1829:I1829)&lt;3),"",F1829+G1829-H1829-I1829)</f>
        <v/>
      </c>
      <c r="K1829" s="6">
        <f>IF(COUNTA(A1829:D1829,G1829:I1829)=0,"",IF(COUNTA(A1829:D1829,G1829:I1829)&lt;7,"LENGKAPI",IF(H1829+I1829&gt;N(F1829)+G1829,"ABNORMAL",IF(COUNTIFS($A$2:$A$2001,A1829,$B$2:$B$2001,B1829,$C$2:$C$2001,C1829,$D$2:$D$2001,D1829)&gt;1,"DUPLIKAT","OK"))))</f>
        <v/>
      </c>
    </row>
    <row r="1830">
      <c r="A1830" s="4" t="n"/>
      <c r="B1830" s="5" t="n"/>
      <c r="C1830" s="5" t="n"/>
      <c r="D1830" s="5" t="n"/>
      <c r="E1830" s="6">
        <f>IF(A1830="","","B"&amp;TEXT(COUNT($A$2:A1830),"00000"))</f>
        <v/>
      </c>
      <c r="F1830" s="6">
        <f>IF(OR(C1830="",D1830=""),"",IFERROR(LOOKUP(2,1/(($C$1:C1829=C1830)*($D$1:D1829=D1830)*ISNUMBER($J$1:J1829)),$J$1:J1829),SUMIFS(Master!$G$2:$G$13,Master!$E$2:$E$13,C1830,Master!$F$2:$F$13,D1830)))</f>
        <v/>
      </c>
      <c r="G1830" s="5" t="n"/>
      <c r="H1830" s="5" t="n"/>
      <c r="I1830" s="5" t="n"/>
      <c r="J1830" s="6">
        <f>IF(OR(F1830="",COUNT(G1830:I1830)&lt;3),"",F1830+G1830-H1830-I1830)</f>
        <v/>
      </c>
      <c r="K1830" s="6">
        <f>IF(COUNTA(A1830:D1830,G1830:I1830)=0,"",IF(COUNTA(A1830:D1830,G1830:I1830)&lt;7,"LENGKAPI",IF(H1830+I1830&gt;N(F1830)+G1830,"ABNORMAL",IF(COUNTIFS($A$2:$A$2001,A1830,$B$2:$B$2001,B1830,$C$2:$C$2001,C1830,$D$2:$D$2001,D1830)&gt;1,"DUPLIKAT","OK"))))</f>
        <v/>
      </c>
    </row>
    <row r="1831">
      <c r="A1831" s="4" t="n"/>
      <c r="B1831" s="5" t="n"/>
      <c r="C1831" s="5" t="n"/>
      <c r="D1831" s="5" t="n"/>
      <c r="E1831" s="6">
        <f>IF(A1831="","","B"&amp;TEXT(COUNT($A$2:A1831),"00000"))</f>
        <v/>
      </c>
      <c r="F1831" s="6">
        <f>IF(OR(C1831="",D1831=""),"",IFERROR(LOOKUP(2,1/(($C$1:C1830=C1831)*($D$1:D1830=D1831)*ISNUMBER($J$1:J1830)),$J$1:J1830),SUMIFS(Master!$G$2:$G$13,Master!$E$2:$E$13,C1831,Master!$F$2:$F$13,D1831)))</f>
        <v/>
      </c>
      <c r="G1831" s="5" t="n"/>
      <c r="H1831" s="5" t="n"/>
      <c r="I1831" s="5" t="n"/>
      <c r="J1831" s="6">
        <f>IF(OR(F1831="",COUNT(G1831:I1831)&lt;3),"",F1831+G1831-H1831-I1831)</f>
        <v/>
      </c>
      <c r="K1831" s="6">
        <f>IF(COUNTA(A1831:D1831,G1831:I1831)=0,"",IF(COUNTA(A1831:D1831,G1831:I1831)&lt;7,"LENGKAPI",IF(H1831+I1831&gt;N(F1831)+G1831,"ABNORMAL",IF(COUNTIFS($A$2:$A$2001,A1831,$B$2:$B$2001,B1831,$C$2:$C$2001,C1831,$D$2:$D$2001,D1831)&gt;1,"DUPLIKAT","OK"))))</f>
        <v/>
      </c>
    </row>
    <row r="1832">
      <c r="A1832" s="4" t="n"/>
      <c r="B1832" s="5" t="n"/>
      <c r="C1832" s="5" t="n"/>
      <c r="D1832" s="5" t="n"/>
      <c r="E1832" s="6">
        <f>IF(A1832="","","B"&amp;TEXT(COUNT($A$2:A1832),"00000"))</f>
        <v/>
      </c>
      <c r="F1832" s="6">
        <f>IF(OR(C1832="",D1832=""),"",IFERROR(LOOKUP(2,1/(($C$1:C1831=C1832)*($D$1:D1831=D1832)*ISNUMBER($J$1:J1831)),$J$1:J1831),SUMIFS(Master!$G$2:$G$13,Master!$E$2:$E$13,C1832,Master!$F$2:$F$13,D1832)))</f>
        <v/>
      </c>
      <c r="G1832" s="5" t="n"/>
      <c r="H1832" s="5" t="n"/>
      <c r="I1832" s="5" t="n"/>
      <c r="J1832" s="6">
        <f>IF(OR(F1832="",COUNT(G1832:I1832)&lt;3),"",F1832+G1832-H1832-I1832)</f>
        <v/>
      </c>
      <c r="K1832" s="6">
        <f>IF(COUNTA(A1832:D1832,G1832:I1832)=0,"",IF(COUNTA(A1832:D1832,G1832:I1832)&lt;7,"LENGKAPI",IF(H1832+I1832&gt;N(F1832)+G1832,"ABNORMAL",IF(COUNTIFS($A$2:$A$2001,A1832,$B$2:$B$2001,B1832,$C$2:$C$2001,C1832,$D$2:$D$2001,D1832)&gt;1,"DUPLIKAT","OK"))))</f>
        <v/>
      </c>
    </row>
    <row r="1833">
      <c r="A1833" s="4" t="n"/>
      <c r="B1833" s="5" t="n"/>
      <c r="C1833" s="5" t="n"/>
      <c r="D1833" s="5" t="n"/>
      <c r="E1833" s="6">
        <f>IF(A1833="","","B"&amp;TEXT(COUNT($A$2:A1833),"00000"))</f>
        <v/>
      </c>
      <c r="F1833" s="6">
        <f>IF(OR(C1833="",D1833=""),"",IFERROR(LOOKUP(2,1/(($C$1:C1832=C1833)*($D$1:D1832=D1833)*ISNUMBER($J$1:J1832)),$J$1:J1832),SUMIFS(Master!$G$2:$G$13,Master!$E$2:$E$13,C1833,Master!$F$2:$F$13,D1833)))</f>
        <v/>
      </c>
      <c r="G1833" s="5" t="n"/>
      <c r="H1833" s="5" t="n"/>
      <c r="I1833" s="5" t="n"/>
      <c r="J1833" s="6">
        <f>IF(OR(F1833="",COUNT(G1833:I1833)&lt;3),"",F1833+G1833-H1833-I1833)</f>
        <v/>
      </c>
      <c r="K1833" s="6">
        <f>IF(COUNTA(A1833:D1833,G1833:I1833)=0,"",IF(COUNTA(A1833:D1833,G1833:I1833)&lt;7,"LENGKAPI",IF(H1833+I1833&gt;N(F1833)+G1833,"ABNORMAL",IF(COUNTIFS($A$2:$A$2001,A1833,$B$2:$B$2001,B1833,$C$2:$C$2001,C1833,$D$2:$D$2001,D1833)&gt;1,"DUPLIKAT","OK"))))</f>
        <v/>
      </c>
    </row>
    <row r="1834">
      <c r="A1834" s="4" t="n"/>
      <c r="B1834" s="5" t="n"/>
      <c r="C1834" s="5" t="n"/>
      <c r="D1834" s="5" t="n"/>
      <c r="E1834" s="6">
        <f>IF(A1834="","","B"&amp;TEXT(COUNT($A$2:A1834),"00000"))</f>
        <v/>
      </c>
      <c r="F1834" s="6">
        <f>IF(OR(C1834="",D1834=""),"",IFERROR(LOOKUP(2,1/(($C$1:C1833=C1834)*($D$1:D1833=D1834)*ISNUMBER($J$1:J1833)),$J$1:J1833),SUMIFS(Master!$G$2:$G$13,Master!$E$2:$E$13,C1834,Master!$F$2:$F$13,D1834)))</f>
        <v/>
      </c>
      <c r="G1834" s="5" t="n"/>
      <c r="H1834" s="5" t="n"/>
      <c r="I1834" s="5" t="n"/>
      <c r="J1834" s="6">
        <f>IF(OR(F1834="",COUNT(G1834:I1834)&lt;3),"",F1834+G1834-H1834-I1834)</f>
        <v/>
      </c>
      <c r="K1834" s="6">
        <f>IF(COUNTA(A1834:D1834,G1834:I1834)=0,"",IF(COUNTA(A1834:D1834,G1834:I1834)&lt;7,"LENGKAPI",IF(H1834+I1834&gt;N(F1834)+G1834,"ABNORMAL",IF(COUNTIFS($A$2:$A$2001,A1834,$B$2:$B$2001,B1834,$C$2:$C$2001,C1834,$D$2:$D$2001,D1834)&gt;1,"DUPLIKAT","OK"))))</f>
        <v/>
      </c>
    </row>
    <row r="1835">
      <c r="A1835" s="4" t="n"/>
      <c r="B1835" s="5" t="n"/>
      <c r="C1835" s="5" t="n"/>
      <c r="D1835" s="5" t="n"/>
      <c r="E1835" s="6">
        <f>IF(A1835="","","B"&amp;TEXT(COUNT($A$2:A1835),"00000"))</f>
        <v/>
      </c>
      <c r="F1835" s="6">
        <f>IF(OR(C1835="",D1835=""),"",IFERROR(LOOKUP(2,1/(($C$1:C1834=C1835)*($D$1:D1834=D1835)*ISNUMBER($J$1:J1834)),$J$1:J1834),SUMIFS(Master!$G$2:$G$13,Master!$E$2:$E$13,C1835,Master!$F$2:$F$13,D1835)))</f>
        <v/>
      </c>
      <c r="G1835" s="5" t="n"/>
      <c r="H1835" s="5" t="n"/>
      <c r="I1835" s="5" t="n"/>
      <c r="J1835" s="6">
        <f>IF(OR(F1835="",COUNT(G1835:I1835)&lt;3),"",F1835+G1835-H1835-I1835)</f>
        <v/>
      </c>
      <c r="K1835" s="6">
        <f>IF(COUNTA(A1835:D1835,G1835:I1835)=0,"",IF(COUNTA(A1835:D1835,G1835:I1835)&lt;7,"LENGKAPI",IF(H1835+I1835&gt;N(F1835)+G1835,"ABNORMAL",IF(COUNTIFS($A$2:$A$2001,A1835,$B$2:$B$2001,B1835,$C$2:$C$2001,C1835,$D$2:$D$2001,D1835)&gt;1,"DUPLIKAT","OK"))))</f>
        <v/>
      </c>
    </row>
    <row r="1836">
      <c r="A1836" s="4" t="n"/>
      <c r="B1836" s="5" t="n"/>
      <c r="C1836" s="5" t="n"/>
      <c r="D1836" s="5" t="n"/>
      <c r="E1836" s="6">
        <f>IF(A1836="","","B"&amp;TEXT(COUNT($A$2:A1836),"00000"))</f>
        <v/>
      </c>
      <c r="F1836" s="6">
        <f>IF(OR(C1836="",D1836=""),"",IFERROR(LOOKUP(2,1/(($C$1:C1835=C1836)*($D$1:D1835=D1836)*ISNUMBER($J$1:J1835)),$J$1:J1835),SUMIFS(Master!$G$2:$G$13,Master!$E$2:$E$13,C1836,Master!$F$2:$F$13,D1836)))</f>
        <v/>
      </c>
      <c r="G1836" s="5" t="n"/>
      <c r="H1836" s="5" t="n"/>
      <c r="I1836" s="5" t="n"/>
      <c r="J1836" s="6">
        <f>IF(OR(F1836="",COUNT(G1836:I1836)&lt;3),"",F1836+G1836-H1836-I1836)</f>
        <v/>
      </c>
      <c r="K1836" s="6">
        <f>IF(COUNTA(A1836:D1836,G1836:I1836)=0,"",IF(COUNTA(A1836:D1836,G1836:I1836)&lt;7,"LENGKAPI",IF(H1836+I1836&gt;N(F1836)+G1836,"ABNORMAL",IF(COUNTIFS($A$2:$A$2001,A1836,$B$2:$B$2001,B1836,$C$2:$C$2001,C1836,$D$2:$D$2001,D1836)&gt;1,"DUPLIKAT","OK"))))</f>
        <v/>
      </c>
    </row>
    <row r="1837">
      <c r="A1837" s="4" t="n"/>
      <c r="B1837" s="5" t="n"/>
      <c r="C1837" s="5" t="n"/>
      <c r="D1837" s="5" t="n"/>
      <c r="E1837" s="6">
        <f>IF(A1837="","","B"&amp;TEXT(COUNT($A$2:A1837),"00000"))</f>
        <v/>
      </c>
      <c r="F1837" s="6">
        <f>IF(OR(C1837="",D1837=""),"",IFERROR(LOOKUP(2,1/(($C$1:C1836=C1837)*($D$1:D1836=D1837)*ISNUMBER($J$1:J1836)),$J$1:J1836),SUMIFS(Master!$G$2:$G$13,Master!$E$2:$E$13,C1837,Master!$F$2:$F$13,D1837)))</f>
        <v/>
      </c>
      <c r="G1837" s="5" t="n"/>
      <c r="H1837" s="5" t="n"/>
      <c r="I1837" s="5" t="n"/>
      <c r="J1837" s="6">
        <f>IF(OR(F1837="",COUNT(G1837:I1837)&lt;3),"",F1837+G1837-H1837-I1837)</f>
        <v/>
      </c>
      <c r="K1837" s="6">
        <f>IF(COUNTA(A1837:D1837,G1837:I1837)=0,"",IF(COUNTA(A1837:D1837,G1837:I1837)&lt;7,"LENGKAPI",IF(H1837+I1837&gt;N(F1837)+G1837,"ABNORMAL",IF(COUNTIFS($A$2:$A$2001,A1837,$B$2:$B$2001,B1837,$C$2:$C$2001,C1837,$D$2:$D$2001,D1837)&gt;1,"DUPLIKAT","OK"))))</f>
        <v/>
      </c>
    </row>
    <row r="1838">
      <c r="A1838" s="4" t="n"/>
      <c r="B1838" s="5" t="n"/>
      <c r="C1838" s="5" t="n"/>
      <c r="D1838" s="5" t="n"/>
      <c r="E1838" s="6">
        <f>IF(A1838="","","B"&amp;TEXT(COUNT($A$2:A1838),"00000"))</f>
        <v/>
      </c>
      <c r="F1838" s="6">
        <f>IF(OR(C1838="",D1838=""),"",IFERROR(LOOKUP(2,1/(($C$1:C1837=C1838)*($D$1:D1837=D1838)*ISNUMBER($J$1:J1837)),$J$1:J1837),SUMIFS(Master!$G$2:$G$13,Master!$E$2:$E$13,C1838,Master!$F$2:$F$13,D1838)))</f>
        <v/>
      </c>
      <c r="G1838" s="5" t="n"/>
      <c r="H1838" s="5" t="n"/>
      <c r="I1838" s="5" t="n"/>
      <c r="J1838" s="6">
        <f>IF(OR(F1838="",COUNT(G1838:I1838)&lt;3),"",F1838+G1838-H1838-I1838)</f>
        <v/>
      </c>
      <c r="K1838" s="6">
        <f>IF(COUNTA(A1838:D1838,G1838:I1838)=0,"",IF(COUNTA(A1838:D1838,G1838:I1838)&lt;7,"LENGKAPI",IF(H1838+I1838&gt;N(F1838)+G1838,"ABNORMAL",IF(COUNTIFS($A$2:$A$2001,A1838,$B$2:$B$2001,B1838,$C$2:$C$2001,C1838,$D$2:$D$2001,D1838)&gt;1,"DUPLIKAT","OK"))))</f>
        <v/>
      </c>
    </row>
    <row r="1839">
      <c r="A1839" s="4" t="n"/>
      <c r="B1839" s="5" t="n"/>
      <c r="C1839" s="5" t="n"/>
      <c r="D1839" s="5" t="n"/>
      <c r="E1839" s="6">
        <f>IF(A1839="","","B"&amp;TEXT(COUNT($A$2:A1839),"00000"))</f>
        <v/>
      </c>
      <c r="F1839" s="6">
        <f>IF(OR(C1839="",D1839=""),"",IFERROR(LOOKUP(2,1/(($C$1:C1838=C1839)*($D$1:D1838=D1839)*ISNUMBER($J$1:J1838)),$J$1:J1838),SUMIFS(Master!$G$2:$G$13,Master!$E$2:$E$13,C1839,Master!$F$2:$F$13,D1839)))</f>
        <v/>
      </c>
      <c r="G1839" s="5" t="n"/>
      <c r="H1839" s="5" t="n"/>
      <c r="I1839" s="5" t="n"/>
      <c r="J1839" s="6">
        <f>IF(OR(F1839="",COUNT(G1839:I1839)&lt;3),"",F1839+G1839-H1839-I1839)</f>
        <v/>
      </c>
      <c r="K1839" s="6">
        <f>IF(COUNTA(A1839:D1839,G1839:I1839)=0,"",IF(COUNTA(A1839:D1839,G1839:I1839)&lt;7,"LENGKAPI",IF(H1839+I1839&gt;N(F1839)+G1839,"ABNORMAL",IF(COUNTIFS($A$2:$A$2001,A1839,$B$2:$B$2001,B1839,$C$2:$C$2001,C1839,$D$2:$D$2001,D1839)&gt;1,"DUPLIKAT","OK"))))</f>
        <v/>
      </c>
    </row>
    <row r="1840">
      <c r="A1840" s="4" t="n"/>
      <c r="B1840" s="5" t="n"/>
      <c r="C1840" s="5" t="n"/>
      <c r="D1840" s="5" t="n"/>
      <c r="E1840" s="6">
        <f>IF(A1840="","","B"&amp;TEXT(COUNT($A$2:A1840),"00000"))</f>
        <v/>
      </c>
      <c r="F1840" s="6">
        <f>IF(OR(C1840="",D1840=""),"",IFERROR(LOOKUP(2,1/(($C$1:C1839=C1840)*($D$1:D1839=D1840)*ISNUMBER($J$1:J1839)),$J$1:J1839),SUMIFS(Master!$G$2:$G$13,Master!$E$2:$E$13,C1840,Master!$F$2:$F$13,D1840)))</f>
        <v/>
      </c>
      <c r="G1840" s="5" t="n"/>
      <c r="H1840" s="5" t="n"/>
      <c r="I1840" s="5" t="n"/>
      <c r="J1840" s="6">
        <f>IF(OR(F1840="",COUNT(G1840:I1840)&lt;3),"",F1840+G1840-H1840-I1840)</f>
        <v/>
      </c>
      <c r="K1840" s="6">
        <f>IF(COUNTA(A1840:D1840,G1840:I1840)=0,"",IF(COUNTA(A1840:D1840,G1840:I1840)&lt;7,"LENGKAPI",IF(H1840+I1840&gt;N(F1840)+G1840,"ABNORMAL",IF(COUNTIFS($A$2:$A$2001,A1840,$B$2:$B$2001,B1840,$C$2:$C$2001,C1840,$D$2:$D$2001,D1840)&gt;1,"DUPLIKAT","OK"))))</f>
        <v/>
      </c>
    </row>
    <row r="1841">
      <c r="A1841" s="4" t="n"/>
      <c r="B1841" s="5" t="n"/>
      <c r="C1841" s="5" t="n"/>
      <c r="D1841" s="5" t="n"/>
      <c r="E1841" s="6">
        <f>IF(A1841="","","B"&amp;TEXT(COUNT($A$2:A1841),"00000"))</f>
        <v/>
      </c>
      <c r="F1841" s="6">
        <f>IF(OR(C1841="",D1841=""),"",IFERROR(LOOKUP(2,1/(($C$1:C1840=C1841)*($D$1:D1840=D1841)*ISNUMBER($J$1:J1840)),$J$1:J1840),SUMIFS(Master!$G$2:$G$13,Master!$E$2:$E$13,C1841,Master!$F$2:$F$13,D1841)))</f>
        <v/>
      </c>
      <c r="G1841" s="5" t="n"/>
      <c r="H1841" s="5" t="n"/>
      <c r="I1841" s="5" t="n"/>
      <c r="J1841" s="6">
        <f>IF(OR(F1841="",COUNT(G1841:I1841)&lt;3),"",F1841+G1841-H1841-I1841)</f>
        <v/>
      </c>
      <c r="K1841" s="6">
        <f>IF(COUNTA(A1841:D1841,G1841:I1841)=0,"",IF(COUNTA(A1841:D1841,G1841:I1841)&lt;7,"LENGKAPI",IF(H1841+I1841&gt;N(F1841)+G1841,"ABNORMAL",IF(COUNTIFS($A$2:$A$2001,A1841,$B$2:$B$2001,B1841,$C$2:$C$2001,C1841,$D$2:$D$2001,D1841)&gt;1,"DUPLIKAT","OK"))))</f>
        <v/>
      </c>
    </row>
    <row r="1842">
      <c r="A1842" s="4" t="n"/>
      <c r="B1842" s="5" t="n"/>
      <c r="C1842" s="5" t="n"/>
      <c r="D1842" s="5" t="n"/>
      <c r="E1842" s="6">
        <f>IF(A1842="","","B"&amp;TEXT(COUNT($A$2:A1842),"00000"))</f>
        <v/>
      </c>
      <c r="F1842" s="6">
        <f>IF(OR(C1842="",D1842=""),"",IFERROR(LOOKUP(2,1/(($C$1:C1841=C1842)*($D$1:D1841=D1842)*ISNUMBER($J$1:J1841)),$J$1:J1841),SUMIFS(Master!$G$2:$G$13,Master!$E$2:$E$13,C1842,Master!$F$2:$F$13,D1842)))</f>
        <v/>
      </c>
      <c r="G1842" s="5" t="n"/>
      <c r="H1842" s="5" t="n"/>
      <c r="I1842" s="5" t="n"/>
      <c r="J1842" s="6">
        <f>IF(OR(F1842="",COUNT(G1842:I1842)&lt;3),"",F1842+G1842-H1842-I1842)</f>
        <v/>
      </c>
      <c r="K1842" s="6">
        <f>IF(COUNTA(A1842:D1842,G1842:I1842)=0,"",IF(COUNTA(A1842:D1842,G1842:I1842)&lt;7,"LENGKAPI",IF(H1842+I1842&gt;N(F1842)+G1842,"ABNORMAL",IF(COUNTIFS($A$2:$A$2001,A1842,$B$2:$B$2001,B1842,$C$2:$C$2001,C1842,$D$2:$D$2001,D1842)&gt;1,"DUPLIKAT","OK"))))</f>
        <v/>
      </c>
    </row>
    <row r="1843">
      <c r="A1843" s="4" t="n"/>
      <c r="B1843" s="5" t="n"/>
      <c r="C1843" s="5" t="n"/>
      <c r="D1843" s="5" t="n"/>
      <c r="E1843" s="6">
        <f>IF(A1843="","","B"&amp;TEXT(COUNT($A$2:A1843),"00000"))</f>
        <v/>
      </c>
      <c r="F1843" s="6">
        <f>IF(OR(C1843="",D1843=""),"",IFERROR(LOOKUP(2,1/(($C$1:C1842=C1843)*($D$1:D1842=D1843)*ISNUMBER($J$1:J1842)),$J$1:J1842),SUMIFS(Master!$G$2:$G$13,Master!$E$2:$E$13,C1843,Master!$F$2:$F$13,D1843)))</f>
        <v/>
      </c>
      <c r="G1843" s="5" t="n"/>
      <c r="H1843" s="5" t="n"/>
      <c r="I1843" s="5" t="n"/>
      <c r="J1843" s="6">
        <f>IF(OR(F1843="",COUNT(G1843:I1843)&lt;3),"",F1843+G1843-H1843-I1843)</f>
        <v/>
      </c>
      <c r="K1843" s="6">
        <f>IF(COUNTA(A1843:D1843,G1843:I1843)=0,"",IF(COUNTA(A1843:D1843,G1843:I1843)&lt;7,"LENGKAPI",IF(H1843+I1843&gt;N(F1843)+G1843,"ABNORMAL",IF(COUNTIFS($A$2:$A$2001,A1843,$B$2:$B$2001,B1843,$C$2:$C$2001,C1843,$D$2:$D$2001,D1843)&gt;1,"DUPLIKAT","OK"))))</f>
        <v/>
      </c>
    </row>
    <row r="1844">
      <c r="A1844" s="4" t="n"/>
      <c r="B1844" s="5" t="n"/>
      <c r="C1844" s="5" t="n"/>
      <c r="D1844" s="5" t="n"/>
      <c r="E1844" s="6">
        <f>IF(A1844="","","B"&amp;TEXT(COUNT($A$2:A1844),"00000"))</f>
        <v/>
      </c>
      <c r="F1844" s="6">
        <f>IF(OR(C1844="",D1844=""),"",IFERROR(LOOKUP(2,1/(($C$1:C1843=C1844)*($D$1:D1843=D1844)*ISNUMBER($J$1:J1843)),$J$1:J1843),SUMIFS(Master!$G$2:$G$13,Master!$E$2:$E$13,C1844,Master!$F$2:$F$13,D1844)))</f>
        <v/>
      </c>
      <c r="G1844" s="5" t="n"/>
      <c r="H1844" s="5" t="n"/>
      <c r="I1844" s="5" t="n"/>
      <c r="J1844" s="6">
        <f>IF(OR(F1844="",COUNT(G1844:I1844)&lt;3),"",F1844+G1844-H1844-I1844)</f>
        <v/>
      </c>
      <c r="K1844" s="6">
        <f>IF(COUNTA(A1844:D1844,G1844:I1844)=0,"",IF(COUNTA(A1844:D1844,G1844:I1844)&lt;7,"LENGKAPI",IF(H1844+I1844&gt;N(F1844)+G1844,"ABNORMAL",IF(COUNTIFS($A$2:$A$2001,A1844,$B$2:$B$2001,B1844,$C$2:$C$2001,C1844,$D$2:$D$2001,D1844)&gt;1,"DUPLIKAT","OK"))))</f>
        <v/>
      </c>
    </row>
    <row r="1845">
      <c r="A1845" s="4" t="n"/>
      <c r="B1845" s="5" t="n"/>
      <c r="C1845" s="5" t="n"/>
      <c r="D1845" s="5" t="n"/>
      <c r="E1845" s="6">
        <f>IF(A1845="","","B"&amp;TEXT(COUNT($A$2:A1845),"00000"))</f>
        <v/>
      </c>
      <c r="F1845" s="6">
        <f>IF(OR(C1845="",D1845=""),"",IFERROR(LOOKUP(2,1/(($C$1:C1844=C1845)*($D$1:D1844=D1845)*ISNUMBER($J$1:J1844)),$J$1:J1844),SUMIFS(Master!$G$2:$G$13,Master!$E$2:$E$13,C1845,Master!$F$2:$F$13,D1845)))</f>
        <v/>
      </c>
      <c r="G1845" s="5" t="n"/>
      <c r="H1845" s="5" t="n"/>
      <c r="I1845" s="5" t="n"/>
      <c r="J1845" s="6">
        <f>IF(OR(F1845="",COUNT(G1845:I1845)&lt;3),"",F1845+G1845-H1845-I1845)</f>
        <v/>
      </c>
      <c r="K1845" s="6">
        <f>IF(COUNTA(A1845:D1845,G1845:I1845)=0,"",IF(COUNTA(A1845:D1845,G1845:I1845)&lt;7,"LENGKAPI",IF(H1845+I1845&gt;N(F1845)+G1845,"ABNORMAL",IF(COUNTIFS($A$2:$A$2001,A1845,$B$2:$B$2001,B1845,$C$2:$C$2001,C1845,$D$2:$D$2001,D1845)&gt;1,"DUPLIKAT","OK"))))</f>
        <v/>
      </c>
    </row>
    <row r="1846">
      <c r="A1846" s="4" t="n"/>
      <c r="B1846" s="5" t="n"/>
      <c r="C1846" s="5" t="n"/>
      <c r="D1846" s="5" t="n"/>
      <c r="E1846" s="6">
        <f>IF(A1846="","","B"&amp;TEXT(COUNT($A$2:A1846),"00000"))</f>
        <v/>
      </c>
      <c r="F1846" s="6">
        <f>IF(OR(C1846="",D1846=""),"",IFERROR(LOOKUP(2,1/(($C$1:C1845=C1846)*($D$1:D1845=D1846)*ISNUMBER($J$1:J1845)),$J$1:J1845),SUMIFS(Master!$G$2:$G$13,Master!$E$2:$E$13,C1846,Master!$F$2:$F$13,D1846)))</f>
        <v/>
      </c>
      <c r="G1846" s="5" t="n"/>
      <c r="H1846" s="5" t="n"/>
      <c r="I1846" s="5" t="n"/>
      <c r="J1846" s="6">
        <f>IF(OR(F1846="",COUNT(G1846:I1846)&lt;3),"",F1846+G1846-H1846-I1846)</f>
        <v/>
      </c>
      <c r="K1846" s="6">
        <f>IF(COUNTA(A1846:D1846,G1846:I1846)=0,"",IF(COUNTA(A1846:D1846,G1846:I1846)&lt;7,"LENGKAPI",IF(H1846+I1846&gt;N(F1846)+G1846,"ABNORMAL",IF(COUNTIFS($A$2:$A$2001,A1846,$B$2:$B$2001,B1846,$C$2:$C$2001,C1846,$D$2:$D$2001,D1846)&gt;1,"DUPLIKAT","OK"))))</f>
        <v/>
      </c>
    </row>
    <row r="1847">
      <c r="A1847" s="4" t="n"/>
      <c r="B1847" s="5" t="n"/>
      <c r="C1847" s="5" t="n"/>
      <c r="D1847" s="5" t="n"/>
      <c r="E1847" s="6">
        <f>IF(A1847="","","B"&amp;TEXT(COUNT($A$2:A1847),"00000"))</f>
        <v/>
      </c>
      <c r="F1847" s="6">
        <f>IF(OR(C1847="",D1847=""),"",IFERROR(LOOKUP(2,1/(($C$1:C1846=C1847)*($D$1:D1846=D1847)*ISNUMBER($J$1:J1846)),$J$1:J1846),SUMIFS(Master!$G$2:$G$13,Master!$E$2:$E$13,C1847,Master!$F$2:$F$13,D1847)))</f>
        <v/>
      </c>
      <c r="G1847" s="5" t="n"/>
      <c r="H1847" s="5" t="n"/>
      <c r="I1847" s="5" t="n"/>
      <c r="J1847" s="6">
        <f>IF(OR(F1847="",COUNT(G1847:I1847)&lt;3),"",F1847+G1847-H1847-I1847)</f>
        <v/>
      </c>
      <c r="K1847" s="6">
        <f>IF(COUNTA(A1847:D1847,G1847:I1847)=0,"",IF(COUNTA(A1847:D1847,G1847:I1847)&lt;7,"LENGKAPI",IF(H1847+I1847&gt;N(F1847)+G1847,"ABNORMAL",IF(COUNTIFS($A$2:$A$2001,A1847,$B$2:$B$2001,B1847,$C$2:$C$2001,C1847,$D$2:$D$2001,D1847)&gt;1,"DUPLIKAT","OK"))))</f>
        <v/>
      </c>
    </row>
    <row r="1848">
      <c r="A1848" s="4" t="n"/>
      <c r="B1848" s="5" t="n"/>
      <c r="C1848" s="5" t="n"/>
      <c r="D1848" s="5" t="n"/>
      <c r="E1848" s="6">
        <f>IF(A1848="","","B"&amp;TEXT(COUNT($A$2:A1848),"00000"))</f>
        <v/>
      </c>
      <c r="F1848" s="6">
        <f>IF(OR(C1848="",D1848=""),"",IFERROR(LOOKUP(2,1/(($C$1:C1847=C1848)*($D$1:D1847=D1848)*ISNUMBER($J$1:J1847)),$J$1:J1847),SUMIFS(Master!$G$2:$G$13,Master!$E$2:$E$13,C1848,Master!$F$2:$F$13,D1848)))</f>
        <v/>
      </c>
      <c r="G1848" s="5" t="n"/>
      <c r="H1848" s="5" t="n"/>
      <c r="I1848" s="5" t="n"/>
      <c r="J1848" s="6">
        <f>IF(OR(F1848="",COUNT(G1848:I1848)&lt;3),"",F1848+G1848-H1848-I1848)</f>
        <v/>
      </c>
      <c r="K1848" s="6">
        <f>IF(COUNTA(A1848:D1848,G1848:I1848)=0,"",IF(COUNTA(A1848:D1848,G1848:I1848)&lt;7,"LENGKAPI",IF(H1848+I1848&gt;N(F1848)+G1848,"ABNORMAL",IF(COUNTIFS($A$2:$A$2001,A1848,$B$2:$B$2001,B1848,$C$2:$C$2001,C1848,$D$2:$D$2001,D1848)&gt;1,"DUPLIKAT","OK"))))</f>
        <v/>
      </c>
    </row>
    <row r="1849">
      <c r="A1849" s="4" t="n"/>
      <c r="B1849" s="5" t="n"/>
      <c r="C1849" s="5" t="n"/>
      <c r="D1849" s="5" t="n"/>
      <c r="E1849" s="6">
        <f>IF(A1849="","","B"&amp;TEXT(COUNT($A$2:A1849),"00000"))</f>
        <v/>
      </c>
      <c r="F1849" s="6">
        <f>IF(OR(C1849="",D1849=""),"",IFERROR(LOOKUP(2,1/(($C$1:C1848=C1849)*($D$1:D1848=D1849)*ISNUMBER($J$1:J1848)),$J$1:J1848),SUMIFS(Master!$G$2:$G$13,Master!$E$2:$E$13,C1849,Master!$F$2:$F$13,D1849)))</f>
        <v/>
      </c>
      <c r="G1849" s="5" t="n"/>
      <c r="H1849" s="5" t="n"/>
      <c r="I1849" s="5" t="n"/>
      <c r="J1849" s="6">
        <f>IF(OR(F1849="",COUNT(G1849:I1849)&lt;3),"",F1849+G1849-H1849-I1849)</f>
        <v/>
      </c>
      <c r="K1849" s="6">
        <f>IF(COUNTA(A1849:D1849,G1849:I1849)=0,"",IF(COUNTA(A1849:D1849,G1849:I1849)&lt;7,"LENGKAPI",IF(H1849+I1849&gt;N(F1849)+G1849,"ABNORMAL",IF(COUNTIFS($A$2:$A$2001,A1849,$B$2:$B$2001,B1849,$C$2:$C$2001,C1849,$D$2:$D$2001,D1849)&gt;1,"DUPLIKAT","OK"))))</f>
        <v/>
      </c>
    </row>
    <row r="1850">
      <c r="A1850" s="4" t="n"/>
      <c r="B1850" s="5" t="n"/>
      <c r="C1850" s="5" t="n"/>
      <c r="D1850" s="5" t="n"/>
      <c r="E1850" s="6">
        <f>IF(A1850="","","B"&amp;TEXT(COUNT($A$2:A1850),"00000"))</f>
        <v/>
      </c>
      <c r="F1850" s="6">
        <f>IF(OR(C1850="",D1850=""),"",IFERROR(LOOKUP(2,1/(($C$1:C1849=C1850)*($D$1:D1849=D1850)*ISNUMBER($J$1:J1849)),$J$1:J1849),SUMIFS(Master!$G$2:$G$13,Master!$E$2:$E$13,C1850,Master!$F$2:$F$13,D1850)))</f>
        <v/>
      </c>
      <c r="G1850" s="5" t="n"/>
      <c r="H1850" s="5" t="n"/>
      <c r="I1850" s="5" t="n"/>
      <c r="J1850" s="6">
        <f>IF(OR(F1850="",COUNT(G1850:I1850)&lt;3),"",F1850+G1850-H1850-I1850)</f>
        <v/>
      </c>
      <c r="K1850" s="6">
        <f>IF(COUNTA(A1850:D1850,G1850:I1850)=0,"",IF(COUNTA(A1850:D1850,G1850:I1850)&lt;7,"LENGKAPI",IF(H1850+I1850&gt;N(F1850)+G1850,"ABNORMAL",IF(COUNTIFS($A$2:$A$2001,A1850,$B$2:$B$2001,B1850,$C$2:$C$2001,C1850,$D$2:$D$2001,D1850)&gt;1,"DUPLIKAT","OK"))))</f>
        <v/>
      </c>
    </row>
    <row r="1851">
      <c r="A1851" s="4" t="n"/>
      <c r="B1851" s="5" t="n"/>
      <c r="C1851" s="5" t="n"/>
      <c r="D1851" s="5" t="n"/>
      <c r="E1851" s="6">
        <f>IF(A1851="","","B"&amp;TEXT(COUNT($A$2:A1851),"00000"))</f>
        <v/>
      </c>
      <c r="F1851" s="6">
        <f>IF(OR(C1851="",D1851=""),"",IFERROR(LOOKUP(2,1/(($C$1:C1850=C1851)*($D$1:D1850=D1851)*ISNUMBER($J$1:J1850)),$J$1:J1850),SUMIFS(Master!$G$2:$G$13,Master!$E$2:$E$13,C1851,Master!$F$2:$F$13,D1851)))</f>
        <v/>
      </c>
      <c r="G1851" s="5" t="n"/>
      <c r="H1851" s="5" t="n"/>
      <c r="I1851" s="5" t="n"/>
      <c r="J1851" s="6">
        <f>IF(OR(F1851="",COUNT(G1851:I1851)&lt;3),"",F1851+G1851-H1851-I1851)</f>
        <v/>
      </c>
      <c r="K1851" s="6">
        <f>IF(COUNTA(A1851:D1851,G1851:I1851)=0,"",IF(COUNTA(A1851:D1851,G1851:I1851)&lt;7,"LENGKAPI",IF(H1851+I1851&gt;N(F1851)+G1851,"ABNORMAL",IF(COUNTIFS($A$2:$A$2001,A1851,$B$2:$B$2001,B1851,$C$2:$C$2001,C1851,$D$2:$D$2001,D1851)&gt;1,"DUPLIKAT","OK"))))</f>
        <v/>
      </c>
    </row>
    <row r="1852">
      <c r="A1852" s="4" t="n"/>
      <c r="B1852" s="5" t="n"/>
      <c r="C1852" s="5" t="n"/>
      <c r="D1852" s="5" t="n"/>
      <c r="E1852" s="6">
        <f>IF(A1852="","","B"&amp;TEXT(COUNT($A$2:A1852),"00000"))</f>
        <v/>
      </c>
      <c r="F1852" s="6">
        <f>IF(OR(C1852="",D1852=""),"",IFERROR(LOOKUP(2,1/(($C$1:C1851=C1852)*($D$1:D1851=D1852)*ISNUMBER($J$1:J1851)),$J$1:J1851),SUMIFS(Master!$G$2:$G$13,Master!$E$2:$E$13,C1852,Master!$F$2:$F$13,D1852)))</f>
        <v/>
      </c>
      <c r="G1852" s="5" t="n"/>
      <c r="H1852" s="5" t="n"/>
      <c r="I1852" s="5" t="n"/>
      <c r="J1852" s="6">
        <f>IF(OR(F1852="",COUNT(G1852:I1852)&lt;3),"",F1852+G1852-H1852-I1852)</f>
        <v/>
      </c>
      <c r="K1852" s="6">
        <f>IF(COUNTA(A1852:D1852,G1852:I1852)=0,"",IF(COUNTA(A1852:D1852,G1852:I1852)&lt;7,"LENGKAPI",IF(H1852+I1852&gt;N(F1852)+G1852,"ABNORMAL",IF(COUNTIFS($A$2:$A$2001,A1852,$B$2:$B$2001,B1852,$C$2:$C$2001,C1852,$D$2:$D$2001,D1852)&gt;1,"DUPLIKAT","OK"))))</f>
        <v/>
      </c>
    </row>
    <row r="1853">
      <c r="A1853" s="4" t="n"/>
      <c r="B1853" s="5" t="n"/>
      <c r="C1853" s="5" t="n"/>
      <c r="D1853" s="5" t="n"/>
      <c r="E1853" s="6">
        <f>IF(A1853="","","B"&amp;TEXT(COUNT($A$2:A1853),"00000"))</f>
        <v/>
      </c>
      <c r="F1853" s="6">
        <f>IF(OR(C1853="",D1853=""),"",IFERROR(LOOKUP(2,1/(($C$1:C1852=C1853)*($D$1:D1852=D1853)*ISNUMBER($J$1:J1852)),$J$1:J1852),SUMIFS(Master!$G$2:$G$13,Master!$E$2:$E$13,C1853,Master!$F$2:$F$13,D1853)))</f>
        <v/>
      </c>
      <c r="G1853" s="5" t="n"/>
      <c r="H1853" s="5" t="n"/>
      <c r="I1853" s="5" t="n"/>
      <c r="J1853" s="6">
        <f>IF(OR(F1853="",COUNT(G1853:I1853)&lt;3),"",F1853+G1853-H1853-I1853)</f>
        <v/>
      </c>
      <c r="K1853" s="6">
        <f>IF(COUNTA(A1853:D1853,G1853:I1853)=0,"",IF(COUNTA(A1853:D1853,G1853:I1853)&lt;7,"LENGKAPI",IF(H1853+I1853&gt;N(F1853)+G1853,"ABNORMAL",IF(COUNTIFS($A$2:$A$2001,A1853,$B$2:$B$2001,B1853,$C$2:$C$2001,C1853,$D$2:$D$2001,D1853)&gt;1,"DUPLIKAT","OK"))))</f>
        <v/>
      </c>
    </row>
    <row r="1854">
      <c r="A1854" s="4" t="n"/>
      <c r="B1854" s="5" t="n"/>
      <c r="C1854" s="5" t="n"/>
      <c r="D1854" s="5" t="n"/>
      <c r="E1854" s="6">
        <f>IF(A1854="","","B"&amp;TEXT(COUNT($A$2:A1854),"00000"))</f>
        <v/>
      </c>
      <c r="F1854" s="6">
        <f>IF(OR(C1854="",D1854=""),"",IFERROR(LOOKUP(2,1/(($C$1:C1853=C1854)*($D$1:D1853=D1854)*ISNUMBER($J$1:J1853)),$J$1:J1853),SUMIFS(Master!$G$2:$G$13,Master!$E$2:$E$13,C1854,Master!$F$2:$F$13,D1854)))</f>
        <v/>
      </c>
      <c r="G1854" s="5" t="n"/>
      <c r="H1854" s="5" t="n"/>
      <c r="I1854" s="5" t="n"/>
      <c r="J1854" s="6">
        <f>IF(OR(F1854="",COUNT(G1854:I1854)&lt;3),"",F1854+G1854-H1854-I1854)</f>
        <v/>
      </c>
      <c r="K1854" s="6">
        <f>IF(COUNTA(A1854:D1854,G1854:I1854)=0,"",IF(COUNTA(A1854:D1854,G1854:I1854)&lt;7,"LENGKAPI",IF(H1854+I1854&gt;N(F1854)+G1854,"ABNORMAL",IF(COUNTIFS($A$2:$A$2001,A1854,$B$2:$B$2001,B1854,$C$2:$C$2001,C1854,$D$2:$D$2001,D1854)&gt;1,"DUPLIKAT","OK"))))</f>
        <v/>
      </c>
    </row>
    <row r="1855">
      <c r="A1855" s="4" t="n"/>
      <c r="B1855" s="5" t="n"/>
      <c r="C1855" s="5" t="n"/>
      <c r="D1855" s="5" t="n"/>
      <c r="E1855" s="6">
        <f>IF(A1855="","","B"&amp;TEXT(COUNT($A$2:A1855),"00000"))</f>
        <v/>
      </c>
      <c r="F1855" s="6">
        <f>IF(OR(C1855="",D1855=""),"",IFERROR(LOOKUP(2,1/(($C$1:C1854=C1855)*($D$1:D1854=D1855)*ISNUMBER($J$1:J1854)),$J$1:J1854),SUMIFS(Master!$G$2:$G$13,Master!$E$2:$E$13,C1855,Master!$F$2:$F$13,D1855)))</f>
        <v/>
      </c>
      <c r="G1855" s="5" t="n"/>
      <c r="H1855" s="5" t="n"/>
      <c r="I1855" s="5" t="n"/>
      <c r="J1855" s="6">
        <f>IF(OR(F1855="",COUNT(G1855:I1855)&lt;3),"",F1855+G1855-H1855-I1855)</f>
        <v/>
      </c>
      <c r="K1855" s="6">
        <f>IF(COUNTA(A1855:D1855,G1855:I1855)=0,"",IF(COUNTA(A1855:D1855,G1855:I1855)&lt;7,"LENGKAPI",IF(H1855+I1855&gt;N(F1855)+G1855,"ABNORMAL",IF(COUNTIFS($A$2:$A$2001,A1855,$B$2:$B$2001,B1855,$C$2:$C$2001,C1855,$D$2:$D$2001,D1855)&gt;1,"DUPLIKAT","OK"))))</f>
        <v/>
      </c>
    </row>
    <row r="1856">
      <c r="A1856" s="4" t="n"/>
      <c r="B1856" s="5" t="n"/>
      <c r="C1856" s="5" t="n"/>
      <c r="D1856" s="5" t="n"/>
      <c r="E1856" s="6">
        <f>IF(A1856="","","B"&amp;TEXT(COUNT($A$2:A1856),"00000"))</f>
        <v/>
      </c>
      <c r="F1856" s="6">
        <f>IF(OR(C1856="",D1856=""),"",IFERROR(LOOKUP(2,1/(($C$1:C1855=C1856)*($D$1:D1855=D1856)*ISNUMBER($J$1:J1855)),$J$1:J1855),SUMIFS(Master!$G$2:$G$13,Master!$E$2:$E$13,C1856,Master!$F$2:$F$13,D1856)))</f>
        <v/>
      </c>
      <c r="G1856" s="5" t="n"/>
      <c r="H1856" s="5" t="n"/>
      <c r="I1856" s="5" t="n"/>
      <c r="J1856" s="6">
        <f>IF(OR(F1856="",COUNT(G1856:I1856)&lt;3),"",F1856+G1856-H1856-I1856)</f>
        <v/>
      </c>
      <c r="K1856" s="6">
        <f>IF(COUNTA(A1856:D1856,G1856:I1856)=0,"",IF(COUNTA(A1856:D1856,G1856:I1856)&lt;7,"LENGKAPI",IF(H1856+I1856&gt;N(F1856)+G1856,"ABNORMAL",IF(COUNTIFS($A$2:$A$2001,A1856,$B$2:$B$2001,B1856,$C$2:$C$2001,C1856,$D$2:$D$2001,D1856)&gt;1,"DUPLIKAT","OK"))))</f>
        <v/>
      </c>
    </row>
    <row r="1857">
      <c r="A1857" s="4" t="n"/>
      <c r="B1857" s="5" t="n"/>
      <c r="C1857" s="5" t="n"/>
      <c r="D1857" s="5" t="n"/>
      <c r="E1857" s="6">
        <f>IF(A1857="","","B"&amp;TEXT(COUNT($A$2:A1857),"00000"))</f>
        <v/>
      </c>
      <c r="F1857" s="6">
        <f>IF(OR(C1857="",D1857=""),"",IFERROR(LOOKUP(2,1/(($C$1:C1856=C1857)*($D$1:D1856=D1857)*ISNUMBER($J$1:J1856)),$J$1:J1856),SUMIFS(Master!$G$2:$G$13,Master!$E$2:$E$13,C1857,Master!$F$2:$F$13,D1857)))</f>
        <v/>
      </c>
      <c r="G1857" s="5" t="n"/>
      <c r="H1857" s="5" t="n"/>
      <c r="I1857" s="5" t="n"/>
      <c r="J1857" s="6">
        <f>IF(OR(F1857="",COUNT(G1857:I1857)&lt;3),"",F1857+G1857-H1857-I1857)</f>
        <v/>
      </c>
      <c r="K1857" s="6">
        <f>IF(COUNTA(A1857:D1857,G1857:I1857)=0,"",IF(COUNTA(A1857:D1857,G1857:I1857)&lt;7,"LENGKAPI",IF(H1857+I1857&gt;N(F1857)+G1857,"ABNORMAL",IF(COUNTIFS($A$2:$A$2001,A1857,$B$2:$B$2001,B1857,$C$2:$C$2001,C1857,$D$2:$D$2001,D1857)&gt;1,"DUPLIKAT","OK"))))</f>
        <v/>
      </c>
    </row>
    <row r="1858">
      <c r="A1858" s="4" t="n"/>
      <c r="B1858" s="5" t="n"/>
      <c r="C1858" s="5" t="n"/>
      <c r="D1858" s="5" t="n"/>
      <c r="E1858" s="6">
        <f>IF(A1858="","","B"&amp;TEXT(COUNT($A$2:A1858),"00000"))</f>
        <v/>
      </c>
      <c r="F1858" s="6">
        <f>IF(OR(C1858="",D1858=""),"",IFERROR(LOOKUP(2,1/(($C$1:C1857=C1858)*($D$1:D1857=D1858)*ISNUMBER($J$1:J1857)),$J$1:J1857),SUMIFS(Master!$G$2:$G$13,Master!$E$2:$E$13,C1858,Master!$F$2:$F$13,D1858)))</f>
        <v/>
      </c>
      <c r="G1858" s="5" t="n"/>
      <c r="H1858" s="5" t="n"/>
      <c r="I1858" s="5" t="n"/>
      <c r="J1858" s="6">
        <f>IF(OR(F1858="",COUNT(G1858:I1858)&lt;3),"",F1858+G1858-H1858-I1858)</f>
        <v/>
      </c>
      <c r="K1858" s="6">
        <f>IF(COUNTA(A1858:D1858,G1858:I1858)=0,"",IF(COUNTA(A1858:D1858,G1858:I1858)&lt;7,"LENGKAPI",IF(H1858+I1858&gt;N(F1858)+G1858,"ABNORMAL",IF(COUNTIFS($A$2:$A$2001,A1858,$B$2:$B$2001,B1858,$C$2:$C$2001,C1858,$D$2:$D$2001,D1858)&gt;1,"DUPLIKAT","OK"))))</f>
        <v/>
      </c>
    </row>
    <row r="1859">
      <c r="A1859" s="4" t="n"/>
      <c r="B1859" s="5" t="n"/>
      <c r="C1859" s="5" t="n"/>
      <c r="D1859" s="5" t="n"/>
      <c r="E1859" s="6">
        <f>IF(A1859="","","B"&amp;TEXT(COUNT($A$2:A1859),"00000"))</f>
        <v/>
      </c>
      <c r="F1859" s="6">
        <f>IF(OR(C1859="",D1859=""),"",IFERROR(LOOKUP(2,1/(($C$1:C1858=C1859)*($D$1:D1858=D1859)*ISNUMBER($J$1:J1858)),$J$1:J1858),SUMIFS(Master!$G$2:$G$13,Master!$E$2:$E$13,C1859,Master!$F$2:$F$13,D1859)))</f>
        <v/>
      </c>
      <c r="G1859" s="5" t="n"/>
      <c r="H1859" s="5" t="n"/>
      <c r="I1859" s="5" t="n"/>
      <c r="J1859" s="6">
        <f>IF(OR(F1859="",COUNT(G1859:I1859)&lt;3),"",F1859+G1859-H1859-I1859)</f>
        <v/>
      </c>
      <c r="K1859" s="6">
        <f>IF(COUNTA(A1859:D1859,G1859:I1859)=0,"",IF(COUNTA(A1859:D1859,G1859:I1859)&lt;7,"LENGKAPI",IF(H1859+I1859&gt;N(F1859)+G1859,"ABNORMAL",IF(COUNTIFS($A$2:$A$2001,A1859,$B$2:$B$2001,B1859,$C$2:$C$2001,C1859,$D$2:$D$2001,D1859)&gt;1,"DUPLIKAT","OK"))))</f>
        <v/>
      </c>
    </row>
    <row r="1860">
      <c r="A1860" s="4" t="n"/>
      <c r="B1860" s="5" t="n"/>
      <c r="C1860" s="5" t="n"/>
      <c r="D1860" s="5" t="n"/>
      <c r="E1860" s="6">
        <f>IF(A1860="","","B"&amp;TEXT(COUNT($A$2:A1860),"00000"))</f>
        <v/>
      </c>
      <c r="F1860" s="6">
        <f>IF(OR(C1860="",D1860=""),"",IFERROR(LOOKUP(2,1/(($C$1:C1859=C1860)*($D$1:D1859=D1860)*ISNUMBER($J$1:J1859)),$J$1:J1859),SUMIFS(Master!$G$2:$G$13,Master!$E$2:$E$13,C1860,Master!$F$2:$F$13,D1860)))</f>
        <v/>
      </c>
      <c r="G1860" s="5" t="n"/>
      <c r="H1860" s="5" t="n"/>
      <c r="I1860" s="5" t="n"/>
      <c r="J1860" s="6">
        <f>IF(OR(F1860="",COUNT(G1860:I1860)&lt;3),"",F1860+G1860-H1860-I1860)</f>
        <v/>
      </c>
      <c r="K1860" s="6">
        <f>IF(COUNTA(A1860:D1860,G1860:I1860)=0,"",IF(COUNTA(A1860:D1860,G1860:I1860)&lt;7,"LENGKAPI",IF(H1860+I1860&gt;N(F1860)+G1860,"ABNORMAL",IF(COUNTIFS($A$2:$A$2001,A1860,$B$2:$B$2001,B1860,$C$2:$C$2001,C1860,$D$2:$D$2001,D1860)&gt;1,"DUPLIKAT","OK"))))</f>
        <v/>
      </c>
    </row>
    <row r="1861">
      <c r="A1861" s="4" t="n"/>
      <c r="B1861" s="5" t="n"/>
      <c r="C1861" s="5" t="n"/>
      <c r="D1861" s="5" t="n"/>
      <c r="E1861" s="6">
        <f>IF(A1861="","","B"&amp;TEXT(COUNT($A$2:A1861),"00000"))</f>
        <v/>
      </c>
      <c r="F1861" s="6">
        <f>IF(OR(C1861="",D1861=""),"",IFERROR(LOOKUP(2,1/(($C$1:C1860=C1861)*($D$1:D1860=D1861)*ISNUMBER($J$1:J1860)),$J$1:J1860),SUMIFS(Master!$G$2:$G$13,Master!$E$2:$E$13,C1861,Master!$F$2:$F$13,D1861)))</f>
        <v/>
      </c>
      <c r="G1861" s="5" t="n"/>
      <c r="H1861" s="5" t="n"/>
      <c r="I1861" s="5" t="n"/>
      <c r="J1861" s="6">
        <f>IF(OR(F1861="",COUNT(G1861:I1861)&lt;3),"",F1861+G1861-H1861-I1861)</f>
        <v/>
      </c>
      <c r="K1861" s="6">
        <f>IF(COUNTA(A1861:D1861,G1861:I1861)=0,"",IF(COUNTA(A1861:D1861,G1861:I1861)&lt;7,"LENGKAPI",IF(H1861+I1861&gt;N(F1861)+G1861,"ABNORMAL",IF(COUNTIFS($A$2:$A$2001,A1861,$B$2:$B$2001,B1861,$C$2:$C$2001,C1861,$D$2:$D$2001,D1861)&gt;1,"DUPLIKAT","OK"))))</f>
        <v/>
      </c>
    </row>
    <row r="1862">
      <c r="A1862" s="4" t="n"/>
      <c r="B1862" s="5" t="n"/>
      <c r="C1862" s="5" t="n"/>
      <c r="D1862" s="5" t="n"/>
      <c r="E1862" s="6">
        <f>IF(A1862="","","B"&amp;TEXT(COUNT($A$2:A1862),"00000"))</f>
        <v/>
      </c>
      <c r="F1862" s="6">
        <f>IF(OR(C1862="",D1862=""),"",IFERROR(LOOKUP(2,1/(($C$1:C1861=C1862)*($D$1:D1861=D1862)*ISNUMBER($J$1:J1861)),$J$1:J1861),SUMIFS(Master!$G$2:$G$13,Master!$E$2:$E$13,C1862,Master!$F$2:$F$13,D1862)))</f>
        <v/>
      </c>
      <c r="G1862" s="5" t="n"/>
      <c r="H1862" s="5" t="n"/>
      <c r="I1862" s="5" t="n"/>
      <c r="J1862" s="6">
        <f>IF(OR(F1862="",COUNT(G1862:I1862)&lt;3),"",F1862+G1862-H1862-I1862)</f>
        <v/>
      </c>
      <c r="K1862" s="6">
        <f>IF(COUNTA(A1862:D1862,G1862:I1862)=0,"",IF(COUNTA(A1862:D1862,G1862:I1862)&lt;7,"LENGKAPI",IF(H1862+I1862&gt;N(F1862)+G1862,"ABNORMAL",IF(COUNTIFS($A$2:$A$2001,A1862,$B$2:$B$2001,B1862,$C$2:$C$2001,C1862,$D$2:$D$2001,D1862)&gt;1,"DUPLIKAT","OK"))))</f>
        <v/>
      </c>
    </row>
    <row r="1863">
      <c r="A1863" s="4" t="n"/>
      <c r="B1863" s="5" t="n"/>
      <c r="C1863" s="5" t="n"/>
      <c r="D1863" s="5" t="n"/>
      <c r="E1863" s="6">
        <f>IF(A1863="","","B"&amp;TEXT(COUNT($A$2:A1863),"00000"))</f>
        <v/>
      </c>
      <c r="F1863" s="6">
        <f>IF(OR(C1863="",D1863=""),"",IFERROR(LOOKUP(2,1/(($C$1:C1862=C1863)*($D$1:D1862=D1863)*ISNUMBER($J$1:J1862)),$J$1:J1862),SUMIFS(Master!$G$2:$G$13,Master!$E$2:$E$13,C1863,Master!$F$2:$F$13,D1863)))</f>
        <v/>
      </c>
      <c r="G1863" s="5" t="n"/>
      <c r="H1863" s="5" t="n"/>
      <c r="I1863" s="5" t="n"/>
      <c r="J1863" s="6">
        <f>IF(OR(F1863="",COUNT(G1863:I1863)&lt;3),"",F1863+G1863-H1863-I1863)</f>
        <v/>
      </c>
      <c r="K1863" s="6">
        <f>IF(COUNTA(A1863:D1863,G1863:I1863)=0,"",IF(COUNTA(A1863:D1863,G1863:I1863)&lt;7,"LENGKAPI",IF(H1863+I1863&gt;N(F1863)+G1863,"ABNORMAL",IF(COUNTIFS($A$2:$A$2001,A1863,$B$2:$B$2001,B1863,$C$2:$C$2001,C1863,$D$2:$D$2001,D1863)&gt;1,"DUPLIKAT","OK"))))</f>
        <v/>
      </c>
    </row>
    <row r="1864">
      <c r="A1864" s="4" t="n"/>
      <c r="B1864" s="5" t="n"/>
      <c r="C1864" s="5" t="n"/>
      <c r="D1864" s="5" t="n"/>
      <c r="E1864" s="6">
        <f>IF(A1864="","","B"&amp;TEXT(COUNT($A$2:A1864),"00000"))</f>
        <v/>
      </c>
      <c r="F1864" s="6">
        <f>IF(OR(C1864="",D1864=""),"",IFERROR(LOOKUP(2,1/(($C$1:C1863=C1864)*($D$1:D1863=D1864)*ISNUMBER($J$1:J1863)),$J$1:J1863),SUMIFS(Master!$G$2:$G$13,Master!$E$2:$E$13,C1864,Master!$F$2:$F$13,D1864)))</f>
        <v/>
      </c>
      <c r="G1864" s="5" t="n"/>
      <c r="H1864" s="5" t="n"/>
      <c r="I1864" s="5" t="n"/>
      <c r="J1864" s="6">
        <f>IF(OR(F1864="",COUNT(G1864:I1864)&lt;3),"",F1864+G1864-H1864-I1864)</f>
        <v/>
      </c>
      <c r="K1864" s="6">
        <f>IF(COUNTA(A1864:D1864,G1864:I1864)=0,"",IF(COUNTA(A1864:D1864,G1864:I1864)&lt;7,"LENGKAPI",IF(H1864+I1864&gt;N(F1864)+G1864,"ABNORMAL",IF(COUNTIFS($A$2:$A$2001,A1864,$B$2:$B$2001,B1864,$C$2:$C$2001,C1864,$D$2:$D$2001,D1864)&gt;1,"DUPLIKAT","OK"))))</f>
        <v/>
      </c>
    </row>
    <row r="1865">
      <c r="A1865" s="4" t="n"/>
      <c r="B1865" s="5" t="n"/>
      <c r="C1865" s="5" t="n"/>
      <c r="D1865" s="5" t="n"/>
      <c r="E1865" s="6">
        <f>IF(A1865="","","B"&amp;TEXT(COUNT($A$2:A1865),"00000"))</f>
        <v/>
      </c>
      <c r="F1865" s="6">
        <f>IF(OR(C1865="",D1865=""),"",IFERROR(LOOKUP(2,1/(($C$1:C1864=C1865)*($D$1:D1864=D1865)*ISNUMBER($J$1:J1864)),$J$1:J1864),SUMIFS(Master!$G$2:$G$13,Master!$E$2:$E$13,C1865,Master!$F$2:$F$13,D1865)))</f>
        <v/>
      </c>
      <c r="G1865" s="5" t="n"/>
      <c r="H1865" s="5" t="n"/>
      <c r="I1865" s="5" t="n"/>
      <c r="J1865" s="6">
        <f>IF(OR(F1865="",COUNT(G1865:I1865)&lt;3),"",F1865+G1865-H1865-I1865)</f>
        <v/>
      </c>
      <c r="K1865" s="6">
        <f>IF(COUNTA(A1865:D1865,G1865:I1865)=0,"",IF(COUNTA(A1865:D1865,G1865:I1865)&lt;7,"LENGKAPI",IF(H1865+I1865&gt;N(F1865)+G1865,"ABNORMAL",IF(COUNTIFS($A$2:$A$2001,A1865,$B$2:$B$2001,B1865,$C$2:$C$2001,C1865,$D$2:$D$2001,D1865)&gt;1,"DUPLIKAT","OK"))))</f>
        <v/>
      </c>
    </row>
    <row r="1866">
      <c r="A1866" s="4" t="n"/>
      <c r="B1866" s="5" t="n"/>
      <c r="C1866" s="5" t="n"/>
      <c r="D1866" s="5" t="n"/>
      <c r="E1866" s="6">
        <f>IF(A1866="","","B"&amp;TEXT(COUNT($A$2:A1866),"00000"))</f>
        <v/>
      </c>
      <c r="F1866" s="6">
        <f>IF(OR(C1866="",D1866=""),"",IFERROR(LOOKUP(2,1/(($C$1:C1865=C1866)*($D$1:D1865=D1866)*ISNUMBER($J$1:J1865)),$J$1:J1865),SUMIFS(Master!$G$2:$G$13,Master!$E$2:$E$13,C1866,Master!$F$2:$F$13,D1866)))</f>
        <v/>
      </c>
      <c r="G1866" s="5" t="n"/>
      <c r="H1866" s="5" t="n"/>
      <c r="I1866" s="5" t="n"/>
      <c r="J1866" s="6">
        <f>IF(OR(F1866="",COUNT(G1866:I1866)&lt;3),"",F1866+G1866-H1866-I1866)</f>
        <v/>
      </c>
      <c r="K1866" s="6">
        <f>IF(COUNTA(A1866:D1866,G1866:I1866)=0,"",IF(COUNTA(A1866:D1866,G1866:I1866)&lt;7,"LENGKAPI",IF(H1866+I1866&gt;N(F1866)+G1866,"ABNORMAL",IF(COUNTIFS($A$2:$A$2001,A1866,$B$2:$B$2001,B1866,$C$2:$C$2001,C1866,$D$2:$D$2001,D1866)&gt;1,"DUPLIKAT","OK"))))</f>
        <v/>
      </c>
    </row>
    <row r="1867">
      <c r="A1867" s="4" t="n"/>
      <c r="B1867" s="5" t="n"/>
      <c r="C1867" s="5" t="n"/>
      <c r="D1867" s="5" t="n"/>
      <c r="E1867" s="6">
        <f>IF(A1867="","","B"&amp;TEXT(COUNT($A$2:A1867),"00000"))</f>
        <v/>
      </c>
      <c r="F1867" s="6">
        <f>IF(OR(C1867="",D1867=""),"",IFERROR(LOOKUP(2,1/(($C$1:C1866=C1867)*($D$1:D1866=D1867)*ISNUMBER($J$1:J1866)),$J$1:J1866),SUMIFS(Master!$G$2:$G$13,Master!$E$2:$E$13,C1867,Master!$F$2:$F$13,D1867)))</f>
        <v/>
      </c>
      <c r="G1867" s="5" t="n"/>
      <c r="H1867" s="5" t="n"/>
      <c r="I1867" s="5" t="n"/>
      <c r="J1867" s="6">
        <f>IF(OR(F1867="",COUNT(G1867:I1867)&lt;3),"",F1867+G1867-H1867-I1867)</f>
        <v/>
      </c>
      <c r="K1867" s="6">
        <f>IF(COUNTA(A1867:D1867,G1867:I1867)=0,"",IF(COUNTA(A1867:D1867,G1867:I1867)&lt;7,"LENGKAPI",IF(H1867+I1867&gt;N(F1867)+G1867,"ABNORMAL",IF(COUNTIFS($A$2:$A$2001,A1867,$B$2:$B$2001,B1867,$C$2:$C$2001,C1867,$D$2:$D$2001,D1867)&gt;1,"DUPLIKAT","OK"))))</f>
        <v/>
      </c>
    </row>
    <row r="1868">
      <c r="A1868" s="4" t="n"/>
      <c r="B1868" s="5" t="n"/>
      <c r="C1868" s="5" t="n"/>
      <c r="D1868" s="5" t="n"/>
      <c r="E1868" s="6">
        <f>IF(A1868="","","B"&amp;TEXT(COUNT($A$2:A1868),"00000"))</f>
        <v/>
      </c>
      <c r="F1868" s="6">
        <f>IF(OR(C1868="",D1868=""),"",IFERROR(LOOKUP(2,1/(($C$1:C1867=C1868)*($D$1:D1867=D1868)*ISNUMBER($J$1:J1867)),$J$1:J1867),SUMIFS(Master!$G$2:$G$13,Master!$E$2:$E$13,C1868,Master!$F$2:$F$13,D1868)))</f>
        <v/>
      </c>
      <c r="G1868" s="5" t="n"/>
      <c r="H1868" s="5" t="n"/>
      <c r="I1868" s="5" t="n"/>
      <c r="J1868" s="6">
        <f>IF(OR(F1868="",COUNT(G1868:I1868)&lt;3),"",F1868+G1868-H1868-I1868)</f>
        <v/>
      </c>
      <c r="K1868" s="6">
        <f>IF(COUNTA(A1868:D1868,G1868:I1868)=0,"",IF(COUNTA(A1868:D1868,G1868:I1868)&lt;7,"LENGKAPI",IF(H1868+I1868&gt;N(F1868)+G1868,"ABNORMAL",IF(COUNTIFS($A$2:$A$2001,A1868,$B$2:$B$2001,B1868,$C$2:$C$2001,C1868,$D$2:$D$2001,D1868)&gt;1,"DUPLIKAT","OK"))))</f>
        <v/>
      </c>
    </row>
    <row r="1869">
      <c r="A1869" s="4" t="n"/>
      <c r="B1869" s="5" t="n"/>
      <c r="C1869" s="5" t="n"/>
      <c r="D1869" s="5" t="n"/>
      <c r="E1869" s="6">
        <f>IF(A1869="","","B"&amp;TEXT(COUNT($A$2:A1869),"00000"))</f>
        <v/>
      </c>
      <c r="F1869" s="6">
        <f>IF(OR(C1869="",D1869=""),"",IFERROR(LOOKUP(2,1/(($C$1:C1868=C1869)*($D$1:D1868=D1869)*ISNUMBER($J$1:J1868)),$J$1:J1868),SUMIFS(Master!$G$2:$G$13,Master!$E$2:$E$13,C1869,Master!$F$2:$F$13,D1869)))</f>
        <v/>
      </c>
      <c r="G1869" s="5" t="n"/>
      <c r="H1869" s="5" t="n"/>
      <c r="I1869" s="5" t="n"/>
      <c r="J1869" s="6">
        <f>IF(OR(F1869="",COUNT(G1869:I1869)&lt;3),"",F1869+G1869-H1869-I1869)</f>
        <v/>
      </c>
      <c r="K1869" s="6">
        <f>IF(COUNTA(A1869:D1869,G1869:I1869)=0,"",IF(COUNTA(A1869:D1869,G1869:I1869)&lt;7,"LENGKAPI",IF(H1869+I1869&gt;N(F1869)+G1869,"ABNORMAL",IF(COUNTIFS($A$2:$A$2001,A1869,$B$2:$B$2001,B1869,$C$2:$C$2001,C1869,$D$2:$D$2001,D1869)&gt;1,"DUPLIKAT","OK"))))</f>
        <v/>
      </c>
    </row>
    <row r="1870">
      <c r="A1870" s="4" t="n"/>
      <c r="B1870" s="5" t="n"/>
      <c r="C1870" s="5" t="n"/>
      <c r="D1870" s="5" t="n"/>
      <c r="E1870" s="6">
        <f>IF(A1870="","","B"&amp;TEXT(COUNT($A$2:A1870),"00000"))</f>
        <v/>
      </c>
      <c r="F1870" s="6">
        <f>IF(OR(C1870="",D1870=""),"",IFERROR(LOOKUP(2,1/(($C$1:C1869=C1870)*($D$1:D1869=D1870)*ISNUMBER($J$1:J1869)),$J$1:J1869),SUMIFS(Master!$G$2:$G$13,Master!$E$2:$E$13,C1870,Master!$F$2:$F$13,D1870)))</f>
        <v/>
      </c>
      <c r="G1870" s="5" t="n"/>
      <c r="H1870" s="5" t="n"/>
      <c r="I1870" s="5" t="n"/>
      <c r="J1870" s="6">
        <f>IF(OR(F1870="",COUNT(G1870:I1870)&lt;3),"",F1870+G1870-H1870-I1870)</f>
        <v/>
      </c>
      <c r="K1870" s="6">
        <f>IF(COUNTA(A1870:D1870,G1870:I1870)=0,"",IF(COUNTA(A1870:D1870,G1870:I1870)&lt;7,"LENGKAPI",IF(H1870+I1870&gt;N(F1870)+G1870,"ABNORMAL",IF(COUNTIFS($A$2:$A$2001,A1870,$B$2:$B$2001,B1870,$C$2:$C$2001,C1870,$D$2:$D$2001,D1870)&gt;1,"DUPLIKAT","OK"))))</f>
        <v/>
      </c>
    </row>
    <row r="1871">
      <c r="A1871" s="4" t="n"/>
      <c r="B1871" s="5" t="n"/>
      <c r="C1871" s="5" t="n"/>
      <c r="D1871" s="5" t="n"/>
      <c r="E1871" s="6">
        <f>IF(A1871="","","B"&amp;TEXT(COUNT($A$2:A1871),"00000"))</f>
        <v/>
      </c>
      <c r="F1871" s="6">
        <f>IF(OR(C1871="",D1871=""),"",IFERROR(LOOKUP(2,1/(($C$1:C1870=C1871)*($D$1:D1870=D1871)*ISNUMBER($J$1:J1870)),$J$1:J1870),SUMIFS(Master!$G$2:$G$13,Master!$E$2:$E$13,C1871,Master!$F$2:$F$13,D1871)))</f>
        <v/>
      </c>
      <c r="G1871" s="5" t="n"/>
      <c r="H1871" s="5" t="n"/>
      <c r="I1871" s="5" t="n"/>
      <c r="J1871" s="6">
        <f>IF(OR(F1871="",COUNT(G1871:I1871)&lt;3),"",F1871+G1871-H1871-I1871)</f>
        <v/>
      </c>
      <c r="K1871" s="6">
        <f>IF(COUNTA(A1871:D1871,G1871:I1871)=0,"",IF(COUNTA(A1871:D1871,G1871:I1871)&lt;7,"LENGKAPI",IF(H1871+I1871&gt;N(F1871)+G1871,"ABNORMAL",IF(COUNTIFS($A$2:$A$2001,A1871,$B$2:$B$2001,B1871,$C$2:$C$2001,C1871,$D$2:$D$2001,D1871)&gt;1,"DUPLIKAT","OK"))))</f>
        <v/>
      </c>
    </row>
    <row r="1872">
      <c r="A1872" s="4" t="n"/>
      <c r="B1872" s="5" t="n"/>
      <c r="C1872" s="5" t="n"/>
      <c r="D1872" s="5" t="n"/>
      <c r="E1872" s="6">
        <f>IF(A1872="","","B"&amp;TEXT(COUNT($A$2:A1872),"00000"))</f>
        <v/>
      </c>
      <c r="F1872" s="6">
        <f>IF(OR(C1872="",D1872=""),"",IFERROR(LOOKUP(2,1/(($C$1:C1871=C1872)*($D$1:D1871=D1872)*ISNUMBER($J$1:J1871)),$J$1:J1871),SUMIFS(Master!$G$2:$G$13,Master!$E$2:$E$13,C1872,Master!$F$2:$F$13,D1872)))</f>
        <v/>
      </c>
      <c r="G1872" s="5" t="n"/>
      <c r="H1872" s="5" t="n"/>
      <c r="I1872" s="5" t="n"/>
      <c r="J1872" s="6">
        <f>IF(OR(F1872="",COUNT(G1872:I1872)&lt;3),"",F1872+G1872-H1872-I1872)</f>
        <v/>
      </c>
      <c r="K1872" s="6">
        <f>IF(COUNTA(A1872:D1872,G1872:I1872)=0,"",IF(COUNTA(A1872:D1872,G1872:I1872)&lt;7,"LENGKAPI",IF(H1872+I1872&gt;N(F1872)+G1872,"ABNORMAL",IF(COUNTIFS($A$2:$A$2001,A1872,$B$2:$B$2001,B1872,$C$2:$C$2001,C1872,$D$2:$D$2001,D1872)&gt;1,"DUPLIKAT","OK"))))</f>
        <v/>
      </c>
    </row>
    <row r="1873">
      <c r="A1873" s="4" t="n"/>
      <c r="B1873" s="5" t="n"/>
      <c r="C1873" s="5" t="n"/>
      <c r="D1873" s="5" t="n"/>
      <c r="E1873" s="6">
        <f>IF(A1873="","","B"&amp;TEXT(COUNT($A$2:A1873),"00000"))</f>
        <v/>
      </c>
      <c r="F1873" s="6">
        <f>IF(OR(C1873="",D1873=""),"",IFERROR(LOOKUP(2,1/(($C$1:C1872=C1873)*($D$1:D1872=D1873)*ISNUMBER($J$1:J1872)),$J$1:J1872),SUMIFS(Master!$G$2:$G$13,Master!$E$2:$E$13,C1873,Master!$F$2:$F$13,D1873)))</f>
        <v/>
      </c>
      <c r="G1873" s="5" t="n"/>
      <c r="H1873" s="5" t="n"/>
      <c r="I1873" s="5" t="n"/>
      <c r="J1873" s="6">
        <f>IF(OR(F1873="",COUNT(G1873:I1873)&lt;3),"",F1873+G1873-H1873-I1873)</f>
        <v/>
      </c>
      <c r="K1873" s="6">
        <f>IF(COUNTA(A1873:D1873,G1873:I1873)=0,"",IF(COUNTA(A1873:D1873,G1873:I1873)&lt;7,"LENGKAPI",IF(H1873+I1873&gt;N(F1873)+G1873,"ABNORMAL",IF(COUNTIFS($A$2:$A$2001,A1873,$B$2:$B$2001,B1873,$C$2:$C$2001,C1873,$D$2:$D$2001,D1873)&gt;1,"DUPLIKAT","OK"))))</f>
        <v/>
      </c>
    </row>
    <row r="1874">
      <c r="A1874" s="4" t="n"/>
      <c r="B1874" s="5" t="n"/>
      <c r="C1874" s="5" t="n"/>
      <c r="D1874" s="5" t="n"/>
      <c r="E1874" s="6">
        <f>IF(A1874="","","B"&amp;TEXT(COUNT($A$2:A1874),"00000"))</f>
        <v/>
      </c>
      <c r="F1874" s="6">
        <f>IF(OR(C1874="",D1874=""),"",IFERROR(LOOKUP(2,1/(($C$1:C1873=C1874)*($D$1:D1873=D1874)*ISNUMBER($J$1:J1873)),$J$1:J1873),SUMIFS(Master!$G$2:$G$13,Master!$E$2:$E$13,C1874,Master!$F$2:$F$13,D1874)))</f>
        <v/>
      </c>
      <c r="G1874" s="5" t="n"/>
      <c r="H1874" s="5" t="n"/>
      <c r="I1874" s="5" t="n"/>
      <c r="J1874" s="6">
        <f>IF(OR(F1874="",COUNT(G1874:I1874)&lt;3),"",F1874+G1874-H1874-I1874)</f>
        <v/>
      </c>
      <c r="K1874" s="6">
        <f>IF(COUNTA(A1874:D1874,G1874:I1874)=0,"",IF(COUNTA(A1874:D1874,G1874:I1874)&lt;7,"LENGKAPI",IF(H1874+I1874&gt;N(F1874)+G1874,"ABNORMAL",IF(COUNTIFS($A$2:$A$2001,A1874,$B$2:$B$2001,B1874,$C$2:$C$2001,C1874,$D$2:$D$2001,D1874)&gt;1,"DUPLIKAT","OK"))))</f>
        <v/>
      </c>
    </row>
    <row r="1875">
      <c r="A1875" s="4" t="n"/>
      <c r="B1875" s="5" t="n"/>
      <c r="C1875" s="5" t="n"/>
      <c r="D1875" s="5" t="n"/>
      <c r="E1875" s="6">
        <f>IF(A1875="","","B"&amp;TEXT(COUNT($A$2:A1875),"00000"))</f>
        <v/>
      </c>
      <c r="F1875" s="6">
        <f>IF(OR(C1875="",D1875=""),"",IFERROR(LOOKUP(2,1/(($C$1:C1874=C1875)*($D$1:D1874=D1875)*ISNUMBER($J$1:J1874)),$J$1:J1874),SUMIFS(Master!$G$2:$G$13,Master!$E$2:$E$13,C1875,Master!$F$2:$F$13,D1875)))</f>
        <v/>
      </c>
      <c r="G1875" s="5" t="n"/>
      <c r="H1875" s="5" t="n"/>
      <c r="I1875" s="5" t="n"/>
      <c r="J1875" s="6">
        <f>IF(OR(F1875="",COUNT(G1875:I1875)&lt;3),"",F1875+G1875-H1875-I1875)</f>
        <v/>
      </c>
      <c r="K1875" s="6">
        <f>IF(COUNTA(A1875:D1875,G1875:I1875)=0,"",IF(COUNTA(A1875:D1875,G1875:I1875)&lt;7,"LENGKAPI",IF(H1875+I1875&gt;N(F1875)+G1875,"ABNORMAL",IF(COUNTIFS($A$2:$A$2001,A1875,$B$2:$B$2001,B1875,$C$2:$C$2001,C1875,$D$2:$D$2001,D1875)&gt;1,"DUPLIKAT","OK"))))</f>
        <v/>
      </c>
    </row>
    <row r="1876">
      <c r="A1876" s="4" t="n"/>
      <c r="B1876" s="5" t="n"/>
      <c r="C1876" s="5" t="n"/>
      <c r="D1876" s="5" t="n"/>
      <c r="E1876" s="6">
        <f>IF(A1876="","","B"&amp;TEXT(COUNT($A$2:A1876),"00000"))</f>
        <v/>
      </c>
      <c r="F1876" s="6">
        <f>IF(OR(C1876="",D1876=""),"",IFERROR(LOOKUP(2,1/(($C$1:C1875=C1876)*($D$1:D1875=D1876)*ISNUMBER($J$1:J1875)),$J$1:J1875),SUMIFS(Master!$G$2:$G$13,Master!$E$2:$E$13,C1876,Master!$F$2:$F$13,D1876)))</f>
        <v/>
      </c>
      <c r="G1876" s="5" t="n"/>
      <c r="H1876" s="5" t="n"/>
      <c r="I1876" s="5" t="n"/>
      <c r="J1876" s="6">
        <f>IF(OR(F1876="",COUNT(G1876:I1876)&lt;3),"",F1876+G1876-H1876-I1876)</f>
        <v/>
      </c>
      <c r="K1876" s="6">
        <f>IF(COUNTA(A1876:D1876,G1876:I1876)=0,"",IF(COUNTA(A1876:D1876,G1876:I1876)&lt;7,"LENGKAPI",IF(H1876+I1876&gt;N(F1876)+G1876,"ABNORMAL",IF(COUNTIFS($A$2:$A$2001,A1876,$B$2:$B$2001,B1876,$C$2:$C$2001,C1876,$D$2:$D$2001,D1876)&gt;1,"DUPLIKAT","OK"))))</f>
        <v/>
      </c>
    </row>
    <row r="1877">
      <c r="A1877" s="4" t="n"/>
      <c r="B1877" s="5" t="n"/>
      <c r="C1877" s="5" t="n"/>
      <c r="D1877" s="5" t="n"/>
      <c r="E1877" s="6">
        <f>IF(A1877="","","B"&amp;TEXT(COUNT($A$2:A1877),"00000"))</f>
        <v/>
      </c>
      <c r="F1877" s="6">
        <f>IF(OR(C1877="",D1877=""),"",IFERROR(LOOKUP(2,1/(($C$1:C1876=C1877)*($D$1:D1876=D1877)*ISNUMBER($J$1:J1876)),$J$1:J1876),SUMIFS(Master!$G$2:$G$13,Master!$E$2:$E$13,C1877,Master!$F$2:$F$13,D1877)))</f>
        <v/>
      </c>
      <c r="G1877" s="5" t="n"/>
      <c r="H1877" s="5" t="n"/>
      <c r="I1877" s="5" t="n"/>
      <c r="J1877" s="6">
        <f>IF(OR(F1877="",COUNT(G1877:I1877)&lt;3),"",F1877+G1877-H1877-I1877)</f>
        <v/>
      </c>
      <c r="K1877" s="6">
        <f>IF(COUNTA(A1877:D1877,G1877:I1877)=0,"",IF(COUNTA(A1877:D1877,G1877:I1877)&lt;7,"LENGKAPI",IF(H1877+I1877&gt;N(F1877)+G1877,"ABNORMAL",IF(COUNTIFS($A$2:$A$2001,A1877,$B$2:$B$2001,B1877,$C$2:$C$2001,C1877,$D$2:$D$2001,D1877)&gt;1,"DUPLIKAT","OK"))))</f>
        <v/>
      </c>
    </row>
    <row r="1878">
      <c r="A1878" s="4" t="n"/>
      <c r="B1878" s="5" t="n"/>
      <c r="C1878" s="5" t="n"/>
      <c r="D1878" s="5" t="n"/>
      <c r="E1878" s="6">
        <f>IF(A1878="","","B"&amp;TEXT(COUNT($A$2:A1878),"00000"))</f>
        <v/>
      </c>
      <c r="F1878" s="6">
        <f>IF(OR(C1878="",D1878=""),"",IFERROR(LOOKUP(2,1/(($C$1:C1877=C1878)*($D$1:D1877=D1878)*ISNUMBER($J$1:J1877)),$J$1:J1877),SUMIFS(Master!$G$2:$G$13,Master!$E$2:$E$13,C1878,Master!$F$2:$F$13,D1878)))</f>
        <v/>
      </c>
      <c r="G1878" s="5" t="n"/>
      <c r="H1878" s="5" t="n"/>
      <c r="I1878" s="5" t="n"/>
      <c r="J1878" s="6">
        <f>IF(OR(F1878="",COUNT(G1878:I1878)&lt;3),"",F1878+G1878-H1878-I1878)</f>
        <v/>
      </c>
      <c r="K1878" s="6">
        <f>IF(COUNTA(A1878:D1878,G1878:I1878)=0,"",IF(COUNTA(A1878:D1878,G1878:I1878)&lt;7,"LENGKAPI",IF(H1878+I1878&gt;N(F1878)+G1878,"ABNORMAL",IF(COUNTIFS($A$2:$A$2001,A1878,$B$2:$B$2001,B1878,$C$2:$C$2001,C1878,$D$2:$D$2001,D1878)&gt;1,"DUPLIKAT","OK"))))</f>
        <v/>
      </c>
    </row>
    <row r="1879">
      <c r="A1879" s="4" t="n"/>
      <c r="B1879" s="5" t="n"/>
      <c r="C1879" s="5" t="n"/>
      <c r="D1879" s="5" t="n"/>
      <c r="E1879" s="6">
        <f>IF(A1879="","","B"&amp;TEXT(COUNT($A$2:A1879),"00000"))</f>
        <v/>
      </c>
      <c r="F1879" s="6">
        <f>IF(OR(C1879="",D1879=""),"",IFERROR(LOOKUP(2,1/(($C$1:C1878=C1879)*($D$1:D1878=D1879)*ISNUMBER($J$1:J1878)),$J$1:J1878),SUMIFS(Master!$G$2:$G$13,Master!$E$2:$E$13,C1879,Master!$F$2:$F$13,D1879)))</f>
        <v/>
      </c>
      <c r="G1879" s="5" t="n"/>
      <c r="H1879" s="5" t="n"/>
      <c r="I1879" s="5" t="n"/>
      <c r="J1879" s="6">
        <f>IF(OR(F1879="",COUNT(G1879:I1879)&lt;3),"",F1879+G1879-H1879-I1879)</f>
        <v/>
      </c>
      <c r="K1879" s="6">
        <f>IF(COUNTA(A1879:D1879,G1879:I1879)=0,"",IF(COUNTA(A1879:D1879,G1879:I1879)&lt;7,"LENGKAPI",IF(H1879+I1879&gt;N(F1879)+G1879,"ABNORMAL",IF(COUNTIFS($A$2:$A$2001,A1879,$B$2:$B$2001,B1879,$C$2:$C$2001,C1879,$D$2:$D$2001,D1879)&gt;1,"DUPLIKAT","OK"))))</f>
        <v/>
      </c>
    </row>
    <row r="1880">
      <c r="A1880" s="4" t="n"/>
      <c r="B1880" s="5" t="n"/>
      <c r="C1880" s="5" t="n"/>
      <c r="D1880" s="5" t="n"/>
      <c r="E1880" s="6">
        <f>IF(A1880="","","B"&amp;TEXT(COUNT($A$2:A1880),"00000"))</f>
        <v/>
      </c>
      <c r="F1880" s="6">
        <f>IF(OR(C1880="",D1880=""),"",IFERROR(LOOKUP(2,1/(($C$1:C1879=C1880)*($D$1:D1879=D1880)*ISNUMBER($J$1:J1879)),$J$1:J1879),SUMIFS(Master!$G$2:$G$13,Master!$E$2:$E$13,C1880,Master!$F$2:$F$13,D1880)))</f>
        <v/>
      </c>
      <c r="G1880" s="5" t="n"/>
      <c r="H1880" s="5" t="n"/>
      <c r="I1880" s="5" t="n"/>
      <c r="J1880" s="6">
        <f>IF(OR(F1880="",COUNT(G1880:I1880)&lt;3),"",F1880+G1880-H1880-I1880)</f>
        <v/>
      </c>
      <c r="K1880" s="6">
        <f>IF(COUNTA(A1880:D1880,G1880:I1880)=0,"",IF(COUNTA(A1880:D1880,G1880:I1880)&lt;7,"LENGKAPI",IF(H1880+I1880&gt;N(F1880)+G1880,"ABNORMAL",IF(COUNTIFS($A$2:$A$2001,A1880,$B$2:$B$2001,B1880,$C$2:$C$2001,C1880,$D$2:$D$2001,D1880)&gt;1,"DUPLIKAT","OK"))))</f>
        <v/>
      </c>
    </row>
    <row r="1881">
      <c r="A1881" s="4" t="n"/>
      <c r="B1881" s="5" t="n"/>
      <c r="C1881" s="5" t="n"/>
      <c r="D1881" s="5" t="n"/>
      <c r="E1881" s="6">
        <f>IF(A1881="","","B"&amp;TEXT(COUNT($A$2:A1881),"00000"))</f>
        <v/>
      </c>
      <c r="F1881" s="6">
        <f>IF(OR(C1881="",D1881=""),"",IFERROR(LOOKUP(2,1/(($C$1:C1880=C1881)*($D$1:D1880=D1881)*ISNUMBER($J$1:J1880)),$J$1:J1880),SUMIFS(Master!$G$2:$G$13,Master!$E$2:$E$13,C1881,Master!$F$2:$F$13,D1881)))</f>
        <v/>
      </c>
      <c r="G1881" s="5" t="n"/>
      <c r="H1881" s="5" t="n"/>
      <c r="I1881" s="5" t="n"/>
      <c r="J1881" s="6">
        <f>IF(OR(F1881="",COUNT(G1881:I1881)&lt;3),"",F1881+G1881-H1881-I1881)</f>
        <v/>
      </c>
      <c r="K1881" s="6">
        <f>IF(COUNTA(A1881:D1881,G1881:I1881)=0,"",IF(COUNTA(A1881:D1881,G1881:I1881)&lt;7,"LENGKAPI",IF(H1881+I1881&gt;N(F1881)+G1881,"ABNORMAL",IF(COUNTIFS($A$2:$A$2001,A1881,$B$2:$B$2001,B1881,$C$2:$C$2001,C1881,$D$2:$D$2001,D1881)&gt;1,"DUPLIKAT","OK"))))</f>
        <v/>
      </c>
    </row>
    <row r="1882">
      <c r="A1882" s="4" t="n"/>
      <c r="B1882" s="5" t="n"/>
      <c r="C1882" s="5" t="n"/>
      <c r="D1882" s="5" t="n"/>
      <c r="E1882" s="6">
        <f>IF(A1882="","","B"&amp;TEXT(COUNT($A$2:A1882),"00000"))</f>
        <v/>
      </c>
      <c r="F1882" s="6">
        <f>IF(OR(C1882="",D1882=""),"",IFERROR(LOOKUP(2,1/(($C$1:C1881=C1882)*($D$1:D1881=D1882)*ISNUMBER($J$1:J1881)),$J$1:J1881),SUMIFS(Master!$G$2:$G$13,Master!$E$2:$E$13,C1882,Master!$F$2:$F$13,D1882)))</f>
        <v/>
      </c>
      <c r="G1882" s="5" t="n"/>
      <c r="H1882" s="5" t="n"/>
      <c r="I1882" s="5" t="n"/>
      <c r="J1882" s="6">
        <f>IF(OR(F1882="",COUNT(G1882:I1882)&lt;3),"",F1882+G1882-H1882-I1882)</f>
        <v/>
      </c>
      <c r="K1882" s="6">
        <f>IF(COUNTA(A1882:D1882,G1882:I1882)=0,"",IF(COUNTA(A1882:D1882,G1882:I1882)&lt;7,"LENGKAPI",IF(H1882+I1882&gt;N(F1882)+G1882,"ABNORMAL",IF(COUNTIFS($A$2:$A$2001,A1882,$B$2:$B$2001,B1882,$C$2:$C$2001,C1882,$D$2:$D$2001,D1882)&gt;1,"DUPLIKAT","OK"))))</f>
        <v/>
      </c>
    </row>
    <row r="1883">
      <c r="A1883" s="4" t="n"/>
      <c r="B1883" s="5" t="n"/>
      <c r="C1883" s="5" t="n"/>
      <c r="D1883" s="5" t="n"/>
      <c r="E1883" s="6">
        <f>IF(A1883="","","B"&amp;TEXT(COUNT($A$2:A1883),"00000"))</f>
        <v/>
      </c>
      <c r="F1883" s="6">
        <f>IF(OR(C1883="",D1883=""),"",IFERROR(LOOKUP(2,1/(($C$1:C1882=C1883)*($D$1:D1882=D1883)*ISNUMBER($J$1:J1882)),$J$1:J1882),SUMIFS(Master!$G$2:$G$13,Master!$E$2:$E$13,C1883,Master!$F$2:$F$13,D1883)))</f>
        <v/>
      </c>
      <c r="G1883" s="5" t="n"/>
      <c r="H1883" s="5" t="n"/>
      <c r="I1883" s="5" t="n"/>
      <c r="J1883" s="6">
        <f>IF(OR(F1883="",COUNT(G1883:I1883)&lt;3),"",F1883+G1883-H1883-I1883)</f>
        <v/>
      </c>
      <c r="K1883" s="6">
        <f>IF(COUNTA(A1883:D1883,G1883:I1883)=0,"",IF(COUNTA(A1883:D1883,G1883:I1883)&lt;7,"LENGKAPI",IF(H1883+I1883&gt;N(F1883)+G1883,"ABNORMAL",IF(COUNTIFS($A$2:$A$2001,A1883,$B$2:$B$2001,B1883,$C$2:$C$2001,C1883,$D$2:$D$2001,D1883)&gt;1,"DUPLIKAT","OK"))))</f>
        <v/>
      </c>
    </row>
    <row r="1884">
      <c r="A1884" s="4" t="n"/>
      <c r="B1884" s="5" t="n"/>
      <c r="C1884" s="5" t="n"/>
      <c r="D1884" s="5" t="n"/>
      <c r="E1884" s="6">
        <f>IF(A1884="","","B"&amp;TEXT(COUNT($A$2:A1884),"00000"))</f>
        <v/>
      </c>
      <c r="F1884" s="6">
        <f>IF(OR(C1884="",D1884=""),"",IFERROR(LOOKUP(2,1/(($C$1:C1883=C1884)*($D$1:D1883=D1884)*ISNUMBER($J$1:J1883)),$J$1:J1883),SUMIFS(Master!$G$2:$G$13,Master!$E$2:$E$13,C1884,Master!$F$2:$F$13,D1884)))</f>
        <v/>
      </c>
      <c r="G1884" s="5" t="n"/>
      <c r="H1884" s="5" t="n"/>
      <c r="I1884" s="5" t="n"/>
      <c r="J1884" s="6">
        <f>IF(OR(F1884="",COUNT(G1884:I1884)&lt;3),"",F1884+G1884-H1884-I1884)</f>
        <v/>
      </c>
      <c r="K1884" s="6">
        <f>IF(COUNTA(A1884:D1884,G1884:I1884)=0,"",IF(COUNTA(A1884:D1884,G1884:I1884)&lt;7,"LENGKAPI",IF(H1884+I1884&gt;N(F1884)+G1884,"ABNORMAL",IF(COUNTIFS($A$2:$A$2001,A1884,$B$2:$B$2001,B1884,$C$2:$C$2001,C1884,$D$2:$D$2001,D1884)&gt;1,"DUPLIKAT","OK"))))</f>
        <v/>
      </c>
    </row>
    <row r="1885">
      <c r="A1885" s="4" t="n"/>
      <c r="B1885" s="5" t="n"/>
      <c r="C1885" s="5" t="n"/>
      <c r="D1885" s="5" t="n"/>
      <c r="E1885" s="6">
        <f>IF(A1885="","","B"&amp;TEXT(COUNT($A$2:A1885),"00000"))</f>
        <v/>
      </c>
      <c r="F1885" s="6">
        <f>IF(OR(C1885="",D1885=""),"",IFERROR(LOOKUP(2,1/(($C$1:C1884=C1885)*($D$1:D1884=D1885)*ISNUMBER($J$1:J1884)),$J$1:J1884),SUMIFS(Master!$G$2:$G$13,Master!$E$2:$E$13,C1885,Master!$F$2:$F$13,D1885)))</f>
        <v/>
      </c>
      <c r="G1885" s="5" t="n"/>
      <c r="H1885" s="5" t="n"/>
      <c r="I1885" s="5" t="n"/>
      <c r="J1885" s="6">
        <f>IF(OR(F1885="",COUNT(G1885:I1885)&lt;3),"",F1885+G1885-H1885-I1885)</f>
        <v/>
      </c>
      <c r="K1885" s="6">
        <f>IF(COUNTA(A1885:D1885,G1885:I1885)=0,"",IF(COUNTA(A1885:D1885,G1885:I1885)&lt;7,"LENGKAPI",IF(H1885+I1885&gt;N(F1885)+G1885,"ABNORMAL",IF(COUNTIFS($A$2:$A$2001,A1885,$B$2:$B$2001,B1885,$C$2:$C$2001,C1885,$D$2:$D$2001,D1885)&gt;1,"DUPLIKAT","OK"))))</f>
        <v/>
      </c>
    </row>
    <row r="1886">
      <c r="A1886" s="4" t="n"/>
      <c r="B1886" s="5" t="n"/>
      <c r="C1886" s="5" t="n"/>
      <c r="D1886" s="5" t="n"/>
      <c r="E1886" s="6">
        <f>IF(A1886="","","B"&amp;TEXT(COUNT($A$2:A1886),"00000"))</f>
        <v/>
      </c>
      <c r="F1886" s="6">
        <f>IF(OR(C1886="",D1886=""),"",IFERROR(LOOKUP(2,1/(($C$1:C1885=C1886)*($D$1:D1885=D1886)*ISNUMBER($J$1:J1885)),$J$1:J1885),SUMIFS(Master!$G$2:$G$13,Master!$E$2:$E$13,C1886,Master!$F$2:$F$13,D1886)))</f>
        <v/>
      </c>
      <c r="G1886" s="5" t="n"/>
      <c r="H1886" s="5" t="n"/>
      <c r="I1886" s="5" t="n"/>
      <c r="J1886" s="6">
        <f>IF(OR(F1886="",COUNT(G1886:I1886)&lt;3),"",F1886+G1886-H1886-I1886)</f>
        <v/>
      </c>
      <c r="K1886" s="6">
        <f>IF(COUNTA(A1886:D1886,G1886:I1886)=0,"",IF(COUNTA(A1886:D1886,G1886:I1886)&lt;7,"LENGKAPI",IF(H1886+I1886&gt;N(F1886)+G1886,"ABNORMAL",IF(COUNTIFS($A$2:$A$2001,A1886,$B$2:$B$2001,B1886,$C$2:$C$2001,C1886,$D$2:$D$2001,D1886)&gt;1,"DUPLIKAT","OK"))))</f>
        <v/>
      </c>
    </row>
    <row r="1887">
      <c r="A1887" s="4" t="n"/>
      <c r="B1887" s="5" t="n"/>
      <c r="C1887" s="5" t="n"/>
      <c r="D1887" s="5" t="n"/>
      <c r="E1887" s="6">
        <f>IF(A1887="","","B"&amp;TEXT(COUNT($A$2:A1887),"00000"))</f>
        <v/>
      </c>
      <c r="F1887" s="6">
        <f>IF(OR(C1887="",D1887=""),"",IFERROR(LOOKUP(2,1/(($C$1:C1886=C1887)*($D$1:D1886=D1887)*ISNUMBER($J$1:J1886)),$J$1:J1886),SUMIFS(Master!$G$2:$G$13,Master!$E$2:$E$13,C1887,Master!$F$2:$F$13,D1887)))</f>
        <v/>
      </c>
      <c r="G1887" s="5" t="n"/>
      <c r="H1887" s="5" t="n"/>
      <c r="I1887" s="5" t="n"/>
      <c r="J1887" s="6">
        <f>IF(OR(F1887="",COUNT(G1887:I1887)&lt;3),"",F1887+G1887-H1887-I1887)</f>
        <v/>
      </c>
      <c r="K1887" s="6">
        <f>IF(COUNTA(A1887:D1887,G1887:I1887)=0,"",IF(COUNTA(A1887:D1887,G1887:I1887)&lt;7,"LENGKAPI",IF(H1887+I1887&gt;N(F1887)+G1887,"ABNORMAL",IF(COUNTIFS($A$2:$A$2001,A1887,$B$2:$B$2001,B1887,$C$2:$C$2001,C1887,$D$2:$D$2001,D1887)&gt;1,"DUPLIKAT","OK"))))</f>
        <v/>
      </c>
    </row>
    <row r="1888">
      <c r="A1888" s="4" t="n"/>
      <c r="B1888" s="5" t="n"/>
      <c r="C1888" s="5" t="n"/>
      <c r="D1888" s="5" t="n"/>
      <c r="E1888" s="6">
        <f>IF(A1888="","","B"&amp;TEXT(COUNT($A$2:A1888),"00000"))</f>
        <v/>
      </c>
      <c r="F1888" s="6">
        <f>IF(OR(C1888="",D1888=""),"",IFERROR(LOOKUP(2,1/(($C$1:C1887=C1888)*($D$1:D1887=D1888)*ISNUMBER($J$1:J1887)),$J$1:J1887),SUMIFS(Master!$G$2:$G$13,Master!$E$2:$E$13,C1888,Master!$F$2:$F$13,D1888)))</f>
        <v/>
      </c>
      <c r="G1888" s="5" t="n"/>
      <c r="H1888" s="5" t="n"/>
      <c r="I1888" s="5" t="n"/>
      <c r="J1888" s="6">
        <f>IF(OR(F1888="",COUNT(G1888:I1888)&lt;3),"",F1888+G1888-H1888-I1888)</f>
        <v/>
      </c>
      <c r="K1888" s="6">
        <f>IF(COUNTA(A1888:D1888,G1888:I1888)=0,"",IF(COUNTA(A1888:D1888,G1888:I1888)&lt;7,"LENGKAPI",IF(H1888+I1888&gt;N(F1888)+G1888,"ABNORMAL",IF(COUNTIFS($A$2:$A$2001,A1888,$B$2:$B$2001,B1888,$C$2:$C$2001,C1888,$D$2:$D$2001,D1888)&gt;1,"DUPLIKAT","OK"))))</f>
        <v/>
      </c>
    </row>
    <row r="1889">
      <c r="A1889" s="4" t="n"/>
      <c r="B1889" s="5" t="n"/>
      <c r="C1889" s="5" t="n"/>
      <c r="D1889" s="5" t="n"/>
      <c r="E1889" s="6">
        <f>IF(A1889="","","B"&amp;TEXT(COUNT($A$2:A1889),"00000"))</f>
        <v/>
      </c>
      <c r="F1889" s="6">
        <f>IF(OR(C1889="",D1889=""),"",IFERROR(LOOKUP(2,1/(($C$1:C1888=C1889)*($D$1:D1888=D1889)*ISNUMBER($J$1:J1888)),$J$1:J1888),SUMIFS(Master!$G$2:$G$13,Master!$E$2:$E$13,C1889,Master!$F$2:$F$13,D1889)))</f>
        <v/>
      </c>
      <c r="G1889" s="5" t="n"/>
      <c r="H1889" s="5" t="n"/>
      <c r="I1889" s="5" t="n"/>
      <c r="J1889" s="6">
        <f>IF(OR(F1889="",COUNT(G1889:I1889)&lt;3),"",F1889+G1889-H1889-I1889)</f>
        <v/>
      </c>
      <c r="K1889" s="6">
        <f>IF(COUNTA(A1889:D1889,G1889:I1889)=0,"",IF(COUNTA(A1889:D1889,G1889:I1889)&lt;7,"LENGKAPI",IF(H1889+I1889&gt;N(F1889)+G1889,"ABNORMAL",IF(COUNTIFS($A$2:$A$2001,A1889,$B$2:$B$2001,B1889,$C$2:$C$2001,C1889,$D$2:$D$2001,D1889)&gt;1,"DUPLIKAT","OK"))))</f>
        <v/>
      </c>
    </row>
    <row r="1890">
      <c r="A1890" s="4" t="n"/>
      <c r="B1890" s="5" t="n"/>
      <c r="C1890" s="5" t="n"/>
      <c r="D1890" s="5" t="n"/>
      <c r="E1890" s="6">
        <f>IF(A1890="","","B"&amp;TEXT(COUNT($A$2:A1890),"00000"))</f>
        <v/>
      </c>
      <c r="F1890" s="6">
        <f>IF(OR(C1890="",D1890=""),"",IFERROR(LOOKUP(2,1/(($C$1:C1889=C1890)*($D$1:D1889=D1890)*ISNUMBER($J$1:J1889)),$J$1:J1889),SUMIFS(Master!$G$2:$G$13,Master!$E$2:$E$13,C1890,Master!$F$2:$F$13,D1890)))</f>
        <v/>
      </c>
      <c r="G1890" s="5" t="n"/>
      <c r="H1890" s="5" t="n"/>
      <c r="I1890" s="5" t="n"/>
      <c r="J1890" s="6">
        <f>IF(OR(F1890="",COUNT(G1890:I1890)&lt;3),"",F1890+G1890-H1890-I1890)</f>
        <v/>
      </c>
      <c r="K1890" s="6">
        <f>IF(COUNTA(A1890:D1890,G1890:I1890)=0,"",IF(COUNTA(A1890:D1890,G1890:I1890)&lt;7,"LENGKAPI",IF(H1890+I1890&gt;N(F1890)+G1890,"ABNORMAL",IF(COUNTIFS($A$2:$A$2001,A1890,$B$2:$B$2001,B1890,$C$2:$C$2001,C1890,$D$2:$D$2001,D1890)&gt;1,"DUPLIKAT","OK"))))</f>
        <v/>
      </c>
    </row>
    <row r="1891">
      <c r="A1891" s="4" t="n"/>
      <c r="B1891" s="5" t="n"/>
      <c r="C1891" s="5" t="n"/>
      <c r="D1891" s="5" t="n"/>
      <c r="E1891" s="6">
        <f>IF(A1891="","","B"&amp;TEXT(COUNT($A$2:A1891),"00000"))</f>
        <v/>
      </c>
      <c r="F1891" s="6">
        <f>IF(OR(C1891="",D1891=""),"",IFERROR(LOOKUP(2,1/(($C$1:C1890=C1891)*($D$1:D1890=D1891)*ISNUMBER($J$1:J1890)),$J$1:J1890),SUMIFS(Master!$G$2:$G$13,Master!$E$2:$E$13,C1891,Master!$F$2:$F$13,D1891)))</f>
        <v/>
      </c>
      <c r="G1891" s="5" t="n"/>
      <c r="H1891" s="5" t="n"/>
      <c r="I1891" s="5" t="n"/>
      <c r="J1891" s="6">
        <f>IF(OR(F1891="",COUNT(G1891:I1891)&lt;3),"",F1891+G1891-H1891-I1891)</f>
        <v/>
      </c>
      <c r="K1891" s="6">
        <f>IF(COUNTA(A1891:D1891,G1891:I1891)=0,"",IF(COUNTA(A1891:D1891,G1891:I1891)&lt;7,"LENGKAPI",IF(H1891+I1891&gt;N(F1891)+G1891,"ABNORMAL",IF(COUNTIFS($A$2:$A$2001,A1891,$B$2:$B$2001,B1891,$C$2:$C$2001,C1891,$D$2:$D$2001,D1891)&gt;1,"DUPLIKAT","OK"))))</f>
        <v/>
      </c>
    </row>
    <row r="1892">
      <c r="A1892" s="4" t="n"/>
      <c r="B1892" s="5" t="n"/>
      <c r="C1892" s="5" t="n"/>
      <c r="D1892" s="5" t="n"/>
      <c r="E1892" s="6">
        <f>IF(A1892="","","B"&amp;TEXT(COUNT($A$2:A1892),"00000"))</f>
        <v/>
      </c>
      <c r="F1892" s="6">
        <f>IF(OR(C1892="",D1892=""),"",IFERROR(LOOKUP(2,1/(($C$1:C1891=C1892)*($D$1:D1891=D1892)*ISNUMBER($J$1:J1891)),$J$1:J1891),SUMIFS(Master!$G$2:$G$13,Master!$E$2:$E$13,C1892,Master!$F$2:$F$13,D1892)))</f>
        <v/>
      </c>
      <c r="G1892" s="5" t="n"/>
      <c r="H1892" s="5" t="n"/>
      <c r="I1892" s="5" t="n"/>
      <c r="J1892" s="6">
        <f>IF(OR(F1892="",COUNT(G1892:I1892)&lt;3),"",F1892+G1892-H1892-I1892)</f>
        <v/>
      </c>
      <c r="K1892" s="6">
        <f>IF(COUNTA(A1892:D1892,G1892:I1892)=0,"",IF(COUNTA(A1892:D1892,G1892:I1892)&lt;7,"LENGKAPI",IF(H1892+I1892&gt;N(F1892)+G1892,"ABNORMAL",IF(COUNTIFS($A$2:$A$2001,A1892,$B$2:$B$2001,B1892,$C$2:$C$2001,C1892,$D$2:$D$2001,D1892)&gt;1,"DUPLIKAT","OK"))))</f>
        <v/>
      </c>
    </row>
    <row r="1893">
      <c r="A1893" s="4" t="n"/>
      <c r="B1893" s="5" t="n"/>
      <c r="C1893" s="5" t="n"/>
      <c r="D1893" s="5" t="n"/>
      <c r="E1893" s="6">
        <f>IF(A1893="","","B"&amp;TEXT(COUNT($A$2:A1893),"00000"))</f>
        <v/>
      </c>
      <c r="F1893" s="6">
        <f>IF(OR(C1893="",D1893=""),"",IFERROR(LOOKUP(2,1/(($C$1:C1892=C1893)*($D$1:D1892=D1893)*ISNUMBER($J$1:J1892)),$J$1:J1892),SUMIFS(Master!$G$2:$G$13,Master!$E$2:$E$13,C1893,Master!$F$2:$F$13,D1893)))</f>
        <v/>
      </c>
      <c r="G1893" s="5" t="n"/>
      <c r="H1893" s="5" t="n"/>
      <c r="I1893" s="5" t="n"/>
      <c r="J1893" s="6">
        <f>IF(OR(F1893="",COUNT(G1893:I1893)&lt;3),"",F1893+G1893-H1893-I1893)</f>
        <v/>
      </c>
      <c r="K1893" s="6">
        <f>IF(COUNTA(A1893:D1893,G1893:I1893)=0,"",IF(COUNTA(A1893:D1893,G1893:I1893)&lt;7,"LENGKAPI",IF(H1893+I1893&gt;N(F1893)+G1893,"ABNORMAL",IF(COUNTIFS($A$2:$A$2001,A1893,$B$2:$B$2001,B1893,$C$2:$C$2001,C1893,$D$2:$D$2001,D1893)&gt;1,"DUPLIKAT","OK"))))</f>
        <v/>
      </c>
    </row>
    <row r="1894">
      <c r="A1894" s="4" t="n"/>
      <c r="B1894" s="5" t="n"/>
      <c r="C1894" s="5" t="n"/>
      <c r="D1894" s="5" t="n"/>
      <c r="E1894" s="6">
        <f>IF(A1894="","","B"&amp;TEXT(COUNT($A$2:A1894),"00000"))</f>
        <v/>
      </c>
      <c r="F1894" s="6">
        <f>IF(OR(C1894="",D1894=""),"",IFERROR(LOOKUP(2,1/(($C$1:C1893=C1894)*($D$1:D1893=D1894)*ISNUMBER($J$1:J1893)),$J$1:J1893),SUMIFS(Master!$G$2:$G$13,Master!$E$2:$E$13,C1894,Master!$F$2:$F$13,D1894)))</f>
        <v/>
      </c>
      <c r="G1894" s="5" t="n"/>
      <c r="H1894" s="5" t="n"/>
      <c r="I1894" s="5" t="n"/>
      <c r="J1894" s="6">
        <f>IF(OR(F1894="",COUNT(G1894:I1894)&lt;3),"",F1894+G1894-H1894-I1894)</f>
        <v/>
      </c>
      <c r="K1894" s="6">
        <f>IF(COUNTA(A1894:D1894,G1894:I1894)=0,"",IF(COUNTA(A1894:D1894,G1894:I1894)&lt;7,"LENGKAPI",IF(H1894+I1894&gt;N(F1894)+G1894,"ABNORMAL",IF(COUNTIFS($A$2:$A$2001,A1894,$B$2:$B$2001,B1894,$C$2:$C$2001,C1894,$D$2:$D$2001,D1894)&gt;1,"DUPLIKAT","OK"))))</f>
        <v/>
      </c>
    </row>
    <row r="1895">
      <c r="A1895" s="4" t="n"/>
      <c r="B1895" s="5" t="n"/>
      <c r="C1895" s="5" t="n"/>
      <c r="D1895" s="5" t="n"/>
      <c r="E1895" s="6">
        <f>IF(A1895="","","B"&amp;TEXT(COUNT($A$2:A1895),"00000"))</f>
        <v/>
      </c>
      <c r="F1895" s="6">
        <f>IF(OR(C1895="",D1895=""),"",IFERROR(LOOKUP(2,1/(($C$1:C1894=C1895)*($D$1:D1894=D1895)*ISNUMBER($J$1:J1894)),$J$1:J1894),SUMIFS(Master!$G$2:$G$13,Master!$E$2:$E$13,C1895,Master!$F$2:$F$13,D1895)))</f>
        <v/>
      </c>
      <c r="G1895" s="5" t="n"/>
      <c r="H1895" s="5" t="n"/>
      <c r="I1895" s="5" t="n"/>
      <c r="J1895" s="6">
        <f>IF(OR(F1895="",COUNT(G1895:I1895)&lt;3),"",F1895+G1895-H1895-I1895)</f>
        <v/>
      </c>
      <c r="K1895" s="6">
        <f>IF(COUNTA(A1895:D1895,G1895:I1895)=0,"",IF(COUNTA(A1895:D1895,G1895:I1895)&lt;7,"LENGKAPI",IF(H1895+I1895&gt;N(F1895)+G1895,"ABNORMAL",IF(COUNTIFS($A$2:$A$2001,A1895,$B$2:$B$2001,B1895,$C$2:$C$2001,C1895,$D$2:$D$2001,D1895)&gt;1,"DUPLIKAT","OK"))))</f>
        <v/>
      </c>
    </row>
    <row r="1896">
      <c r="A1896" s="4" t="n"/>
      <c r="B1896" s="5" t="n"/>
      <c r="C1896" s="5" t="n"/>
      <c r="D1896" s="5" t="n"/>
      <c r="E1896" s="6">
        <f>IF(A1896="","","B"&amp;TEXT(COUNT($A$2:A1896),"00000"))</f>
        <v/>
      </c>
      <c r="F1896" s="6">
        <f>IF(OR(C1896="",D1896=""),"",IFERROR(LOOKUP(2,1/(($C$1:C1895=C1896)*($D$1:D1895=D1896)*ISNUMBER($J$1:J1895)),$J$1:J1895),SUMIFS(Master!$G$2:$G$13,Master!$E$2:$E$13,C1896,Master!$F$2:$F$13,D1896)))</f>
        <v/>
      </c>
      <c r="G1896" s="5" t="n"/>
      <c r="H1896" s="5" t="n"/>
      <c r="I1896" s="5" t="n"/>
      <c r="J1896" s="6">
        <f>IF(OR(F1896="",COUNT(G1896:I1896)&lt;3),"",F1896+G1896-H1896-I1896)</f>
        <v/>
      </c>
      <c r="K1896" s="6">
        <f>IF(COUNTA(A1896:D1896,G1896:I1896)=0,"",IF(COUNTA(A1896:D1896,G1896:I1896)&lt;7,"LENGKAPI",IF(H1896+I1896&gt;N(F1896)+G1896,"ABNORMAL",IF(COUNTIFS($A$2:$A$2001,A1896,$B$2:$B$2001,B1896,$C$2:$C$2001,C1896,$D$2:$D$2001,D1896)&gt;1,"DUPLIKAT","OK"))))</f>
        <v/>
      </c>
    </row>
    <row r="1897">
      <c r="A1897" s="4" t="n"/>
      <c r="B1897" s="5" t="n"/>
      <c r="C1897" s="5" t="n"/>
      <c r="D1897" s="5" t="n"/>
      <c r="E1897" s="6">
        <f>IF(A1897="","","B"&amp;TEXT(COUNT($A$2:A1897),"00000"))</f>
        <v/>
      </c>
      <c r="F1897" s="6">
        <f>IF(OR(C1897="",D1897=""),"",IFERROR(LOOKUP(2,1/(($C$1:C1896=C1897)*($D$1:D1896=D1897)*ISNUMBER($J$1:J1896)),$J$1:J1896),SUMIFS(Master!$G$2:$G$13,Master!$E$2:$E$13,C1897,Master!$F$2:$F$13,D1897)))</f>
        <v/>
      </c>
      <c r="G1897" s="5" t="n"/>
      <c r="H1897" s="5" t="n"/>
      <c r="I1897" s="5" t="n"/>
      <c r="J1897" s="6">
        <f>IF(OR(F1897="",COUNT(G1897:I1897)&lt;3),"",F1897+G1897-H1897-I1897)</f>
        <v/>
      </c>
      <c r="K1897" s="6">
        <f>IF(COUNTA(A1897:D1897,G1897:I1897)=0,"",IF(COUNTA(A1897:D1897,G1897:I1897)&lt;7,"LENGKAPI",IF(H1897+I1897&gt;N(F1897)+G1897,"ABNORMAL",IF(COUNTIFS($A$2:$A$2001,A1897,$B$2:$B$2001,B1897,$C$2:$C$2001,C1897,$D$2:$D$2001,D1897)&gt;1,"DUPLIKAT","OK"))))</f>
        <v/>
      </c>
    </row>
    <row r="1898">
      <c r="A1898" s="4" t="n"/>
      <c r="B1898" s="5" t="n"/>
      <c r="C1898" s="5" t="n"/>
      <c r="D1898" s="5" t="n"/>
      <c r="E1898" s="6">
        <f>IF(A1898="","","B"&amp;TEXT(COUNT($A$2:A1898),"00000"))</f>
        <v/>
      </c>
      <c r="F1898" s="6">
        <f>IF(OR(C1898="",D1898=""),"",IFERROR(LOOKUP(2,1/(($C$1:C1897=C1898)*($D$1:D1897=D1898)*ISNUMBER($J$1:J1897)),$J$1:J1897),SUMIFS(Master!$G$2:$G$13,Master!$E$2:$E$13,C1898,Master!$F$2:$F$13,D1898)))</f>
        <v/>
      </c>
      <c r="G1898" s="5" t="n"/>
      <c r="H1898" s="5" t="n"/>
      <c r="I1898" s="5" t="n"/>
      <c r="J1898" s="6">
        <f>IF(OR(F1898="",COUNT(G1898:I1898)&lt;3),"",F1898+G1898-H1898-I1898)</f>
        <v/>
      </c>
      <c r="K1898" s="6">
        <f>IF(COUNTA(A1898:D1898,G1898:I1898)=0,"",IF(COUNTA(A1898:D1898,G1898:I1898)&lt;7,"LENGKAPI",IF(H1898+I1898&gt;N(F1898)+G1898,"ABNORMAL",IF(COUNTIFS($A$2:$A$2001,A1898,$B$2:$B$2001,B1898,$C$2:$C$2001,C1898,$D$2:$D$2001,D1898)&gt;1,"DUPLIKAT","OK"))))</f>
        <v/>
      </c>
    </row>
    <row r="1899">
      <c r="A1899" s="4" t="n"/>
      <c r="B1899" s="5" t="n"/>
      <c r="C1899" s="5" t="n"/>
      <c r="D1899" s="5" t="n"/>
      <c r="E1899" s="6">
        <f>IF(A1899="","","B"&amp;TEXT(COUNT($A$2:A1899),"00000"))</f>
        <v/>
      </c>
      <c r="F1899" s="6">
        <f>IF(OR(C1899="",D1899=""),"",IFERROR(LOOKUP(2,1/(($C$1:C1898=C1899)*($D$1:D1898=D1899)*ISNUMBER($J$1:J1898)),$J$1:J1898),SUMIFS(Master!$G$2:$G$13,Master!$E$2:$E$13,C1899,Master!$F$2:$F$13,D1899)))</f>
        <v/>
      </c>
      <c r="G1899" s="5" t="n"/>
      <c r="H1899" s="5" t="n"/>
      <c r="I1899" s="5" t="n"/>
      <c r="J1899" s="6">
        <f>IF(OR(F1899="",COUNT(G1899:I1899)&lt;3),"",F1899+G1899-H1899-I1899)</f>
        <v/>
      </c>
      <c r="K1899" s="6">
        <f>IF(COUNTA(A1899:D1899,G1899:I1899)=0,"",IF(COUNTA(A1899:D1899,G1899:I1899)&lt;7,"LENGKAPI",IF(H1899+I1899&gt;N(F1899)+G1899,"ABNORMAL",IF(COUNTIFS($A$2:$A$2001,A1899,$B$2:$B$2001,B1899,$C$2:$C$2001,C1899,$D$2:$D$2001,D1899)&gt;1,"DUPLIKAT","OK"))))</f>
        <v/>
      </c>
    </row>
    <row r="1900">
      <c r="A1900" s="4" t="n"/>
      <c r="B1900" s="5" t="n"/>
      <c r="C1900" s="5" t="n"/>
      <c r="D1900" s="5" t="n"/>
      <c r="E1900" s="6">
        <f>IF(A1900="","","B"&amp;TEXT(COUNT($A$2:A1900),"00000"))</f>
        <v/>
      </c>
      <c r="F1900" s="6">
        <f>IF(OR(C1900="",D1900=""),"",IFERROR(LOOKUP(2,1/(($C$1:C1899=C1900)*($D$1:D1899=D1900)*ISNUMBER($J$1:J1899)),$J$1:J1899),SUMIFS(Master!$G$2:$G$13,Master!$E$2:$E$13,C1900,Master!$F$2:$F$13,D1900)))</f>
        <v/>
      </c>
      <c r="G1900" s="5" t="n"/>
      <c r="H1900" s="5" t="n"/>
      <c r="I1900" s="5" t="n"/>
      <c r="J1900" s="6">
        <f>IF(OR(F1900="",COUNT(G1900:I1900)&lt;3),"",F1900+G1900-H1900-I1900)</f>
        <v/>
      </c>
      <c r="K1900" s="6">
        <f>IF(COUNTA(A1900:D1900,G1900:I1900)=0,"",IF(COUNTA(A1900:D1900,G1900:I1900)&lt;7,"LENGKAPI",IF(H1900+I1900&gt;N(F1900)+G1900,"ABNORMAL",IF(COUNTIFS($A$2:$A$2001,A1900,$B$2:$B$2001,B1900,$C$2:$C$2001,C1900,$D$2:$D$2001,D1900)&gt;1,"DUPLIKAT","OK"))))</f>
        <v/>
      </c>
    </row>
    <row r="1901">
      <c r="A1901" s="4" t="n"/>
      <c r="B1901" s="5" t="n"/>
      <c r="C1901" s="5" t="n"/>
      <c r="D1901" s="5" t="n"/>
      <c r="E1901" s="6">
        <f>IF(A1901="","","B"&amp;TEXT(COUNT($A$2:A1901),"00000"))</f>
        <v/>
      </c>
      <c r="F1901" s="6">
        <f>IF(OR(C1901="",D1901=""),"",IFERROR(LOOKUP(2,1/(($C$1:C1900=C1901)*($D$1:D1900=D1901)*ISNUMBER($J$1:J1900)),$J$1:J1900),SUMIFS(Master!$G$2:$G$13,Master!$E$2:$E$13,C1901,Master!$F$2:$F$13,D1901)))</f>
        <v/>
      </c>
      <c r="G1901" s="5" t="n"/>
      <c r="H1901" s="5" t="n"/>
      <c r="I1901" s="5" t="n"/>
      <c r="J1901" s="6">
        <f>IF(OR(F1901="",COUNT(G1901:I1901)&lt;3),"",F1901+G1901-H1901-I1901)</f>
        <v/>
      </c>
      <c r="K1901" s="6">
        <f>IF(COUNTA(A1901:D1901,G1901:I1901)=0,"",IF(COUNTA(A1901:D1901,G1901:I1901)&lt;7,"LENGKAPI",IF(H1901+I1901&gt;N(F1901)+G1901,"ABNORMAL",IF(COUNTIFS($A$2:$A$2001,A1901,$B$2:$B$2001,B1901,$C$2:$C$2001,C1901,$D$2:$D$2001,D1901)&gt;1,"DUPLIKAT","OK"))))</f>
        <v/>
      </c>
    </row>
    <row r="1902">
      <c r="A1902" s="4" t="n"/>
      <c r="B1902" s="5" t="n"/>
      <c r="C1902" s="5" t="n"/>
      <c r="D1902" s="5" t="n"/>
      <c r="E1902" s="6">
        <f>IF(A1902="","","B"&amp;TEXT(COUNT($A$2:A1902),"00000"))</f>
        <v/>
      </c>
      <c r="F1902" s="6">
        <f>IF(OR(C1902="",D1902=""),"",IFERROR(LOOKUP(2,1/(($C$1:C1901=C1902)*($D$1:D1901=D1902)*ISNUMBER($J$1:J1901)),$J$1:J1901),SUMIFS(Master!$G$2:$G$13,Master!$E$2:$E$13,C1902,Master!$F$2:$F$13,D1902)))</f>
        <v/>
      </c>
      <c r="G1902" s="5" t="n"/>
      <c r="H1902" s="5" t="n"/>
      <c r="I1902" s="5" t="n"/>
      <c r="J1902" s="6">
        <f>IF(OR(F1902="",COUNT(G1902:I1902)&lt;3),"",F1902+G1902-H1902-I1902)</f>
        <v/>
      </c>
      <c r="K1902" s="6">
        <f>IF(COUNTA(A1902:D1902,G1902:I1902)=0,"",IF(COUNTA(A1902:D1902,G1902:I1902)&lt;7,"LENGKAPI",IF(H1902+I1902&gt;N(F1902)+G1902,"ABNORMAL",IF(COUNTIFS($A$2:$A$2001,A1902,$B$2:$B$2001,B1902,$C$2:$C$2001,C1902,$D$2:$D$2001,D1902)&gt;1,"DUPLIKAT","OK"))))</f>
        <v/>
      </c>
    </row>
    <row r="1903">
      <c r="A1903" s="4" t="n"/>
      <c r="B1903" s="5" t="n"/>
      <c r="C1903" s="5" t="n"/>
      <c r="D1903" s="5" t="n"/>
      <c r="E1903" s="6">
        <f>IF(A1903="","","B"&amp;TEXT(COUNT($A$2:A1903),"00000"))</f>
        <v/>
      </c>
      <c r="F1903" s="6">
        <f>IF(OR(C1903="",D1903=""),"",IFERROR(LOOKUP(2,1/(($C$1:C1902=C1903)*($D$1:D1902=D1903)*ISNUMBER($J$1:J1902)),$J$1:J1902),SUMIFS(Master!$G$2:$G$13,Master!$E$2:$E$13,C1903,Master!$F$2:$F$13,D1903)))</f>
        <v/>
      </c>
      <c r="G1903" s="5" t="n"/>
      <c r="H1903" s="5" t="n"/>
      <c r="I1903" s="5" t="n"/>
      <c r="J1903" s="6">
        <f>IF(OR(F1903="",COUNT(G1903:I1903)&lt;3),"",F1903+G1903-H1903-I1903)</f>
        <v/>
      </c>
      <c r="K1903" s="6">
        <f>IF(COUNTA(A1903:D1903,G1903:I1903)=0,"",IF(COUNTA(A1903:D1903,G1903:I1903)&lt;7,"LENGKAPI",IF(H1903+I1903&gt;N(F1903)+G1903,"ABNORMAL",IF(COUNTIFS($A$2:$A$2001,A1903,$B$2:$B$2001,B1903,$C$2:$C$2001,C1903,$D$2:$D$2001,D1903)&gt;1,"DUPLIKAT","OK"))))</f>
        <v/>
      </c>
    </row>
    <row r="1904">
      <c r="A1904" s="4" t="n"/>
      <c r="B1904" s="5" t="n"/>
      <c r="C1904" s="5" t="n"/>
      <c r="D1904" s="5" t="n"/>
      <c r="E1904" s="6">
        <f>IF(A1904="","","B"&amp;TEXT(COUNT($A$2:A1904),"00000"))</f>
        <v/>
      </c>
      <c r="F1904" s="6">
        <f>IF(OR(C1904="",D1904=""),"",IFERROR(LOOKUP(2,1/(($C$1:C1903=C1904)*($D$1:D1903=D1904)*ISNUMBER($J$1:J1903)),$J$1:J1903),SUMIFS(Master!$G$2:$G$13,Master!$E$2:$E$13,C1904,Master!$F$2:$F$13,D1904)))</f>
        <v/>
      </c>
      <c r="G1904" s="5" t="n"/>
      <c r="H1904" s="5" t="n"/>
      <c r="I1904" s="5" t="n"/>
      <c r="J1904" s="6">
        <f>IF(OR(F1904="",COUNT(G1904:I1904)&lt;3),"",F1904+G1904-H1904-I1904)</f>
        <v/>
      </c>
      <c r="K1904" s="6">
        <f>IF(COUNTA(A1904:D1904,G1904:I1904)=0,"",IF(COUNTA(A1904:D1904,G1904:I1904)&lt;7,"LENGKAPI",IF(H1904+I1904&gt;N(F1904)+G1904,"ABNORMAL",IF(COUNTIFS($A$2:$A$2001,A1904,$B$2:$B$2001,B1904,$C$2:$C$2001,C1904,$D$2:$D$2001,D1904)&gt;1,"DUPLIKAT","OK"))))</f>
        <v/>
      </c>
    </row>
    <row r="1905">
      <c r="A1905" s="4" t="n"/>
      <c r="B1905" s="5" t="n"/>
      <c r="C1905" s="5" t="n"/>
      <c r="D1905" s="5" t="n"/>
      <c r="E1905" s="6">
        <f>IF(A1905="","","B"&amp;TEXT(COUNT($A$2:A1905),"00000"))</f>
        <v/>
      </c>
      <c r="F1905" s="6">
        <f>IF(OR(C1905="",D1905=""),"",IFERROR(LOOKUP(2,1/(($C$1:C1904=C1905)*($D$1:D1904=D1905)*ISNUMBER($J$1:J1904)),$J$1:J1904),SUMIFS(Master!$G$2:$G$13,Master!$E$2:$E$13,C1905,Master!$F$2:$F$13,D1905)))</f>
        <v/>
      </c>
      <c r="G1905" s="5" t="n"/>
      <c r="H1905" s="5" t="n"/>
      <c r="I1905" s="5" t="n"/>
      <c r="J1905" s="6">
        <f>IF(OR(F1905="",COUNT(G1905:I1905)&lt;3),"",F1905+G1905-H1905-I1905)</f>
        <v/>
      </c>
      <c r="K1905" s="6">
        <f>IF(COUNTA(A1905:D1905,G1905:I1905)=0,"",IF(COUNTA(A1905:D1905,G1905:I1905)&lt;7,"LENGKAPI",IF(H1905+I1905&gt;N(F1905)+G1905,"ABNORMAL",IF(COUNTIFS($A$2:$A$2001,A1905,$B$2:$B$2001,B1905,$C$2:$C$2001,C1905,$D$2:$D$2001,D1905)&gt;1,"DUPLIKAT","OK"))))</f>
        <v/>
      </c>
    </row>
    <row r="1906">
      <c r="A1906" s="4" t="n"/>
      <c r="B1906" s="5" t="n"/>
      <c r="C1906" s="5" t="n"/>
      <c r="D1906" s="5" t="n"/>
      <c r="E1906" s="6">
        <f>IF(A1906="","","B"&amp;TEXT(COUNT($A$2:A1906),"00000"))</f>
        <v/>
      </c>
      <c r="F1906" s="6">
        <f>IF(OR(C1906="",D1906=""),"",IFERROR(LOOKUP(2,1/(($C$1:C1905=C1906)*($D$1:D1905=D1906)*ISNUMBER($J$1:J1905)),$J$1:J1905),SUMIFS(Master!$G$2:$G$13,Master!$E$2:$E$13,C1906,Master!$F$2:$F$13,D1906)))</f>
        <v/>
      </c>
      <c r="G1906" s="5" t="n"/>
      <c r="H1906" s="5" t="n"/>
      <c r="I1906" s="5" t="n"/>
      <c r="J1906" s="6">
        <f>IF(OR(F1906="",COUNT(G1906:I1906)&lt;3),"",F1906+G1906-H1906-I1906)</f>
        <v/>
      </c>
      <c r="K1906" s="6">
        <f>IF(COUNTA(A1906:D1906,G1906:I1906)=0,"",IF(COUNTA(A1906:D1906,G1906:I1906)&lt;7,"LENGKAPI",IF(H1906+I1906&gt;N(F1906)+G1906,"ABNORMAL",IF(COUNTIFS($A$2:$A$2001,A1906,$B$2:$B$2001,B1906,$C$2:$C$2001,C1906,$D$2:$D$2001,D1906)&gt;1,"DUPLIKAT","OK"))))</f>
        <v/>
      </c>
    </row>
    <row r="1907">
      <c r="A1907" s="4" t="n"/>
      <c r="B1907" s="5" t="n"/>
      <c r="C1907" s="5" t="n"/>
      <c r="D1907" s="5" t="n"/>
      <c r="E1907" s="6">
        <f>IF(A1907="","","B"&amp;TEXT(COUNT($A$2:A1907),"00000"))</f>
        <v/>
      </c>
      <c r="F1907" s="6">
        <f>IF(OR(C1907="",D1907=""),"",IFERROR(LOOKUP(2,1/(($C$1:C1906=C1907)*($D$1:D1906=D1907)*ISNUMBER($J$1:J1906)),$J$1:J1906),SUMIFS(Master!$G$2:$G$13,Master!$E$2:$E$13,C1907,Master!$F$2:$F$13,D1907)))</f>
        <v/>
      </c>
      <c r="G1907" s="5" t="n"/>
      <c r="H1907" s="5" t="n"/>
      <c r="I1907" s="5" t="n"/>
      <c r="J1907" s="6">
        <f>IF(OR(F1907="",COUNT(G1907:I1907)&lt;3),"",F1907+G1907-H1907-I1907)</f>
        <v/>
      </c>
      <c r="K1907" s="6">
        <f>IF(COUNTA(A1907:D1907,G1907:I1907)=0,"",IF(COUNTA(A1907:D1907,G1907:I1907)&lt;7,"LENGKAPI",IF(H1907+I1907&gt;N(F1907)+G1907,"ABNORMAL",IF(COUNTIFS($A$2:$A$2001,A1907,$B$2:$B$2001,B1907,$C$2:$C$2001,C1907,$D$2:$D$2001,D1907)&gt;1,"DUPLIKAT","OK"))))</f>
        <v/>
      </c>
    </row>
    <row r="1908">
      <c r="A1908" s="4" t="n"/>
      <c r="B1908" s="5" t="n"/>
      <c r="C1908" s="5" t="n"/>
      <c r="D1908" s="5" t="n"/>
      <c r="E1908" s="6">
        <f>IF(A1908="","","B"&amp;TEXT(COUNT($A$2:A1908),"00000"))</f>
        <v/>
      </c>
      <c r="F1908" s="6">
        <f>IF(OR(C1908="",D1908=""),"",IFERROR(LOOKUP(2,1/(($C$1:C1907=C1908)*($D$1:D1907=D1908)*ISNUMBER($J$1:J1907)),$J$1:J1907),SUMIFS(Master!$G$2:$G$13,Master!$E$2:$E$13,C1908,Master!$F$2:$F$13,D1908)))</f>
        <v/>
      </c>
      <c r="G1908" s="5" t="n"/>
      <c r="H1908" s="5" t="n"/>
      <c r="I1908" s="5" t="n"/>
      <c r="J1908" s="6">
        <f>IF(OR(F1908="",COUNT(G1908:I1908)&lt;3),"",F1908+G1908-H1908-I1908)</f>
        <v/>
      </c>
      <c r="K1908" s="6">
        <f>IF(COUNTA(A1908:D1908,G1908:I1908)=0,"",IF(COUNTA(A1908:D1908,G1908:I1908)&lt;7,"LENGKAPI",IF(H1908+I1908&gt;N(F1908)+G1908,"ABNORMAL",IF(COUNTIFS($A$2:$A$2001,A1908,$B$2:$B$2001,B1908,$C$2:$C$2001,C1908,$D$2:$D$2001,D1908)&gt;1,"DUPLIKAT","OK"))))</f>
        <v/>
      </c>
    </row>
    <row r="1909">
      <c r="A1909" s="4" t="n"/>
      <c r="B1909" s="5" t="n"/>
      <c r="C1909" s="5" t="n"/>
      <c r="D1909" s="5" t="n"/>
      <c r="E1909" s="6">
        <f>IF(A1909="","","B"&amp;TEXT(COUNT($A$2:A1909),"00000"))</f>
        <v/>
      </c>
      <c r="F1909" s="6">
        <f>IF(OR(C1909="",D1909=""),"",IFERROR(LOOKUP(2,1/(($C$1:C1908=C1909)*($D$1:D1908=D1909)*ISNUMBER($J$1:J1908)),$J$1:J1908),SUMIFS(Master!$G$2:$G$13,Master!$E$2:$E$13,C1909,Master!$F$2:$F$13,D1909)))</f>
        <v/>
      </c>
      <c r="G1909" s="5" t="n"/>
      <c r="H1909" s="5" t="n"/>
      <c r="I1909" s="5" t="n"/>
      <c r="J1909" s="6">
        <f>IF(OR(F1909="",COUNT(G1909:I1909)&lt;3),"",F1909+G1909-H1909-I1909)</f>
        <v/>
      </c>
      <c r="K1909" s="6">
        <f>IF(COUNTA(A1909:D1909,G1909:I1909)=0,"",IF(COUNTA(A1909:D1909,G1909:I1909)&lt;7,"LENGKAPI",IF(H1909+I1909&gt;N(F1909)+G1909,"ABNORMAL",IF(COUNTIFS($A$2:$A$2001,A1909,$B$2:$B$2001,B1909,$C$2:$C$2001,C1909,$D$2:$D$2001,D1909)&gt;1,"DUPLIKAT","OK"))))</f>
        <v/>
      </c>
    </row>
    <row r="1910">
      <c r="A1910" s="4" t="n"/>
      <c r="B1910" s="5" t="n"/>
      <c r="C1910" s="5" t="n"/>
      <c r="D1910" s="5" t="n"/>
      <c r="E1910" s="6">
        <f>IF(A1910="","","B"&amp;TEXT(COUNT($A$2:A1910),"00000"))</f>
        <v/>
      </c>
      <c r="F1910" s="6">
        <f>IF(OR(C1910="",D1910=""),"",IFERROR(LOOKUP(2,1/(($C$1:C1909=C1910)*($D$1:D1909=D1910)*ISNUMBER($J$1:J1909)),$J$1:J1909),SUMIFS(Master!$G$2:$G$13,Master!$E$2:$E$13,C1910,Master!$F$2:$F$13,D1910)))</f>
        <v/>
      </c>
      <c r="G1910" s="5" t="n"/>
      <c r="H1910" s="5" t="n"/>
      <c r="I1910" s="5" t="n"/>
      <c r="J1910" s="6">
        <f>IF(OR(F1910="",COUNT(G1910:I1910)&lt;3),"",F1910+G1910-H1910-I1910)</f>
        <v/>
      </c>
      <c r="K1910" s="6">
        <f>IF(COUNTA(A1910:D1910,G1910:I1910)=0,"",IF(COUNTA(A1910:D1910,G1910:I1910)&lt;7,"LENGKAPI",IF(H1910+I1910&gt;N(F1910)+G1910,"ABNORMAL",IF(COUNTIFS($A$2:$A$2001,A1910,$B$2:$B$2001,B1910,$C$2:$C$2001,C1910,$D$2:$D$2001,D1910)&gt;1,"DUPLIKAT","OK"))))</f>
        <v/>
      </c>
    </row>
    <row r="1911">
      <c r="A1911" s="4" t="n"/>
      <c r="B1911" s="5" t="n"/>
      <c r="C1911" s="5" t="n"/>
      <c r="D1911" s="5" t="n"/>
      <c r="E1911" s="6">
        <f>IF(A1911="","","B"&amp;TEXT(COUNT($A$2:A1911),"00000"))</f>
        <v/>
      </c>
      <c r="F1911" s="6">
        <f>IF(OR(C1911="",D1911=""),"",IFERROR(LOOKUP(2,1/(($C$1:C1910=C1911)*($D$1:D1910=D1911)*ISNUMBER($J$1:J1910)),$J$1:J1910),SUMIFS(Master!$G$2:$G$13,Master!$E$2:$E$13,C1911,Master!$F$2:$F$13,D1911)))</f>
        <v/>
      </c>
      <c r="G1911" s="5" t="n"/>
      <c r="H1911" s="5" t="n"/>
      <c r="I1911" s="5" t="n"/>
      <c r="J1911" s="6">
        <f>IF(OR(F1911="",COUNT(G1911:I1911)&lt;3),"",F1911+G1911-H1911-I1911)</f>
        <v/>
      </c>
      <c r="K1911" s="6">
        <f>IF(COUNTA(A1911:D1911,G1911:I1911)=0,"",IF(COUNTA(A1911:D1911,G1911:I1911)&lt;7,"LENGKAPI",IF(H1911+I1911&gt;N(F1911)+G1911,"ABNORMAL",IF(COUNTIFS($A$2:$A$2001,A1911,$B$2:$B$2001,B1911,$C$2:$C$2001,C1911,$D$2:$D$2001,D1911)&gt;1,"DUPLIKAT","OK"))))</f>
        <v/>
      </c>
    </row>
    <row r="1912">
      <c r="A1912" s="4" t="n"/>
      <c r="B1912" s="5" t="n"/>
      <c r="C1912" s="5" t="n"/>
      <c r="D1912" s="5" t="n"/>
      <c r="E1912" s="6">
        <f>IF(A1912="","","B"&amp;TEXT(COUNT($A$2:A1912),"00000"))</f>
        <v/>
      </c>
      <c r="F1912" s="6">
        <f>IF(OR(C1912="",D1912=""),"",IFERROR(LOOKUP(2,1/(($C$1:C1911=C1912)*($D$1:D1911=D1912)*ISNUMBER($J$1:J1911)),$J$1:J1911),SUMIFS(Master!$G$2:$G$13,Master!$E$2:$E$13,C1912,Master!$F$2:$F$13,D1912)))</f>
        <v/>
      </c>
      <c r="G1912" s="5" t="n"/>
      <c r="H1912" s="5" t="n"/>
      <c r="I1912" s="5" t="n"/>
      <c r="J1912" s="6">
        <f>IF(OR(F1912="",COUNT(G1912:I1912)&lt;3),"",F1912+G1912-H1912-I1912)</f>
        <v/>
      </c>
      <c r="K1912" s="6">
        <f>IF(COUNTA(A1912:D1912,G1912:I1912)=0,"",IF(COUNTA(A1912:D1912,G1912:I1912)&lt;7,"LENGKAPI",IF(H1912+I1912&gt;N(F1912)+G1912,"ABNORMAL",IF(COUNTIFS($A$2:$A$2001,A1912,$B$2:$B$2001,B1912,$C$2:$C$2001,C1912,$D$2:$D$2001,D1912)&gt;1,"DUPLIKAT","OK"))))</f>
        <v/>
      </c>
    </row>
    <row r="1913">
      <c r="A1913" s="4" t="n"/>
      <c r="B1913" s="5" t="n"/>
      <c r="C1913" s="5" t="n"/>
      <c r="D1913" s="5" t="n"/>
      <c r="E1913" s="6">
        <f>IF(A1913="","","B"&amp;TEXT(COUNT($A$2:A1913),"00000"))</f>
        <v/>
      </c>
      <c r="F1913" s="6">
        <f>IF(OR(C1913="",D1913=""),"",IFERROR(LOOKUP(2,1/(($C$1:C1912=C1913)*($D$1:D1912=D1913)*ISNUMBER($J$1:J1912)),$J$1:J1912),SUMIFS(Master!$G$2:$G$13,Master!$E$2:$E$13,C1913,Master!$F$2:$F$13,D1913)))</f>
        <v/>
      </c>
      <c r="G1913" s="5" t="n"/>
      <c r="H1913" s="5" t="n"/>
      <c r="I1913" s="5" t="n"/>
      <c r="J1913" s="6">
        <f>IF(OR(F1913="",COUNT(G1913:I1913)&lt;3),"",F1913+G1913-H1913-I1913)</f>
        <v/>
      </c>
      <c r="K1913" s="6">
        <f>IF(COUNTA(A1913:D1913,G1913:I1913)=0,"",IF(COUNTA(A1913:D1913,G1913:I1913)&lt;7,"LENGKAPI",IF(H1913+I1913&gt;N(F1913)+G1913,"ABNORMAL",IF(COUNTIFS($A$2:$A$2001,A1913,$B$2:$B$2001,B1913,$C$2:$C$2001,C1913,$D$2:$D$2001,D1913)&gt;1,"DUPLIKAT","OK"))))</f>
        <v/>
      </c>
    </row>
    <row r="1914">
      <c r="A1914" s="4" t="n"/>
      <c r="B1914" s="5" t="n"/>
      <c r="C1914" s="5" t="n"/>
      <c r="D1914" s="5" t="n"/>
      <c r="E1914" s="6">
        <f>IF(A1914="","","B"&amp;TEXT(COUNT($A$2:A1914),"00000"))</f>
        <v/>
      </c>
      <c r="F1914" s="6">
        <f>IF(OR(C1914="",D1914=""),"",IFERROR(LOOKUP(2,1/(($C$1:C1913=C1914)*($D$1:D1913=D1914)*ISNUMBER($J$1:J1913)),$J$1:J1913),SUMIFS(Master!$G$2:$G$13,Master!$E$2:$E$13,C1914,Master!$F$2:$F$13,D1914)))</f>
        <v/>
      </c>
      <c r="G1914" s="5" t="n"/>
      <c r="H1914" s="5" t="n"/>
      <c r="I1914" s="5" t="n"/>
      <c r="J1914" s="6">
        <f>IF(OR(F1914="",COUNT(G1914:I1914)&lt;3),"",F1914+G1914-H1914-I1914)</f>
        <v/>
      </c>
      <c r="K1914" s="6">
        <f>IF(COUNTA(A1914:D1914,G1914:I1914)=0,"",IF(COUNTA(A1914:D1914,G1914:I1914)&lt;7,"LENGKAPI",IF(H1914+I1914&gt;N(F1914)+G1914,"ABNORMAL",IF(COUNTIFS($A$2:$A$2001,A1914,$B$2:$B$2001,B1914,$C$2:$C$2001,C1914,$D$2:$D$2001,D1914)&gt;1,"DUPLIKAT","OK"))))</f>
        <v/>
      </c>
    </row>
    <row r="1915">
      <c r="A1915" s="4" t="n"/>
      <c r="B1915" s="5" t="n"/>
      <c r="C1915" s="5" t="n"/>
      <c r="D1915" s="5" t="n"/>
      <c r="E1915" s="6">
        <f>IF(A1915="","","B"&amp;TEXT(COUNT($A$2:A1915),"00000"))</f>
        <v/>
      </c>
      <c r="F1915" s="6">
        <f>IF(OR(C1915="",D1915=""),"",IFERROR(LOOKUP(2,1/(($C$1:C1914=C1915)*($D$1:D1914=D1915)*ISNUMBER($J$1:J1914)),$J$1:J1914),SUMIFS(Master!$G$2:$G$13,Master!$E$2:$E$13,C1915,Master!$F$2:$F$13,D1915)))</f>
        <v/>
      </c>
      <c r="G1915" s="5" t="n"/>
      <c r="H1915" s="5" t="n"/>
      <c r="I1915" s="5" t="n"/>
      <c r="J1915" s="6">
        <f>IF(OR(F1915="",COUNT(G1915:I1915)&lt;3),"",F1915+G1915-H1915-I1915)</f>
        <v/>
      </c>
      <c r="K1915" s="6">
        <f>IF(COUNTA(A1915:D1915,G1915:I1915)=0,"",IF(COUNTA(A1915:D1915,G1915:I1915)&lt;7,"LENGKAPI",IF(H1915+I1915&gt;N(F1915)+G1915,"ABNORMAL",IF(COUNTIFS($A$2:$A$2001,A1915,$B$2:$B$2001,B1915,$C$2:$C$2001,C1915,$D$2:$D$2001,D1915)&gt;1,"DUPLIKAT","OK"))))</f>
        <v/>
      </c>
    </row>
    <row r="1916">
      <c r="A1916" s="4" t="n"/>
      <c r="B1916" s="5" t="n"/>
      <c r="C1916" s="5" t="n"/>
      <c r="D1916" s="5" t="n"/>
      <c r="E1916" s="6">
        <f>IF(A1916="","","B"&amp;TEXT(COUNT($A$2:A1916),"00000"))</f>
        <v/>
      </c>
      <c r="F1916" s="6">
        <f>IF(OR(C1916="",D1916=""),"",IFERROR(LOOKUP(2,1/(($C$1:C1915=C1916)*($D$1:D1915=D1916)*ISNUMBER($J$1:J1915)),$J$1:J1915),SUMIFS(Master!$G$2:$G$13,Master!$E$2:$E$13,C1916,Master!$F$2:$F$13,D1916)))</f>
        <v/>
      </c>
      <c r="G1916" s="5" t="n"/>
      <c r="H1916" s="5" t="n"/>
      <c r="I1916" s="5" t="n"/>
      <c r="J1916" s="6">
        <f>IF(OR(F1916="",COUNT(G1916:I1916)&lt;3),"",F1916+G1916-H1916-I1916)</f>
        <v/>
      </c>
      <c r="K1916" s="6">
        <f>IF(COUNTA(A1916:D1916,G1916:I1916)=0,"",IF(COUNTA(A1916:D1916,G1916:I1916)&lt;7,"LENGKAPI",IF(H1916+I1916&gt;N(F1916)+G1916,"ABNORMAL",IF(COUNTIFS($A$2:$A$2001,A1916,$B$2:$B$2001,B1916,$C$2:$C$2001,C1916,$D$2:$D$2001,D1916)&gt;1,"DUPLIKAT","OK"))))</f>
        <v/>
      </c>
    </row>
    <row r="1917">
      <c r="A1917" s="4" t="n"/>
      <c r="B1917" s="5" t="n"/>
      <c r="C1917" s="5" t="n"/>
      <c r="D1917" s="5" t="n"/>
      <c r="E1917" s="6">
        <f>IF(A1917="","","B"&amp;TEXT(COUNT($A$2:A1917),"00000"))</f>
        <v/>
      </c>
      <c r="F1917" s="6">
        <f>IF(OR(C1917="",D1917=""),"",IFERROR(LOOKUP(2,1/(($C$1:C1916=C1917)*($D$1:D1916=D1917)*ISNUMBER($J$1:J1916)),$J$1:J1916),SUMIFS(Master!$G$2:$G$13,Master!$E$2:$E$13,C1917,Master!$F$2:$F$13,D1917)))</f>
        <v/>
      </c>
      <c r="G1917" s="5" t="n"/>
      <c r="H1917" s="5" t="n"/>
      <c r="I1917" s="5" t="n"/>
      <c r="J1917" s="6">
        <f>IF(OR(F1917="",COUNT(G1917:I1917)&lt;3),"",F1917+G1917-H1917-I1917)</f>
        <v/>
      </c>
      <c r="K1917" s="6">
        <f>IF(COUNTA(A1917:D1917,G1917:I1917)=0,"",IF(COUNTA(A1917:D1917,G1917:I1917)&lt;7,"LENGKAPI",IF(H1917+I1917&gt;N(F1917)+G1917,"ABNORMAL",IF(COUNTIFS($A$2:$A$2001,A1917,$B$2:$B$2001,B1917,$C$2:$C$2001,C1917,$D$2:$D$2001,D1917)&gt;1,"DUPLIKAT","OK"))))</f>
        <v/>
      </c>
    </row>
    <row r="1918">
      <c r="A1918" s="4" t="n"/>
      <c r="B1918" s="5" t="n"/>
      <c r="C1918" s="5" t="n"/>
      <c r="D1918" s="5" t="n"/>
      <c r="E1918" s="6">
        <f>IF(A1918="","","B"&amp;TEXT(COUNT($A$2:A1918),"00000"))</f>
        <v/>
      </c>
      <c r="F1918" s="6">
        <f>IF(OR(C1918="",D1918=""),"",IFERROR(LOOKUP(2,1/(($C$1:C1917=C1918)*($D$1:D1917=D1918)*ISNUMBER($J$1:J1917)),$J$1:J1917),SUMIFS(Master!$G$2:$G$13,Master!$E$2:$E$13,C1918,Master!$F$2:$F$13,D1918)))</f>
        <v/>
      </c>
      <c r="G1918" s="5" t="n"/>
      <c r="H1918" s="5" t="n"/>
      <c r="I1918" s="5" t="n"/>
      <c r="J1918" s="6">
        <f>IF(OR(F1918="",COUNT(G1918:I1918)&lt;3),"",F1918+G1918-H1918-I1918)</f>
        <v/>
      </c>
      <c r="K1918" s="6">
        <f>IF(COUNTA(A1918:D1918,G1918:I1918)=0,"",IF(COUNTA(A1918:D1918,G1918:I1918)&lt;7,"LENGKAPI",IF(H1918+I1918&gt;N(F1918)+G1918,"ABNORMAL",IF(COUNTIFS($A$2:$A$2001,A1918,$B$2:$B$2001,B1918,$C$2:$C$2001,C1918,$D$2:$D$2001,D1918)&gt;1,"DUPLIKAT","OK"))))</f>
        <v/>
      </c>
    </row>
    <row r="1919">
      <c r="A1919" s="4" t="n"/>
      <c r="B1919" s="5" t="n"/>
      <c r="C1919" s="5" t="n"/>
      <c r="D1919" s="5" t="n"/>
      <c r="E1919" s="6">
        <f>IF(A1919="","","B"&amp;TEXT(COUNT($A$2:A1919),"00000"))</f>
        <v/>
      </c>
      <c r="F1919" s="6">
        <f>IF(OR(C1919="",D1919=""),"",IFERROR(LOOKUP(2,1/(($C$1:C1918=C1919)*($D$1:D1918=D1919)*ISNUMBER($J$1:J1918)),$J$1:J1918),SUMIFS(Master!$G$2:$G$13,Master!$E$2:$E$13,C1919,Master!$F$2:$F$13,D1919)))</f>
        <v/>
      </c>
      <c r="G1919" s="5" t="n"/>
      <c r="H1919" s="5" t="n"/>
      <c r="I1919" s="5" t="n"/>
      <c r="J1919" s="6">
        <f>IF(OR(F1919="",COUNT(G1919:I1919)&lt;3),"",F1919+G1919-H1919-I1919)</f>
        <v/>
      </c>
      <c r="K1919" s="6">
        <f>IF(COUNTA(A1919:D1919,G1919:I1919)=0,"",IF(COUNTA(A1919:D1919,G1919:I1919)&lt;7,"LENGKAPI",IF(H1919+I1919&gt;N(F1919)+G1919,"ABNORMAL",IF(COUNTIFS($A$2:$A$2001,A1919,$B$2:$B$2001,B1919,$C$2:$C$2001,C1919,$D$2:$D$2001,D1919)&gt;1,"DUPLIKAT","OK"))))</f>
        <v/>
      </c>
    </row>
    <row r="1920">
      <c r="A1920" s="4" t="n"/>
      <c r="B1920" s="5" t="n"/>
      <c r="C1920" s="5" t="n"/>
      <c r="D1920" s="5" t="n"/>
      <c r="E1920" s="6">
        <f>IF(A1920="","","B"&amp;TEXT(COUNT($A$2:A1920),"00000"))</f>
        <v/>
      </c>
      <c r="F1920" s="6">
        <f>IF(OR(C1920="",D1920=""),"",IFERROR(LOOKUP(2,1/(($C$1:C1919=C1920)*($D$1:D1919=D1920)*ISNUMBER($J$1:J1919)),$J$1:J1919),SUMIFS(Master!$G$2:$G$13,Master!$E$2:$E$13,C1920,Master!$F$2:$F$13,D1920)))</f>
        <v/>
      </c>
      <c r="G1920" s="5" t="n"/>
      <c r="H1920" s="5" t="n"/>
      <c r="I1920" s="5" t="n"/>
      <c r="J1920" s="6">
        <f>IF(OR(F1920="",COUNT(G1920:I1920)&lt;3),"",F1920+G1920-H1920-I1920)</f>
        <v/>
      </c>
      <c r="K1920" s="6">
        <f>IF(COUNTA(A1920:D1920,G1920:I1920)=0,"",IF(COUNTA(A1920:D1920,G1920:I1920)&lt;7,"LENGKAPI",IF(H1920+I1920&gt;N(F1920)+G1920,"ABNORMAL",IF(COUNTIFS($A$2:$A$2001,A1920,$B$2:$B$2001,B1920,$C$2:$C$2001,C1920,$D$2:$D$2001,D1920)&gt;1,"DUPLIKAT","OK"))))</f>
        <v/>
      </c>
    </row>
    <row r="1921">
      <c r="A1921" s="4" t="n"/>
      <c r="B1921" s="5" t="n"/>
      <c r="C1921" s="5" t="n"/>
      <c r="D1921" s="5" t="n"/>
      <c r="E1921" s="6">
        <f>IF(A1921="","","B"&amp;TEXT(COUNT($A$2:A1921),"00000"))</f>
        <v/>
      </c>
      <c r="F1921" s="6">
        <f>IF(OR(C1921="",D1921=""),"",IFERROR(LOOKUP(2,1/(($C$1:C1920=C1921)*($D$1:D1920=D1921)*ISNUMBER($J$1:J1920)),$J$1:J1920),SUMIFS(Master!$G$2:$G$13,Master!$E$2:$E$13,C1921,Master!$F$2:$F$13,D1921)))</f>
        <v/>
      </c>
      <c r="G1921" s="5" t="n"/>
      <c r="H1921" s="5" t="n"/>
      <c r="I1921" s="5" t="n"/>
      <c r="J1921" s="6">
        <f>IF(OR(F1921="",COUNT(G1921:I1921)&lt;3),"",F1921+G1921-H1921-I1921)</f>
        <v/>
      </c>
      <c r="K1921" s="6">
        <f>IF(COUNTA(A1921:D1921,G1921:I1921)=0,"",IF(COUNTA(A1921:D1921,G1921:I1921)&lt;7,"LENGKAPI",IF(H1921+I1921&gt;N(F1921)+G1921,"ABNORMAL",IF(COUNTIFS($A$2:$A$2001,A1921,$B$2:$B$2001,B1921,$C$2:$C$2001,C1921,$D$2:$D$2001,D1921)&gt;1,"DUPLIKAT","OK"))))</f>
        <v/>
      </c>
    </row>
    <row r="1922">
      <c r="A1922" s="4" t="n"/>
      <c r="B1922" s="5" t="n"/>
      <c r="C1922" s="5" t="n"/>
      <c r="D1922" s="5" t="n"/>
      <c r="E1922" s="6">
        <f>IF(A1922="","","B"&amp;TEXT(COUNT($A$2:A1922),"00000"))</f>
        <v/>
      </c>
      <c r="F1922" s="6">
        <f>IF(OR(C1922="",D1922=""),"",IFERROR(LOOKUP(2,1/(($C$1:C1921=C1922)*($D$1:D1921=D1922)*ISNUMBER($J$1:J1921)),$J$1:J1921),SUMIFS(Master!$G$2:$G$13,Master!$E$2:$E$13,C1922,Master!$F$2:$F$13,D1922)))</f>
        <v/>
      </c>
      <c r="G1922" s="5" t="n"/>
      <c r="H1922" s="5" t="n"/>
      <c r="I1922" s="5" t="n"/>
      <c r="J1922" s="6">
        <f>IF(OR(F1922="",COUNT(G1922:I1922)&lt;3),"",F1922+G1922-H1922-I1922)</f>
        <v/>
      </c>
      <c r="K1922" s="6">
        <f>IF(COUNTA(A1922:D1922,G1922:I1922)=0,"",IF(COUNTA(A1922:D1922,G1922:I1922)&lt;7,"LENGKAPI",IF(H1922+I1922&gt;N(F1922)+G1922,"ABNORMAL",IF(COUNTIFS($A$2:$A$2001,A1922,$B$2:$B$2001,B1922,$C$2:$C$2001,C1922,$D$2:$D$2001,D1922)&gt;1,"DUPLIKAT","OK"))))</f>
        <v/>
      </c>
    </row>
    <row r="1923">
      <c r="A1923" s="4" t="n"/>
      <c r="B1923" s="5" t="n"/>
      <c r="C1923" s="5" t="n"/>
      <c r="D1923" s="5" t="n"/>
      <c r="E1923" s="6">
        <f>IF(A1923="","","B"&amp;TEXT(COUNT($A$2:A1923),"00000"))</f>
        <v/>
      </c>
      <c r="F1923" s="6">
        <f>IF(OR(C1923="",D1923=""),"",IFERROR(LOOKUP(2,1/(($C$1:C1922=C1923)*($D$1:D1922=D1923)*ISNUMBER($J$1:J1922)),$J$1:J1922),SUMIFS(Master!$G$2:$G$13,Master!$E$2:$E$13,C1923,Master!$F$2:$F$13,D1923)))</f>
        <v/>
      </c>
      <c r="G1923" s="5" t="n"/>
      <c r="H1923" s="5" t="n"/>
      <c r="I1923" s="5" t="n"/>
      <c r="J1923" s="6">
        <f>IF(OR(F1923="",COUNT(G1923:I1923)&lt;3),"",F1923+G1923-H1923-I1923)</f>
        <v/>
      </c>
      <c r="K1923" s="6">
        <f>IF(COUNTA(A1923:D1923,G1923:I1923)=0,"",IF(COUNTA(A1923:D1923,G1923:I1923)&lt;7,"LENGKAPI",IF(H1923+I1923&gt;N(F1923)+G1923,"ABNORMAL",IF(COUNTIFS($A$2:$A$2001,A1923,$B$2:$B$2001,B1923,$C$2:$C$2001,C1923,$D$2:$D$2001,D1923)&gt;1,"DUPLIKAT","OK"))))</f>
        <v/>
      </c>
    </row>
    <row r="1924">
      <c r="A1924" s="4" t="n"/>
      <c r="B1924" s="5" t="n"/>
      <c r="C1924" s="5" t="n"/>
      <c r="D1924" s="5" t="n"/>
      <c r="E1924" s="6">
        <f>IF(A1924="","","B"&amp;TEXT(COUNT($A$2:A1924),"00000"))</f>
        <v/>
      </c>
      <c r="F1924" s="6">
        <f>IF(OR(C1924="",D1924=""),"",IFERROR(LOOKUP(2,1/(($C$1:C1923=C1924)*($D$1:D1923=D1924)*ISNUMBER($J$1:J1923)),$J$1:J1923),SUMIFS(Master!$G$2:$G$13,Master!$E$2:$E$13,C1924,Master!$F$2:$F$13,D1924)))</f>
        <v/>
      </c>
      <c r="G1924" s="5" t="n"/>
      <c r="H1924" s="5" t="n"/>
      <c r="I1924" s="5" t="n"/>
      <c r="J1924" s="6">
        <f>IF(OR(F1924="",COUNT(G1924:I1924)&lt;3),"",F1924+G1924-H1924-I1924)</f>
        <v/>
      </c>
      <c r="K1924" s="6">
        <f>IF(COUNTA(A1924:D1924,G1924:I1924)=0,"",IF(COUNTA(A1924:D1924,G1924:I1924)&lt;7,"LENGKAPI",IF(H1924+I1924&gt;N(F1924)+G1924,"ABNORMAL",IF(COUNTIFS($A$2:$A$2001,A1924,$B$2:$B$2001,B1924,$C$2:$C$2001,C1924,$D$2:$D$2001,D1924)&gt;1,"DUPLIKAT","OK"))))</f>
        <v/>
      </c>
    </row>
    <row r="1925">
      <c r="A1925" s="4" t="n"/>
      <c r="B1925" s="5" t="n"/>
      <c r="C1925" s="5" t="n"/>
      <c r="D1925" s="5" t="n"/>
      <c r="E1925" s="6">
        <f>IF(A1925="","","B"&amp;TEXT(COUNT($A$2:A1925),"00000"))</f>
        <v/>
      </c>
      <c r="F1925" s="6">
        <f>IF(OR(C1925="",D1925=""),"",IFERROR(LOOKUP(2,1/(($C$1:C1924=C1925)*($D$1:D1924=D1925)*ISNUMBER($J$1:J1924)),$J$1:J1924),SUMIFS(Master!$G$2:$G$13,Master!$E$2:$E$13,C1925,Master!$F$2:$F$13,D1925)))</f>
        <v/>
      </c>
      <c r="G1925" s="5" t="n"/>
      <c r="H1925" s="5" t="n"/>
      <c r="I1925" s="5" t="n"/>
      <c r="J1925" s="6">
        <f>IF(OR(F1925="",COUNT(G1925:I1925)&lt;3),"",F1925+G1925-H1925-I1925)</f>
        <v/>
      </c>
      <c r="K1925" s="6">
        <f>IF(COUNTA(A1925:D1925,G1925:I1925)=0,"",IF(COUNTA(A1925:D1925,G1925:I1925)&lt;7,"LENGKAPI",IF(H1925+I1925&gt;N(F1925)+G1925,"ABNORMAL",IF(COUNTIFS($A$2:$A$2001,A1925,$B$2:$B$2001,B1925,$C$2:$C$2001,C1925,$D$2:$D$2001,D1925)&gt;1,"DUPLIKAT","OK"))))</f>
        <v/>
      </c>
    </row>
    <row r="1926">
      <c r="A1926" s="4" t="n"/>
      <c r="B1926" s="5" t="n"/>
      <c r="C1926" s="5" t="n"/>
      <c r="D1926" s="5" t="n"/>
      <c r="E1926" s="6">
        <f>IF(A1926="","","B"&amp;TEXT(COUNT($A$2:A1926),"00000"))</f>
        <v/>
      </c>
      <c r="F1926" s="6">
        <f>IF(OR(C1926="",D1926=""),"",IFERROR(LOOKUP(2,1/(($C$1:C1925=C1926)*($D$1:D1925=D1926)*ISNUMBER($J$1:J1925)),$J$1:J1925),SUMIFS(Master!$G$2:$G$13,Master!$E$2:$E$13,C1926,Master!$F$2:$F$13,D1926)))</f>
        <v/>
      </c>
      <c r="G1926" s="5" t="n"/>
      <c r="H1926" s="5" t="n"/>
      <c r="I1926" s="5" t="n"/>
      <c r="J1926" s="6">
        <f>IF(OR(F1926="",COUNT(G1926:I1926)&lt;3),"",F1926+G1926-H1926-I1926)</f>
        <v/>
      </c>
      <c r="K1926" s="6">
        <f>IF(COUNTA(A1926:D1926,G1926:I1926)=0,"",IF(COUNTA(A1926:D1926,G1926:I1926)&lt;7,"LENGKAPI",IF(H1926+I1926&gt;N(F1926)+G1926,"ABNORMAL",IF(COUNTIFS($A$2:$A$2001,A1926,$B$2:$B$2001,B1926,$C$2:$C$2001,C1926,$D$2:$D$2001,D1926)&gt;1,"DUPLIKAT","OK"))))</f>
        <v/>
      </c>
    </row>
    <row r="1927">
      <c r="A1927" s="4" t="n"/>
      <c r="B1927" s="5" t="n"/>
      <c r="C1927" s="5" t="n"/>
      <c r="D1927" s="5" t="n"/>
      <c r="E1927" s="6">
        <f>IF(A1927="","","B"&amp;TEXT(COUNT($A$2:A1927),"00000"))</f>
        <v/>
      </c>
      <c r="F1927" s="6">
        <f>IF(OR(C1927="",D1927=""),"",IFERROR(LOOKUP(2,1/(($C$1:C1926=C1927)*($D$1:D1926=D1927)*ISNUMBER($J$1:J1926)),$J$1:J1926),SUMIFS(Master!$G$2:$G$13,Master!$E$2:$E$13,C1927,Master!$F$2:$F$13,D1927)))</f>
        <v/>
      </c>
      <c r="G1927" s="5" t="n"/>
      <c r="H1927" s="5" t="n"/>
      <c r="I1927" s="5" t="n"/>
      <c r="J1927" s="6">
        <f>IF(OR(F1927="",COUNT(G1927:I1927)&lt;3),"",F1927+G1927-H1927-I1927)</f>
        <v/>
      </c>
      <c r="K1927" s="6">
        <f>IF(COUNTA(A1927:D1927,G1927:I1927)=0,"",IF(COUNTA(A1927:D1927,G1927:I1927)&lt;7,"LENGKAPI",IF(H1927+I1927&gt;N(F1927)+G1927,"ABNORMAL",IF(COUNTIFS($A$2:$A$2001,A1927,$B$2:$B$2001,B1927,$C$2:$C$2001,C1927,$D$2:$D$2001,D1927)&gt;1,"DUPLIKAT","OK"))))</f>
        <v/>
      </c>
    </row>
    <row r="1928">
      <c r="A1928" s="4" t="n"/>
      <c r="B1928" s="5" t="n"/>
      <c r="C1928" s="5" t="n"/>
      <c r="D1928" s="5" t="n"/>
      <c r="E1928" s="6">
        <f>IF(A1928="","","B"&amp;TEXT(COUNT($A$2:A1928),"00000"))</f>
        <v/>
      </c>
      <c r="F1928" s="6">
        <f>IF(OR(C1928="",D1928=""),"",IFERROR(LOOKUP(2,1/(($C$1:C1927=C1928)*($D$1:D1927=D1928)*ISNUMBER($J$1:J1927)),$J$1:J1927),SUMIFS(Master!$G$2:$G$13,Master!$E$2:$E$13,C1928,Master!$F$2:$F$13,D1928)))</f>
        <v/>
      </c>
      <c r="G1928" s="5" t="n"/>
      <c r="H1928" s="5" t="n"/>
      <c r="I1928" s="5" t="n"/>
      <c r="J1928" s="6">
        <f>IF(OR(F1928="",COUNT(G1928:I1928)&lt;3),"",F1928+G1928-H1928-I1928)</f>
        <v/>
      </c>
      <c r="K1928" s="6">
        <f>IF(COUNTA(A1928:D1928,G1928:I1928)=0,"",IF(COUNTA(A1928:D1928,G1928:I1928)&lt;7,"LENGKAPI",IF(H1928+I1928&gt;N(F1928)+G1928,"ABNORMAL",IF(COUNTIFS($A$2:$A$2001,A1928,$B$2:$B$2001,B1928,$C$2:$C$2001,C1928,$D$2:$D$2001,D1928)&gt;1,"DUPLIKAT","OK"))))</f>
        <v/>
      </c>
    </row>
    <row r="1929">
      <c r="A1929" s="4" t="n"/>
      <c r="B1929" s="5" t="n"/>
      <c r="C1929" s="5" t="n"/>
      <c r="D1929" s="5" t="n"/>
      <c r="E1929" s="6">
        <f>IF(A1929="","","B"&amp;TEXT(COUNT($A$2:A1929),"00000"))</f>
        <v/>
      </c>
      <c r="F1929" s="6">
        <f>IF(OR(C1929="",D1929=""),"",IFERROR(LOOKUP(2,1/(($C$1:C1928=C1929)*($D$1:D1928=D1929)*ISNUMBER($J$1:J1928)),$J$1:J1928),SUMIFS(Master!$G$2:$G$13,Master!$E$2:$E$13,C1929,Master!$F$2:$F$13,D1929)))</f>
        <v/>
      </c>
      <c r="G1929" s="5" t="n"/>
      <c r="H1929" s="5" t="n"/>
      <c r="I1929" s="5" t="n"/>
      <c r="J1929" s="6">
        <f>IF(OR(F1929="",COUNT(G1929:I1929)&lt;3),"",F1929+G1929-H1929-I1929)</f>
        <v/>
      </c>
      <c r="K1929" s="6">
        <f>IF(COUNTA(A1929:D1929,G1929:I1929)=0,"",IF(COUNTA(A1929:D1929,G1929:I1929)&lt;7,"LENGKAPI",IF(H1929+I1929&gt;N(F1929)+G1929,"ABNORMAL",IF(COUNTIFS($A$2:$A$2001,A1929,$B$2:$B$2001,B1929,$C$2:$C$2001,C1929,$D$2:$D$2001,D1929)&gt;1,"DUPLIKAT","OK"))))</f>
        <v/>
      </c>
    </row>
    <row r="1930">
      <c r="A1930" s="4" t="n"/>
      <c r="B1930" s="5" t="n"/>
      <c r="C1930" s="5" t="n"/>
      <c r="D1930" s="5" t="n"/>
      <c r="E1930" s="6">
        <f>IF(A1930="","","B"&amp;TEXT(COUNT($A$2:A1930),"00000"))</f>
        <v/>
      </c>
      <c r="F1930" s="6">
        <f>IF(OR(C1930="",D1930=""),"",IFERROR(LOOKUP(2,1/(($C$1:C1929=C1930)*($D$1:D1929=D1930)*ISNUMBER($J$1:J1929)),$J$1:J1929),SUMIFS(Master!$G$2:$G$13,Master!$E$2:$E$13,C1930,Master!$F$2:$F$13,D1930)))</f>
        <v/>
      </c>
      <c r="G1930" s="5" t="n"/>
      <c r="H1930" s="5" t="n"/>
      <c r="I1930" s="5" t="n"/>
      <c r="J1930" s="6">
        <f>IF(OR(F1930="",COUNT(G1930:I1930)&lt;3),"",F1930+G1930-H1930-I1930)</f>
        <v/>
      </c>
      <c r="K1930" s="6">
        <f>IF(COUNTA(A1930:D1930,G1930:I1930)=0,"",IF(COUNTA(A1930:D1930,G1930:I1930)&lt;7,"LENGKAPI",IF(H1930+I1930&gt;N(F1930)+G1930,"ABNORMAL",IF(COUNTIFS($A$2:$A$2001,A1930,$B$2:$B$2001,B1930,$C$2:$C$2001,C1930,$D$2:$D$2001,D1930)&gt;1,"DUPLIKAT","OK"))))</f>
        <v/>
      </c>
    </row>
    <row r="1931">
      <c r="A1931" s="4" t="n"/>
      <c r="B1931" s="5" t="n"/>
      <c r="C1931" s="5" t="n"/>
      <c r="D1931" s="5" t="n"/>
      <c r="E1931" s="6">
        <f>IF(A1931="","","B"&amp;TEXT(COUNT($A$2:A1931),"00000"))</f>
        <v/>
      </c>
      <c r="F1931" s="6">
        <f>IF(OR(C1931="",D1931=""),"",IFERROR(LOOKUP(2,1/(($C$1:C1930=C1931)*($D$1:D1930=D1931)*ISNUMBER($J$1:J1930)),$J$1:J1930),SUMIFS(Master!$G$2:$G$13,Master!$E$2:$E$13,C1931,Master!$F$2:$F$13,D1931)))</f>
        <v/>
      </c>
      <c r="G1931" s="5" t="n"/>
      <c r="H1931" s="5" t="n"/>
      <c r="I1931" s="5" t="n"/>
      <c r="J1931" s="6">
        <f>IF(OR(F1931="",COUNT(G1931:I1931)&lt;3),"",F1931+G1931-H1931-I1931)</f>
        <v/>
      </c>
      <c r="K1931" s="6">
        <f>IF(COUNTA(A1931:D1931,G1931:I1931)=0,"",IF(COUNTA(A1931:D1931,G1931:I1931)&lt;7,"LENGKAPI",IF(H1931+I1931&gt;N(F1931)+G1931,"ABNORMAL",IF(COUNTIFS($A$2:$A$2001,A1931,$B$2:$B$2001,B1931,$C$2:$C$2001,C1931,$D$2:$D$2001,D1931)&gt;1,"DUPLIKAT","OK"))))</f>
        <v/>
      </c>
    </row>
    <row r="1932">
      <c r="A1932" s="4" t="n"/>
      <c r="B1932" s="5" t="n"/>
      <c r="C1932" s="5" t="n"/>
      <c r="D1932" s="5" t="n"/>
      <c r="E1932" s="6">
        <f>IF(A1932="","","B"&amp;TEXT(COUNT($A$2:A1932),"00000"))</f>
        <v/>
      </c>
      <c r="F1932" s="6">
        <f>IF(OR(C1932="",D1932=""),"",IFERROR(LOOKUP(2,1/(($C$1:C1931=C1932)*($D$1:D1931=D1932)*ISNUMBER($J$1:J1931)),$J$1:J1931),SUMIFS(Master!$G$2:$G$13,Master!$E$2:$E$13,C1932,Master!$F$2:$F$13,D1932)))</f>
        <v/>
      </c>
      <c r="G1932" s="5" t="n"/>
      <c r="H1932" s="5" t="n"/>
      <c r="I1932" s="5" t="n"/>
      <c r="J1932" s="6">
        <f>IF(OR(F1932="",COUNT(G1932:I1932)&lt;3),"",F1932+G1932-H1932-I1932)</f>
        <v/>
      </c>
      <c r="K1932" s="6">
        <f>IF(COUNTA(A1932:D1932,G1932:I1932)=0,"",IF(COUNTA(A1932:D1932,G1932:I1932)&lt;7,"LENGKAPI",IF(H1932+I1932&gt;N(F1932)+G1932,"ABNORMAL",IF(COUNTIFS($A$2:$A$2001,A1932,$B$2:$B$2001,B1932,$C$2:$C$2001,C1932,$D$2:$D$2001,D1932)&gt;1,"DUPLIKAT","OK"))))</f>
        <v/>
      </c>
    </row>
    <row r="1933">
      <c r="A1933" s="4" t="n"/>
      <c r="B1933" s="5" t="n"/>
      <c r="C1933" s="5" t="n"/>
      <c r="D1933" s="5" t="n"/>
      <c r="E1933" s="6">
        <f>IF(A1933="","","B"&amp;TEXT(COUNT($A$2:A1933),"00000"))</f>
        <v/>
      </c>
      <c r="F1933" s="6">
        <f>IF(OR(C1933="",D1933=""),"",IFERROR(LOOKUP(2,1/(($C$1:C1932=C1933)*($D$1:D1932=D1933)*ISNUMBER($J$1:J1932)),$J$1:J1932),SUMIFS(Master!$G$2:$G$13,Master!$E$2:$E$13,C1933,Master!$F$2:$F$13,D1933)))</f>
        <v/>
      </c>
      <c r="G1933" s="5" t="n"/>
      <c r="H1933" s="5" t="n"/>
      <c r="I1933" s="5" t="n"/>
      <c r="J1933" s="6">
        <f>IF(OR(F1933="",COUNT(G1933:I1933)&lt;3),"",F1933+G1933-H1933-I1933)</f>
        <v/>
      </c>
      <c r="K1933" s="6">
        <f>IF(COUNTA(A1933:D1933,G1933:I1933)=0,"",IF(COUNTA(A1933:D1933,G1933:I1933)&lt;7,"LENGKAPI",IF(H1933+I1933&gt;N(F1933)+G1933,"ABNORMAL",IF(COUNTIFS($A$2:$A$2001,A1933,$B$2:$B$2001,B1933,$C$2:$C$2001,C1933,$D$2:$D$2001,D1933)&gt;1,"DUPLIKAT","OK"))))</f>
        <v/>
      </c>
    </row>
    <row r="1934">
      <c r="A1934" s="4" t="n"/>
      <c r="B1934" s="5" t="n"/>
      <c r="C1934" s="5" t="n"/>
      <c r="D1934" s="5" t="n"/>
      <c r="E1934" s="6">
        <f>IF(A1934="","","B"&amp;TEXT(COUNT($A$2:A1934),"00000"))</f>
        <v/>
      </c>
      <c r="F1934" s="6">
        <f>IF(OR(C1934="",D1934=""),"",IFERROR(LOOKUP(2,1/(($C$1:C1933=C1934)*($D$1:D1933=D1934)*ISNUMBER($J$1:J1933)),$J$1:J1933),SUMIFS(Master!$G$2:$G$13,Master!$E$2:$E$13,C1934,Master!$F$2:$F$13,D1934)))</f>
        <v/>
      </c>
      <c r="G1934" s="5" t="n"/>
      <c r="H1934" s="5" t="n"/>
      <c r="I1934" s="5" t="n"/>
      <c r="J1934" s="6">
        <f>IF(OR(F1934="",COUNT(G1934:I1934)&lt;3),"",F1934+G1934-H1934-I1934)</f>
        <v/>
      </c>
      <c r="K1934" s="6">
        <f>IF(COUNTA(A1934:D1934,G1934:I1934)=0,"",IF(COUNTA(A1934:D1934,G1934:I1934)&lt;7,"LENGKAPI",IF(H1934+I1934&gt;N(F1934)+G1934,"ABNORMAL",IF(COUNTIFS($A$2:$A$2001,A1934,$B$2:$B$2001,B1934,$C$2:$C$2001,C1934,$D$2:$D$2001,D1934)&gt;1,"DUPLIKAT","OK"))))</f>
        <v/>
      </c>
    </row>
    <row r="1935">
      <c r="A1935" s="4" t="n"/>
      <c r="B1935" s="5" t="n"/>
      <c r="C1935" s="5" t="n"/>
      <c r="D1935" s="5" t="n"/>
      <c r="E1935" s="6">
        <f>IF(A1935="","","B"&amp;TEXT(COUNT($A$2:A1935),"00000"))</f>
        <v/>
      </c>
      <c r="F1935" s="6">
        <f>IF(OR(C1935="",D1935=""),"",IFERROR(LOOKUP(2,1/(($C$1:C1934=C1935)*($D$1:D1934=D1935)*ISNUMBER($J$1:J1934)),$J$1:J1934),SUMIFS(Master!$G$2:$G$13,Master!$E$2:$E$13,C1935,Master!$F$2:$F$13,D1935)))</f>
        <v/>
      </c>
      <c r="G1935" s="5" t="n"/>
      <c r="H1935" s="5" t="n"/>
      <c r="I1935" s="5" t="n"/>
      <c r="J1935" s="6">
        <f>IF(OR(F1935="",COUNT(G1935:I1935)&lt;3),"",F1935+G1935-H1935-I1935)</f>
        <v/>
      </c>
      <c r="K1935" s="6">
        <f>IF(COUNTA(A1935:D1935,G1935:I1935)=0,"",IF(COUNTA(A1935:D1935,G1935:I1935)&lt;7,"LENGKAPI",IF(H1935+I1935&gt;N(F1935)+G1935,"ABNORMAL",IF(COUNTIFS($A$2:$A$2001,A1935,$B$2:$B$2001,B1935,$C$2:$C$2001,C1935,$D$2:$D$2001,D1935)&gt;1,"DUPLIKAT","OK"))))</f>
        <v/>
      </c>
    </row>
    <row r="1936">
      <c r="A1936" s="4" t="n"/>
      <c r="B1936" s="5" t="n"/>
      <c r="C1936" s="5" t="n"/>
      <c r="D1936" s="5" t="n"/>
      <c r="E1936" s="6">
        <f>IF(A1936="","","B"&amp;TEXT(COUNT($A$2:A1936),"00000"))</f>
        <v/>
      </c>
      <c r="F1936" s="6">
        <f>IF(OR(C1936="",D1936=""),"",IFERROR(LOOKUP(2,1/(($C$1:C1935=C1936)*($D$1:D1935=D1936)*ISNUMBER($J$1:J1935)),$J$1:J1935),SUMIFS(Master!$G$2:$G$13,Master!$E$2:$E$13,C1936,Master!$F$2:$F$13,D1936)))</f>
        <v/>
      </c>
      <c r="G1936" s="5" t="n"/>
      <c r="H1936" s="5" t="n"/>
      <c r="I1936" s="5" t="n"/>
      <c r="J1936" s="6">
        <f>IF(OR(F1936="",COUNT(G1936:I1936)&lt;3),"",F1936+G1936-H1936-I1936)</f>
        <v/>
      </c>
      <c r="K1936" s="6">
        <f>IF(COUNTA(A1936:D1936,G1936:I1936)=0,"",IF(COUNTA(A1936:D1936,G1936:I1936)&lt;7,"LENGKAPI",IF(H1936+I1936&gt;N(F1936)+G1936,"ABNORMAL",IF(COUNTIFS($A$2:$A$2001,A1936,$B$2:$B$2001,B1936,$C$2:$C$2001,C1936,$D$2:$D$2001,D1936)&gt;1,"DUPLIKAT","OK"))))</f>
        <v/>
      </c>
    </row>
    <row r="1937">
      <c r="A1937" s="4" t="n"/>
      <c r="B1937" s="5" t="n"/>
      <c r="C1937" s="5" t="n"/>
      <c r="D1937" s="5" t="n"/>
      <c r="E1937" s="6">
        <f>IF(A1937="","","B"&amp;TEXT(COUNT($A$2:A1937),"00000"))</f>
        <v/>
      </c>
      <c r="F1937" s="6">
        <f>IF(OR(C1937="",D1937=""),"",IFERROR(LOOKUP(2,1/(($C$1:C1936=C1937)*($D$1:D1936=D1937)*ISNUMBER($J$1:J1936)),$J$1:J1936),SUMIFS(Master!$G$2:$G$13,Master!$E$2:$E$13,C1937,Master!$F$2:$F$13,D1937)))</f>
        <v/>
      </c>
      <c r="G1937" s="5" t="n"/>
      <c r="H1937" s="5" t="n"/>
      <c r="I1937" s="5" t="n"/>
      <c r="J1937" s="6">
        <f>IF(OR(F1937="",COUNT(G1937:I1937)&lt;3),"",F1937+G1937-H1937-I1937)</f>
        <v/>
      </c>
      <c r="K1937" s="6">
        <f>IF(COUNTA(A1937:D1937,G1937:I1937)=0,"",IF(COUNTA(A1937:D1937,G1937:I1937)&lt;7,"LENGKAPI",IF(H1937+I1937&gt;N(F1937)+G1937,"ABNORMAL",IF(COUNTIFS($A$2:$A$2001,A1937,$B$2:$B$2001,B1937,$C$2:$C$2001,C1937,$D$2:$D$2001,D1937)&gt;1,"DUPLIKAT","OK"))))</f>
        <v/>
      </c>
    </row>
    <row r="1938">
      <c r="A1938" s="4" t="n"/>
      <c r="B1938" s="5" t="n"/>
      <c r="C1938" s="5" t="n"/>
      <c r="D1938" s="5" t="n"/>
      <c r="E1938" s="6">
        <f>IF(A1938="","","B"&amp;TEXT(COUNT($A$2:A1938),"00000"))</f>
        <v/>
      </c>
      <c r="F1938" s="6">
        <f>IF(OR(C1938="",D1938=""),"",IFERROR(LOOKUP(2,1/(($C$1:C1937=C1938)*($D$1:D1937=D1938)*ISNUMBER($J$1:J1937)),$J$1:J1937),SUMIFS(Master!$G$2:$G$13,Master!$E$2:$E$13,C1938,Master!$F$2:$F$13,D1938)))</f>
        <v/>
      </c>
      <c r="G1938" s="5" t="n"/>
      <c r="H1938" s="5" t="n"/>
      <c r="I1938" s="5" t="n"/>
      <c r="J1938" s="6">
        <f>IF(OR(F1938="",COUNT(G1938:I1938)&lt;3),"",F1938+G1938-H1938-I1938)</f>
        <v/>
      </c>
      <c r="K1938" s="6">
        <f>IF(COUNTA(A1938:D1938,G1938:I1938)=0,"",IF(COUNTA(A1938:D1938,G1938:I1938)&lt;7,"LENGKAPI",IF(H1938+I1938&gt;N(F1938)+G1938,"ABNORMAL",IF(COUNTIFS($A$2:$A$2001,A1938,$B$2:$B$2001,B1938,$C$2:$C$2001,C1938,$D$2:$D$2001,D1938)&gt;1,"DUPLIKAT","OK"))))</f>
        <v/>
      </c>
    </row>
    <row r="1939">
      <c r="A1939" s="4" t="n"/>
      <c r="B1939" s="5" t="n"/>
      <c r="C1939" s="5" t="n"/>
      <c r="D1939" s="5" t="n"/>
      <c r="E1939" s="6">
        <f>IF(A1939="","","B"&amp;TEXT(COUNT($A$2:A1939),"00000"))</f>
        <v/>
      </c>
      <c r="F1939" s="6">
        <f>IF(OR(C1939="",D1939=""),"",IFERROR(LOOKUP(2,1/(($C$1:C1938=C1939)*($D$1:D1938=D1939)*ISNUMBER($J$1:J1938)),$J$1:J1938),SUMIFS(Master!$G$2:$G$13,Master!$E$2:$E$13,C1939,Master!$F$2:$F$13,D1939)))</f>
        <v/>
      </c>
      <c r="G1939" s="5" t="n"/>
      <c r="H1939" s="5" t="n"/>
      <c r="I1939" s="5" t="n"/>
      <c r="J1939" s="6">
        <f>IF(OR(F1939="",COUNT(G1939:I1939)&lt;3),"",F1939+G1939-H1939-I1939)</f>
        <v/>
      </c>
      <c r="K1939" s="6">
        <f>IF(COUNTA(A1939:D1939,G1939:I1939)=0,"",IF(COUNTA(A1939:D1939,G1939:I1939)&lt;7,"LENGKAPI",IF(H1939+I1939&gt;N(F1939)+G1939,"ABNORMAL",IF(COUNTIFS($A$2:$A$2001,A1939,$B$2:$B$2001,B1939,$C$2:$C$2001,C1939,$D$2:$D$2001,D1939)&gt;1,"DUPLIKAT","OK"))))</f>
        <v/>
      </c>
    </row>
    <row r="1940">
      <c r="A1940" s="4" t="n"/>
      <c r="B1940" s="5" t="n"/>
      <c r="C1940" s="5" t="n"/>
      <c r="D1940" s="5" t="n"/>
      <c r="E1940" s="6">
        <f>IF(A1940="","","B"&amp;TEXT(COUNT($A$2:A1940),"00000"))</f>
        <v/>
      </c>
      <c r="F1940" s="6">
        <f>IF(OR(C1940="",D1940=""),"",IFERROR(LOOKUP(2,1/(($C$1:C1939=C1940)*($D$1:D1939=D1940)*ISNUMBER($J$1:J1939)),$J$1:J1939),SUMIFS(Master!$G$2:$G$13,Master!$E$2:$E$13,C1940,Master!$F$2:$F$13,D1940)))</f>
        <v/>
      </c>
      <c r="G1940" s="5" t="n"/>
      <c r="H1940" s="5" t="n"/>
      <c r="I1940" s="5" t="n"/>
      <c r="J1940" s="6">
        <f>IF(OR(F1940="",COUNT(G1940:I1940)&lt;3),"",F1940+G1940-H1940-I1940)</f>
        <v/>
      </c>
      <c r="K1940" s="6">
        <f>IF(COUNTA(A1940:D1940,G1940:I1940)=0,"",IF(COUNTA(A1940:D1940,G1940:I1940)&lt;7,"LENGKAPI",IF(H1940+I1940&gt;N(F1940)+G1940,"ABNORMAL",IF(COUNTIFS($A$2:$A$2001,A1940,$B$2:$B$2001,B1940,$C$2:$C$2001,C1940,$D$2:$D$2001,D1940)&gt;1,"DUPLIKAT","OK"))))</f>
        <v/>
      </c>
    </row>
    <row r="1941">
      <c r="A1941" s="4" t="n"/>
      <c r="B1941" s="5" t="n"/>
      <c r="C1941" s="5" t="n"/>
      <c r="D1941" s="5" t="n"/>
      <c r="E1941" s="6">
        <f>IF(A1941="","","B"&amp;TEXT(COUNT($A$2:A1941),"00000"))</f>
        <v/>
      </c>
      <c r="F1941" s="6">
        <f>IF(OR(C1941="",D1941=""),"",IFERROR(LOOKUP(2,1/(($C$1:C1940=C1941)*($D$1:D1940=D1941)*ISNUMBER($J$1:J1940)),$J$1:J1940),SUMIFS(Master!$G$2:$G$13,Master!$E$2:$E$13,C1941,Master!$F$2:$F$13,D1941)))</f>
        <v/>
      </c>
      <c r="G1941" s="5" t="n"/>
      <c r="H1941" s="5" t="n"/>
      <c r="I1941" s="5" t="n"/>
      <c r="J1941" s="6">
        <f>IF(OR(F1941="",COUNT(G1941:I1941)&lt;3),"",F1941+G1941-H1941-I1941)</f>
        <v/>
      </c>
      <c r="K1941" s="6">
        <f>IF(COUNTA(A1941:D1941,G1941:I1941)=0,"",IF(COUNTA(A1941:D1941,G1941:I1941)&lt;7,"LENGKAPI",IF(H1941+I1941&gt;N(F1941)+G1941,"ABNORMAL",IF(COUNTIFS($A$2:$A$2001,A1941,$B$2:$B$2001,B1941,$C$2:$C$2001,C1941,$D$2:$D$2001,D1941)&gt;1,"DUPLIKAT","OK"))))</f>
        <v/>
      </c>
    </row>
    <row r="1942">
      <c r="A1942" s="4" t="n"/>
      <c r="B1942" s="5" t="n"/>
      <c r="C1942" s="5" t="n"/>
      <c r="D1942" s="5" t="n"/>
      <c r="E1942" s="6">
        <f>IF(A1942="","","B"&amp;TEXT(COUNT($A$2:A1942),"00000"))</f>
        <v/>
      </c>
      <c r="F1942" s="6">
        <f>IF(OR(C1942="",D1942=""),"",IFERROR(LOOKUP(2,1/(($C$1:C1941=C1942)*($D$1:D1941=D1942)*ISNUMBER($J$1:J1941)),$J$1:J1941),SUMIFS(Master!$G$2:$G$13,Master!$E$2:$E$13,C1942,Master!$F$2:$F$13,D1942)))</f>
        <v/>
      </c>
      <c r="G1942" s="5" t="n"/>
      <c r="H1942" s="5" t="n"/>
      <c r="I1942" s="5" t="n"/>
      <c r="J1942" s="6">
        <f>IF(OR(F1942="",COUNT(G1942:I1942)&lt;3),"",F1942+G1942-H1942-I1942)</f>
        <v/>
      </c>
      <c r="K1942" s="6">
        <f>IF(COUNTA(A1942:D1942,G1942:I1942)=0,"",IF(COUNTA(A1942:D1942,G1942:I1942)&lt;7,"LENGKAPI",IF(H1942+I1942&gt;N(F1942)+G1942,"ABNORMAL",IF(COUNTIFS($A$2:$A$2001,A1942,$B$2:$B$2001,B1942,$C$2:$C$2001,C1942,$D$2:$D$2001,D1942)&gt;1,"DUPLIKAT","OK"))))</f>
        <v/>
      </c>
    </row>
    <row r="1943">
      <c r="A1943" s="4" t="n"/>
      <c r="B1943" s="5" t="n"/>
      <c r="C1943" s="5" t="n"/>
      <c r="D1943" s="5" t="n"/>
      <c r="E1943" s="6">
        <f>IF(A1943="","","B"&amp;TEXT(COUNT($A$2:A1943),"00000"))</f>
        <v/>
      </c>
      <c r="F1943" s="6">
        <f>IF(OR(C1943="",D1943=""),"",IFERROR(LOOKUP(2,1/(($C$1:C1942=C1943)*($D$1:D1942=D1943)*ISNUMBER($J$1:J1942)),$J$1:J1942),SUMIFS(Master!$G$2:$G$13,Master!$E$2:$E$13,C1943,Master!$F$2:$F$13,D1943)))</f>
        <v/>
      </c>
      <c r="G1943" s="5" t="n"/>
      <c r="H1943" s="5" t="n"/>
      <c r="I1943" s="5" t="n"/>
      <c r="J1943" s="6">
        <f>IF(OR(F1943="",COUNT(G1943:I1943)&lt;3),"",F1943+G1943-H1943-I1943)</f>
        <v/>
      </c>
      <c r="K1943" s="6">
        <f>IF(COUNTA(A1943:D1943,G1943:I1943)=0,"",IF(COUNTA(A1943:D1943,G1943:I1943)&lt;7,"LENGKAPI",IF(H1943+I1943&gt;N(F1943)+G1943,"ABNORMAL",IF(COUNTIFS($A$2:$A$2001,A1943,$B$2:$B$2001,B1943,$C$2:$C$2001,C1943,$D$2:$D$2001,D1943)&gt;1,"DUPLIKAT","OK"))))</f>
        <v/>
      </c>
    </row>
    <row r="1944">
      <c r="A1944" s="4" t="n"/>
      <c r="B1944" s="5" t="n"/>
      <c r="C1944" s="5" t="n"/>
      <c r="D1944" s="5" t="n"/>
      <c r="E1944" s="6">
        <f>IF(A1944="","","B"&amp;TEXT(COUNT($A$2:A1944),"00000"))</f>
        <v/>
      </c>
      <c r="F1944" s="6">
        <f>IF(OR(C1944="",D1944=""),"",IFERROR(LOOKUP(2,1/(($C$1:C1943=C1944)*($D$1:D1943=D1944)*ISNUMBER($J$1:J1943)),$J$1:J1943),SUMIFS(Master!$G$2:$G$13,Master!$E$2:$E$13,C1944,Master!$F$2:$F$13,D1944)))</f>
        <v/>
      </c>
      <c r="G1944" s="5" t="n"/>
      <c r="H1944" s="5" t="n"/>
      <c r="I1944" s="5" t="n"/>
      <c r="J1944" s="6">
        <f>IF(OR(F1944="",COUNT(G1944:I1944)&lt;3),"",F1944+G1944-H1944-I1944)</f>
        <v/>
      </c>
      <c r="K1944" s="6">
        <f>IF(COUNTA(A1944:D1944,G1944:I1944)=0,"",IF(COUNTA(A1944:D1944,G1944:I1944)&lt;7,"LENGKAPI",IF(H1944+I1944&gt;N(F1944)+G1944,"ABNORMAL",IF(COUNTIFS($A$2:$A$2001,A1944,$B$2:$B$2001,B1944,$C$2:$C$2001,C1944,$D$2:$D$2001,D1944)&gt;1,"DUPLIKAT","OK"))))</f>
        <v/>
      </c>
    </row>
    <row r="1945">
      <c r="A1945" s="4" t="n"/>
      <c r="B1945" s="5" t="n"/>
      <c r="C1945" s="5" t="n"/>
      <c r="D1945" s="5" t="n"/>
      <c r="E1945" s="6">
        <f>IF(A1945="","","B"&amp;TEXT(COUNT($A$2:A1945),"00000"))</f>
        <v/>
      </c>
      <c r="F1945" s="6">
        <f>IF(OR(C1945="",D1945=""),"",IFERROR(LOOKUP(2,1/(($C$1:C1944=C1945)*($D$1:D1944=D1945)*ISNUMBER($J$1:J1944)),$J$1:J1944),SUMIFS(Master!$G$2:$G$13,Master!$E$2:$E$13,C1945,Master!$F$2:$F$13,D1945)))</f>
        <v/>
      </c>
      <c r="G1945" s="5" t="n"/>
      <c r="H1945" s="5" t="n"/>
      <c r="I1945" s="5" t="n"/>
      <c r="J1945" s="6">
        <f>IF(OR(F1945="",COUNT(G1945:I1945)&lt;3),"",F1945+G1945-H1945-I1945)</f>
        <v/>
      </c>
      <c r="K1945" s="6">
        <f>IF(COUNTA(A1945:D1945,G1945:I1945)=0,"",IF(COUNTA(A1945:D1945,G1945:I1945)&lt;7,"LENGKAPI",IF(H1945+I1945&gt;N(F1945)+G1945,"ABNORMAL",IF(COUNTIFS($A$2:$A$2001,A1945,$B$2:$B$2001,B1945,$C$2:$C$2001,C1945,$D$2:$D$2001,D1945)&gt;1,"DUPLIKAT","OK"))))</f>
        <v/>
      </c>
    </row>
    <row r="1946">
      <c r="A1946" s="4" t="n"/>
      <c r="B1946" s="5" t="n"/>
      <c r="C1946" s="5" t="n"/>
      <c r="D1946" s="5" t="n"/>
      <c r="E1946" s="6">
        <f>IF(A1946="","","B"&amp;TEXT(COUNT($A$2:A1946),"00000"))</f>
        <v/>
      </c>
      <c r="F1946" s="6">
        <f>IF(OR(C1946="",D1946=""),"",IFERROR(LOOKUP(2,1/(($C$1:C1945=C1946)*($D$1:D1945=D1946)*ISNUMBER($J$1:J1945)),$J$1:J1945),SUMIFS(Master!$G$2:$G$13,Master!$E$2:$E$13,C1946,Master!$F$2:$F$13,D1946)))</f>
        <v/>
      </c>
      <c r="G1946" s="5" t="n"/>
      <c r="H1946" s="5" t="n"/>
      <c r="I1946" s="5" t="n"/>
      <c r="J1946" s="6">
        <f>IF(OR(F1946="",COUNT(G1946:I1946)&lt;3),"",F1946+G1946-H1946-I1946)</f>
        <v/>
      </c>
      <c r="K1946" s="6">
        <f>IF(COUNTA(A1946:D1946,G1946:I1946)=0,"",IF(COUNTA(A1946:D1946,G1946:I1946)&lt;7,"LENGKAPI",IF(H1946+I1946&gt;N(F1946)+G1946,"ABNORMAL",IF(COUNTIFS($A$2:$A$2001,A1946,$B$2:$B$2001,B1946,$C$2:$C$2001,C1946,$D$2:$D$2001,D1946)&gt;1,"DUPLIKAT","OK"))))</f>
        <v/>
      </c>
    </row>
    <row r="1947">
      <c r="A1947" s="4" t="n"/>
      <c r="B1947" s="5" t="n"/>
      <c r="C1947" s="5" t="n"/>
      <c r="D1947" s="5" t="n"/>
      <c r="E1947" s="6">
        <f>IF(A1947="","","B"&amp;TEXT(COUNT($A$2:A1947),"00000"))</f>
        <v/>
      </c>
      <c r="F1947" s="6">
        <f>IF(OR(C1947="",D1947=""),"",IFERROR(LOOKUP(2,1/(($C$1:C1946=C1947)*($D$1:D1946=D1947)*ISNUMBER($J$1:J1946)),$J$1:J1946),SUMIFS(Master!$G$2:$G$13,Master!$E$2:$E$13,C1947,Master!$F$2:$F$13,D1947)))</f>
        <v/>
      </c>
      <c r="G1947" s="5" t="n"/>
      <c r="H1947" s="5" t="n"/>
      <c r="I1947" s="5" t="n"/>
      <c r="J1947" s="6">
        <f>IF(OR(F1947="",COUNT(G1947:I1947)&lt;3),"",F1947+G1947-H1947-I1947)</f>
        <v/>
      </c>
      <c r="K1947" s="6">
        <f>IF(COUNTA(A1947:D1947,G1947:I1947)=0,"",IF(COUNTA(A1947:D1947,G1947:I1947)&lt;7,"LENGKAPI",IF(H1947+I1947&gt;N(F1947)+G1947,"ABNORMAL",IF(COUNTIFS($A$2:$A$2001,A1947,$B$2:$B$2001,B1947,$C$2:$C$2001,C1947,$D$2:$D$2001,D1947)&gt;1,"DUPLIKAT","OK"))))</f>
        <v/>
      </c>
    </row>
    <row r="1948">
      <c r="A1948" s="4" t="n"/>
      <c r="B1948" s="5" t="n"/>
      <c r="C1948" s="5" t="n"/>
      <c r="D1948" s="5" t="n"/>
      <c r="E1948" s="6">
        <f>IF(A1948="","","B"&amp;TEXT(COUNT($A$2:A1948),"00000"))</f>
        <v/>
      </c>
      <c r="F1948" s="6">
        <f>IF(OR(C1948="",D1948=""),"",IFERROR(LOOKUP(2,1/(($C$1:C1947=C1948)*($D$1:D1947=D1948)*ISNUMBER($J$1:J1947)),$J$1:J1947),SUMIFS(Master!$G$2:$G$13,Master!$E$2:$E$13,C1948,Master!$F$2:$F$13,D1948)))</f>
        <v/>
      </c>
      <c r="G1948" s="5" t="n"/>
      <c r="H1948" s="5" t="n"/>
      <c r="I1948" s="5" t="n"/>
      <c r="J1948" s="6">
        <f>IF(OR(F1948="",COUNT(G1948:I1948)&lt;3),"",F1948+G1948-H1948-I1948)</f>
        <v/>
      </c>
      <c r="K1948" s="6">
        <f>IF(COUNTA(A1948:D1948,G1948:I1948)=0,"",IF(COUNTA(A1948:D1948,G1948:I1948)&lt;7,"LENGKAPI",IF(H1948+I1948&gt;N(F1948)+G1948,"ABNORMAL",IF(COUNTIFS($A$2:$A$2001,A1948,$B$2:$B$2001,B1948,$C$2:$C$2001,C1948,$D$2:$D$2001,D1948)&gt;1,"DUPLIKAT","OK"))))</f>
        <v/>
      </c>
    </row>
    <row r="1949">
      <c r="A1949" s="4" t="n"/>
      <c r="B1949" s="5" t="n"/>
      <c r="C1949" s="5" t="n"/>
      <c r="D1949" s="5" t="n"/>
      <c r="E1949" s="6">
        <f>IF(A1949="","","B"&amp;TEXT(COUNT($A$2:A1949),"00000"))</f>
        <v/>
      </c>
      <c r="F1949" s="6">
        <f>IF(OR(C1949="",D1949=""),"",IFERROR(LOOKUP(2,1/(($C$1:C1948=C1949)*($D$1:D1948=D1949)*ISNUMBER($J$1:J1948)),$J$1:J1948),SUMIFS(Master!$G$2:$G$13,Master!$E$2:$E$13,C1949,Master!$F$2:$F$13,D1949)))</f>
        <v/>
      </c>
      <c r="G1949" s="5" t="n"/>
      <c r="H1949" s="5" t="n"/>
      <c r="I1949" s="5" t="n"/>
      <c r="J1949" s="6">
        <f>IF(OR(F1949="",COUNT(G1949:I1949)&lt;3),"",F1949+G1949-H1949-I1949)</f>
        <v/>
      </c>
      <c r="K1949" s="6">
        <f>IF(COUNTA(A1949:D1949,G1949:I1949)=0,"",IF(COUNTA(A1949:D1949,G1949:I1949)&lt;7,"LENGKAPI",IF(H1949+I1949&gt;N(F1949)+G1949,"ABNORMAL",IF(COUNTIFS($A$2:$A$2001,A1949,$B$2:$B$2001,B1949,$C$2:$C$2001,C1949,$D$2:$D$2001,D1949)&gt;1,"DUPLIKAT","OK"))))</f>
        <v/>
      </c>
    </row>
    <row r="1950">
      <c r="A1950" s="4" t="n"/>
      <c r="B1950" s="5" t="n"/>
      <c r="C1950" s="5" t="n"/>
      <c r="D1950" s="5" t="n"/>
      <c r="E1950" s="6">
        <f>IF(A1950="","","B"&amp;TEXT(COUNT($A$2:A1950),"00000"))</f>
        <v/>
      </c>
      <c r="F1950" s="6">
        <f>IF(OR(C1950="",D1950=""),"",IFERROR(LOOKUP(2,1/(($C$1:C1949=C1950)*($D$1:D1949=D1950)*ISNUMBER($J$1:J1949)),$J$1:J1949),SUMIFS(Master!$G$2:$G$13,Master!$E$2:$E$13,C1950,Master!$F$2:$F$13,D1950)))</f>
        <v/>
      </c>
      <c r="G1950" s="5" t="n"/>
      <c r="H1950" s="5" t="n"/>
      <c r="I1950" s="5" t="n"/>
      <c r="J1950" s="6">
        <f>IF(OR(F1950="",COUNT(G1950:I1950)&lt;3),"",F1950+G1950-H1950-I1950)</f>
        <v/>
      </c>
      <c r="K1950" s="6">
        <f>IF(COUNTA(A1950:D1950,G1950:I1950)=0,"",IF(COUNTA(A1950:D1950,G1950:I1950)&lt;7,"LENGKAPI",IF(H1950+I1950&gt;N(F1950)+G1950,"ABNORMAL",IF(COUNTIFS($A$2:$A$2001,A1950,$B$2:$B$2001,B1950,$C$2:$C$2001,C1950,$D$2:$D$2001,D1950)&gt;1,"DUPLIKAT","OK"))))</f>
        <v/>
      </c>
    </row>
    <row r="1951">
      <c r="A1951" s="4" t="n"/>
      <c r="B1951" s="5" t="n"/>
      <c r="C1951" s="5" t="n"/>
      <c r="D1951" s="5" t="n"/>
      <c r="E1951" s="6">
        <f>IF(A1951="","","B"&amp;TEXT(COUNT($A$2:A1951),"00000"))</f>
        <v/>
      </c>
      <c r="F1951" s="6">
        <f>IF(OR(C1951="",D1951=""),"",IFERROR(LOOKUP(2,1/(($C$1:C1950=C1951)*($D$1:D1950=D1951)*ISNUMBER($J$1:J1950)),$J$1:J1950),SUMIFS(Master!$G$2:$G$13,Master!$E$2:$E$13,C1951,Master!$F$2:$F$13,D1951)))</f>
        <v/>
      </c>
      <c r="G1951" s="5" t="n"/>
      <c r="H1951" s="5" t="n"/>
      <c r="I1951" s="5" t="n"/>
      <c r="J1951" s="6">
        <f>IF(OR(F1951="",COUNT(G1951:I1951)&lt;3),"",F1951+G1951-H1951-I1951)</f>
        <v/>
      </c>
      <c r="K1951" s="6">
        <f>IF(COUNTA(A1951:D1951,G1951:I1951)=0,"",IF(COUNTA(A1951:D1951,G1951:I1951)&lt;7,"LENGKAPI",IF(H1951+I1951&gt;N(F1951)+G1951,"ABNORMAL",IF(COUNTIFS($A$2:$A$2001,A1951,$B$2:$B$2001,B1951,$C$2:$C$2001,C1951,$D$2:$D$2001,D1951)&gt;1,"DUPLIKAT","OK"))))</f>
        <v/>
      </c>
    </row>
    <row r="1952">
      <c r="A1952" s="4" t="n"/>
      <c r="B1952" s="5" t="n"/>
      <c r="C1952" s="5" t="n"/>
      <c r="D1952" s="5" t="n"/>
      <c r="E1952" s="6">
        <f>IF(A1952="","","B"&amp;TEXT(COUNT($A$2:A1952),"00000"))</f>
        <v/>
      </c>
      <c r="F1952" s="6">
        <f>IF(OR(C1952="",D1952=""),"",IFERROR(LOOKUP(2,1/(($C$1:C1951=C1952)*($D$1:D1951=D1952)*ISNUMBER($J$1:J1951)),$J$1:J1951),SUMIFS(Master!$G$2:$G$13,Master!$E$2:$E$13,C1952,Master!$F$2:$F$13,D1952)))</f>
        <v/>
      </c>
      <c r="G1952" s="5" t="n"/>
      <c r="H1952" s="5" t="n"/>
      <c r="I1952" s="5" t="n"/>
      <c r="J1952" s="6">
        <f>IF(OR(F1952="",COUNT(G1952:I1952)&lt;3),"",F1952+G1952-H1952-I1952)</f>
        <v/>
      </c>
      <c r="K1952" s="6">
        <f>IF(COUNTA(A1952:D1952,G1952:I1952)=0,"",IF(COUNTA(A1952:D1952,G1952:I1952)&lt;7,"LENGKAPI",IF(H1952+I1952&gt;N(F1952)+G1952,"ABNORMAL",IF(COUNTIFS($A$2:$A$2001,A1952,$B$2:$B$2001,B1952,$C$2:$C$2001,C1952,$D$2:$D$2001,D1952)&gt;1,"DUPLIKAT","OK"))))</f>
        <v/>
      </c>
    </row>
    <row r="1953">
      <c r="A1953" s="4" t="n"/>
      <c r="B1953" s="5" t="n"/>
      <c r="C1953" s="5" t="n"/>
      <c r="D1953" s="5" t="n"/>
      <c r="E1953" s="6">
        <f>IF(A1953="","","B"&amp;TEXT(COUNT($A$2:A1953),"00000"))</f>
        <v/>
      </c>
      <c r="F1953" s="6">
        <f>IF(OR(C1953="",D1953=""),"",IFERROR(LOOKUP(2,1/(($C$1:C1952=C1953)*($D$1:D1952=D1953)*ISNUMBER($J$1:J1952)),$J$1:J1952),SUMIFS(Master!$G$2:$G$13,Master!$E$2:$E$13,C1953,Master!$F$2:$F$13,D1953)))</f>
        <v/>
      </c>
      <c r="G1953" s="5" t="n"/>
      <c r="H1953" s="5" t="n"/>
      <c r="I1953" s="5" t="n"/>
      <c r="J1953" s="6">
        <f>IF(OR(F1953="",COUNT(G1953:I1953)&lt;3),"",F1953+G1953-H1953-I1953)</f>
        <v/>
      </c>
      <c r="K1953" s="6">
        <f>IF(COUNTA(A1953:D1953,G1953:I1953)=0,"",IF(COUNTA(A1953:D1953,G1953:I1953)&lt;7,"LENGKAPI",IF(H1953+I1953&gt;N(F1953)+G1953,"ABNORMAL",IF(COUNTIFS($A$2:$A$2001,A1953,$B$2:$B$2001,B1953,$C$2:$C$2001,C1953,$D$2:$D$2001,D1953)&gt;1,"DUPLIKAT","OK"))))</f>
        <v/>
      </c>
    </row>
    <row r="1954">
      <c r="A1954" s="4" t="n"/>
      <c r="B1954" s="5" t="n"/>
      <c r="C1954" s="5" t="n"/>
      <c r="D1954" s="5" t="n"/>
      <c r="E1954" s="6">
        <f>IF(A1954="","","B"&amp;TEXT(COUNT($A$2:A1954),"00000"))</f>
        <v/>
      </c>
      <c r="F1954" s="6">
        <f>IF(OR(C1954="",D1954=""),"",IFERROR(LOOKUP(2,1/(($C$1:C1953=C1954)*($D$1:D1953=D1954)*ISNUMBER($J$1:J1953)),$J$1:J1953),SUMIFS(Master!$G$2:$G$13,Master!$E$2:$E$13,C1954,Master!$F$2:$F$13,D1954)))</f>
        <v/>
      </c>
      <c r="G1954" s="5" t="n"/>
      <c r="H1954" s="5" t="n"/>
      <c r="I1954" s="5" t="n"/>
      <c r="J1954" s="6">
        <f>IF(OR(F1954="",COUNT(G1954:I1954)&lt;3),"",F1954+G1954-H1954-I1954)</f>
        <v/>
      </c>
      <c r="K1954" s="6">
        <f>IF(COUNTA(A1954:D1954,G1954:I1954)=0,"",IF(COUNTA(A1954:D1954,G1954:I1954)&lt;7,"LENGKAPI",IF(H1954+I1954&gt;N(F1954)+G1954,"ABNORMAL",IF(COUNTIFS($A$2:$A$2001,A1954,$B$2:$B$2001,B1954,$C$2:$C$2001,C1954,$D$2:$D$2001,D1954)&gt;1,"DUPLIKAT","OK"))))</f>
        <v/>
      </c>
    </row>
    <row r="1955">
      <c r="A1955" s="4" t="n"/>
      <c r="B1955" s="5" t="n"/>
      <c r="C1955" s="5" t="n"/>
      <c r="D1955" s="5" t="n"/>
      <c r="E1955" s="6">
        <f>IF(A1955="","","B"&amp;TEXT(COUNT($A$2:A1955),"00000"))</f>
        <v/>
      </c>
      <c r="F1955" s="6">
        <f>IF(OR(C1955="",D1955=""),"",IFERROR(LOOKUP(2,1/(($C$1:C1954=C1955)*($D$1:D1954=D1955)*ISNUMBER($J$1:J1954)),$J$1:J1954),SUMIFS(Master!$G$2:$G$13,Master!$E$2:$E$13,C1955,Master!$F$2:$F$13,D1955)))</f>
        <v/>
      </c>
      <c r="G1955" s="5" t="n"/>
      <c r="H1955" s="5" t="n"/>
      <c r="I1955" s="5" t="n"/>
      <c r="J1955" s="6">
        <f>IF(OR(F1955="",COUNT(G1955:I1955)&lt;3),"",F1955+G1955-H1955-I1955)</f>
        <v/>
      </c>
      <c r="K1955" s="6">
        <f>IF(COUNTA(A1955:D1955,G1955:I1955)=0,"",IF(COUNTA(A1955:D1955,G1955:I1955)&lt;7,"LENGKAPI",IF(H1955+I1955&gt;N(F1955)+G1955,"ABNORMAL",IF(COUNTIFS($A$2:$A$2001,A1955,$B$2:$B$2001,B1955,$C$2:$C$2001,C1955,$D$2:$D$2001,D1955)&gt;1,"DUPLIKAT","OK"))))</f>
        <v/>
      </c>
    </row>
    <row r="1956">
      <c r="A1956" s="4" t="n"/>
      <c r="B1956" s="5" t="n"/>
      <c r="C1956" s="5" t="n"/>
      <c r="D1956" s="5" t="n"/>
      <c r="E1956" s="6">
        <f>IF(A1956="","","B"&amp;TEXT(COUNT($A$2:A1956),"00000"))</f>
        <v/>
      </c>
      <c r="F1956" s="6">
        <f>IF(OR(C1956="",D1956=""),"",IFERROR(LOOKUP(2,1/(($C$1:C1955=C1956)*($D$1:D1955=D1956)*ISNUMBER($J$1:J1955)),$J$1:J1955),SUMIFS(Master!$G$2:$G$13,Master!$E$2:$E$13,C1956,Master!$F$2:$F$13,D1956)))</f>
        <v/>
      </c>
      <c r="G1956" s="5" t="n"/>
      <c r="H1956" s="5" t="n"/>
      <c r="I1956" s="5" t="n"/>
      <c r="J1956" s="6">
        <f>IF(OR(F1956="",COUNT(G1956:I1956)&lt;3),"",F1956+G1956-H1956-I1956)</f>
        <v/>
      </c>
      <c r="K1956" s="6">
        <f>IF(COUNTA(A1956:D1956,G1956:I1956)=0,"",IF(COUNTA(A1956:D1956,G1956:I1956)&lt;7,"LENGKAPI",IF(H1956+I1956&gt;N(F1956)+G1956,"ABNORMAL",IF(COUNTIFS($A$2:$A$2001,A1956,$B$2:$B$2001,B1956,$C$2:$C$2001,C1956,$D$2:$D$2001,D1956)&gt;1,"DUPLIKAT","OK"))))</f>
        <v/>
      </c>
    </row>
    <row r="1957">
      <c r="A1957" s="4" t="n"/>
      <c r="B1957" s="5" t="n"/>
      <c r="C1957" s="5" t="n"/>
      <c r="D1957" s="5" t="n"/>
      <c r="E1957" s="6">
        <f>IF(A1957="","","B"&amp;TEXT(COUNT($A$2:A1957),"00000"))</f>
        <v/>
      </c>
      <c r="F1957" s="6">
        <f>IF(OR(C1957="",D1957=""),"",IFERROR(LOOKUP(2,1/(($C$1:C1956=C1957)*($D$1:D1956=D1957)*ISNUMBER($J$1:J1956)),$J$1:J1956),SUMIFS(Master!$G$2:$G$13,Master!$E$2:$E$13,C1957,Master!$F$2:$F$13,D1957)))</f>
        <v/>
      </c>
      <c r="G1957" s="5" t="n"/>
      <c r="H1957" s="5" t="n"/>
      <c r="I1957" s="5" t="n"/>
      <c r="J1957" s="6">
        <f>IF(OR(F1957="",COUNT(G1957:I1957)&lt;3),"",F1957+G1957-H1957-I1957)</f>
        <v/>
      </c>
      <c r="K1957" s="6">
        <f>IF(COUNTA(A1957:D1957,G1957:I1957)=0,"",IF(COUNTA(A1957:D1957,G1957:I1957)&lt;7,"LENGKAPI",IF(H1957+I1957&gt;N(F1957)+G1957,"ABNORMAL",IF(COUNTIFS($A$2:$A$2001,A1957,$B$2:$B$2001,B1957,$C$2:$C$2001,C1957,$D$2:$D$2001,D1957)&gt;1,"DUPLIKAT","OK"))))</f>
        <v/>
      </c>
    </row>
    <row r="1958">
      <c r="A1958" s="4" t="n"/>
      <c r="B1958" s="5" t="n"/>
      <c r="C1958" s="5" t="n"/>
      <c r="D1958" s="5" t="n"/>
      <c r="E1958" s="6">
        <f>IF(A1958="","","B"&amp;TEXT(COUNT($A$2:A1958),"00000"))</f>
        <v/>
      </c>
      <c r="F1958" s="6">
        <f>IF(OR(C1958="",D1958=""),"",IFERROR(LOOKUP(2,1/(($C$1:C1957=C1958)*($D$1:D1957=D1958)*ISNUMBER($J$1:J1957)),$J$1:J1957),SUMIFS(Master!$G$2:$G$13,Master!$E$2:$E$13,C1958,Master!$F$2:$F$13,D1958)))</f>
        <v/>
      </c>
      <c r="G1958" s="5" t="n"/>
      <c r="H1958" s="5" t="n"/>
      <c r="I1958" s="5" t="n"/>
      <c r="J1958" s="6">
        <f>IF(OR(F1958="",COUNT(G1958:I1958)&lt;3),"",F1958+G1958-H1958-I1958)</f>
        <v/>
      </c>
      <c r="K1958" s="6">
        <f>IF(COUNTA(A1958:D1958,G1958:I1958)=0,"",IF(COUNTA(A1958:D1958,G1958:I1958)&lt;7,"LENGKAPI",IF(H1958+I1958&gt;N(F1958)+G1958,"ABNORMAL",IF(COUNTIFS($A$2:$A$2001,A1958,$B$2:$B$2001,B1958,$C$2:$C$2001,C1958,$D$2:$D$2001,D1958)&gt;1,"DUPLIKAT","OK"))))</f>
        <v/>
      </c>
    </row>
    <row r="1959">
      <c r="A1959" s="4" t="n"/>
      <c r="B1959" s="5" t="n"/>
      <c r="C1959" s="5" t="n"/>
      <c r="D1959" s="5" t="n"/>
      <c r="E1959" s="6">
        <f>IF(A1959="","","B"&amp;TEXT(COUNT($A$2:A1959),"00000"))</f>
        <v/>
      </c>
      <c r="F1959" s="6">
        <f>IF(OR(C1959="",D1959=""),"",IFERROR(LOOKUP(2,1/(($C$1:C1958=C1959)*($D$1:D1958=D1959)*ISNUMBER($J$1:J1958)),$J$1:J1958),SUMIFS(Master!$G$2:$G$13,Master!$E$2:$E$13,C1959,Master!$F$2:$F$13,D1959)))</f>
        <v/>
      </c>
      <c r="G1959" s="5" t="n"/>
      <c r="H1959" s="5" t="n"/>
      <c r="I1959" s="5" t="n"/>
      <c r="J1959" s="6">
        <f>IF(OR(F1959="",COUNT(G1959:I1959)&lt;3),"",F1959+G1959-H1959-I1959)</f>
        <v/>
      </c>
      <c r="K1959" s="6">
        <f>IF(COUNTA(A1959:D1959,G1959:I1959)=0,"",IF(COUNTA(A1959:D1959,G1959:I1959)&lt;7,"LENGKAPI",IF(H1959+I1959&gt;N(F1959)+G1959,"ABNORMAL",IF(COUNTIFS($A$2:$A$2001,A1959,$B$2:$B$2001,B1959,$C$2:$C$2001,C1959,$D$2:$D$2001,D1959)&gt;1,"DUPLIKAT","OK"))))</f>
        <v/>
      </c>
    </row>
    <row r="1960">
      <c r="A1960" s="4" t="n"/>
      <c r="B1960" s="5" t="n"/>
      <c r="C1960" s="5" t="n"/>
      <c r="D1960" s="5" t="n"/>
      <c r="E1960" s="6">
        <f>IF(A1960="","","B"&amp;TEXT(COUNT($A$2:A1960),"00000"))</f>
        <v/>
      </c>
      <c r="F1960" s="6">
        <f>IF(OR(C1960="",D1960=""),"",IFERROR(LOOKUP(2,1/(($C$1:C1959=C1960)*($D$1:D1959=D1960)*ISNUMBER($J$1:J1959)),$J$1:J1959),SUMIFS(Master!$G$2:$G$13,Master!$E$2:$E$13,C1960,Master!$F$2:$F$13,D1960)))</f>
        <v/>
      </c>
      <c r="G1960" s="5" t="n"/>
      <c r="H1960" s="5" t="n"/>
      <c r="I1960" s="5" t="n"/>
      <c r="J1960" s="6">
        <f>IF(OR(F1960="",COUNT(G1960:I1960)&lt;3),"",F1960+G1960-H1960-I1960)</f>
        <v/>
      </c>
      <c r="K1960" s="6">
        <f>IF(COUNTA(A1960:D1960,G1960:I1960)=0,"",IF(COUNTA(A1960:D1960,G1960:I1960)&lt;7,"LENGKAPI",IF(H1960+I1960&gt;N(F1960)+G1960,"ABNORMAL",IF(COUNTIFS($A$2:$A$2001,A1960,$B$2:$B$2001,B1960,$C$2:$C$2001,C1960,$D$2:$D$2001,D1960)&gt;1,"DUPLIKAT","OK"))))</f>
        <v/>
      </c>
    </row>
    <row r="1961">
      <c r="A1961" s="4" t="n"/>
      <c r="B1961" s="5" t="n"/>
      <c r="C1961" s="5" t="n"/>
      <c r="D1961" s="5" t="n"/>
      <c r="E1961" s="6">
        <f>IF(A1961="","","B"&amp;TEXT(COUNT($A$2:A1961),"00000"))</f>
        <v/>
      </c>
      <c r="F1961" s="6">
        <f>IF(OR(C1961="",D1961=""),"",IFERROR(LOOKUP(2,1/(($C$1:C1960=C1961)*($D$1:D1960=D1961)*ISNUMBER($J$1:J1960)),$J$1:J1960),SUMIFS(Master!$G$2:$G$13,Master!$E$2:$E$13,C1961,Master!$F$2:$F$13,D1961)))</f>
        <v/>
      </c>
      <c r="G1961" s="5" t="n"/>
      <c r="H1961" s="5" t="n"/>
      <c r="I1961" s="5" t="n"/>
      <c r="J1961" s="6">
        <f>IF(OR(F1961="",COUNT(G1961:I1961)&lt;3),"",F1961+G1961-H1961-I1961)</f>
        <v/>
      </c>
      <c r="K1961" s="6">
        <f>IF(COUNTA(A1961:D1961,G1961:I1961)=0,"",IF(COUNTA(A1961:D1961,G1961:I1961)&lt;7,"LENGKAPI",IF(H1961+I1961&gt;N(F1961)+G1961,"ABNORMAL",IF(COUNTIFS($A$2:$A$2001,A1961,$B$2:$B$2001,B1961,$C$2:$C$2001,C1961,$D$2:$D$2001,D1961)&gt;1,"DUPLIKAT","OK"))))</f>
        <v/>
      </c>
    </row>
    <row r="1962">
      <c r="A1962" s="4" t="n"/>
      <c r="B1962" s="5" t="n"/>
      <c r="C1962" s="5" t="n"/>
      <c r="D1962" s="5" t="n"/>
      <c r="E1962" s="6">
        <f>IF(A1962="","","B"&amp;TEXT(COUNT($A$2:A1962),"00000"))</f>
        <v/>
      </c>
      <c r="F1962" s="6">
        <f>IF(OR(C1962="",D1962=""),"",IFERROR(LOOKUP(2,1/(($C$1:C1961=C1962)*($D$1:D1961=D1962)*ISNUMBER($J$1:J1961)),$J$1:J1961),SUMIFS(Master!$G$2:$G$13,Master!$E$2:$E$13,C1962,Master!$F$2:$F$13,D1962)))</f>
        <v/>
      </c>
      <c r="G1962" s="5" t="n"/>
      <c r="H1962" s="5" t="n"/>
      <c r="I1962" s="5" t="n"/>
      <c r="J1962" s="6">
        <f>IF(OR(F1962="",COUNT(G1962:I1962)&lt;3),"",F1962+G1962-H1962-I1962)</f>
        <v/>
      </c>
      <c r="K1962" s="6">
        <f>IF(COUNTA(A1962:D1962,G1962:I1962)=0,"",IF(COUNTA(A1962:D1962,G1962:I1962)&lt;7,"LENGKAPI",IF(H1962+I1962&gt;N(F1962)+G1962,"ABNORMAL",IF(COUNTIFS($A$2:$A$2001,A1962,$B$2:$B$2001,B1962,$C$2:$C$2001,C1962,$D$2:$D$2001,D1962)&gt;1,"DUPLIKAT","OK"))))</f>
        <v/>
      </c>
    </row>
    <row r="1963">
      <c r="A1963" s="4" t="n"/>
      <c r="B1963" s="5" t="n"/>
      <c r="C1963" s="5" t="n"/>
      <c r="D1963" s="5" t="n"/>
      <c r="E1963" s="6">
        <f>IF(A1963="","","B"&amp;TEXT(COUNT($A$2:A1963),"00000"))</f>
        <v/>
      </c>
      <c r="F1963" s="6">
        <f>IF(OR(C1963="",D1963=""),"",IFERROR(LOOKUP(2,1/(($C$1:C1962=C1963)*($D$1:D1962=D1963)*ISNUMBER($J$1:J1962)),$J$1:J1962),SUMIFS(Master!$G$2:$G$13,Master!$E$2:$E$13,C1963,Master!$F$2:$F$13,D1963)))</f>
        <v/>
      </c>
      <c r="G1963" s="5" t="n"/>
      <c r="H1963" s="5" t="n"/>
      <c r="I1963" s="5" t="n"/>
      <c r="J1963" s="6">
        <f>IF(OR(F1963="",COUNT(G1963:I1963)&lt;3),"",F1963+G1963-H1963-I1963)</f>
        <v/>
      </c>
      <c r="K1963" s="6">
        <f>IF(COUNTA(A1963:D1963,G1963:I1963)=0,"",IF(COUNTA(A1963:D1963,G1963:I1963)&lt;7,"LENGKAPI",IF(H1963+I1963&gt;N(F1963)+G1963,"ABNORMAL",IF(COUNTIFS($A$2:$A$2001,A1963,$B$2:$B$2001,B1963,$C$2:$C$2001,C1963,$D$2:$D$2001,D1963)&gt;1,"DUPLIKAT","OK"))))</f>
        <v/>
      </c>
    </row>
    <row r="1964">
      <c r="A1964" s="4" t="n"/>
      <c r="B1964" s="5" t="n"/>
      <c r="C1964" s="5" t="n"/>
      <c r="D1964" s="5" t="n"/>
      <c r="E1964" s="6">
        <f>IF(A1964="","","B"&amp;TEXT(COUNT($A$2:A1964),"00000"))</f>
        <v/>
      </c>
      <c r="F1964" s="6">
        <f>IF(OR(C1964="",D1964=""),"",IFERROR(LOOKUP(2,1/(($C$1:C1963=C1964)*($D$1:D1963=D1964)*ISNUMBER($J$1:J1963)),$J$1:J1963),SUMIFS(Master!$G$2:$G$13,Master!$E$2:$E$13,C1964,Master!$F$2:$F$13,D1964)))</f>
        <v/>
      </c>
      <c r="G1964" s="5" t="n"/>
      <c r="H1964" s="5" t="n"/>
      <c r="I1964" s="5" t="n"/>
      <c r="J1964" s="6">
        <f>IF(OR(F1964="",COUNT(G1964:I1964)&lt;3),"",F1964+G1964-H1964-I1964)</f>
        <v/>
      </c>
      <c r="K1964" s="6">
        <f>IF(COUNTA(A1964:D1964,G1964:I1964)=0,"",IF(COUNTA(A1964:D1964,G1964:I1964)&lt;7,"LENGKAPI",IF(H1964+I1964&gt;N(F1964)+G1964,"ABNORMAL",IF(COUNTIFS($A$2:$A$2001,A1964,$B$2:$B$2001,B1964,$C$2:$C$2001,C1964,$D$2:$D$2001,D1964)&gt;1,"DUPLIKAT","OK"))))</f>
        <v/>
      </c>
    </row>
    <row r="1965">
      <c r="A1965" s="4" t="n"/>
      <c r="B1965" s="5" t="n"/>
      <c r="C1965" s="5" t="n"/>
      <c r="D1965" s="5" t="n"/>
      <c r="E1965" s="6">
        <f>IF(A1965="","","B"&amp;TEXT(COUNT($A$2:A1965),"00000"))</f>
        <v/>
      </c>
      <c r="F1965" s="6">
        <f>IF(OR(C1965="",D1965=""),"",IFERROR(LOOKUP(2,1/(($C$1:C1964=C1965)*($D$1:D1964=D1965)*ISNUMBER($J$1:J1964)),$J$1:J1964),SUMIFS(Master!$G$2:$G$13,Master!$E$2:$E$13,C1965,Master!$F$2:$F$13,D1965)))</f>
        <v/>
      </c>
      <c r="G1965" s="5" t="n"/>
      <c r="H1965" s="5" t="n"/>
      <c r="I1965" s="5" t="n"/>
      <c r="J1965" s="6">
        <f>IF(OR(F1965="",COUNT(G1965:I1965)&lt;3),"",F1965+G1965-H1965-I1965)</f>
        <v/>
      </c>
      <c r="K1965" s="6">
        <f>IF(COUNTA(A1965:D1965,G1965:I1965)=0,"",IF(COUNTA(A1965:D1965,G1965:I1965)&lt;7,"LENGKAPI",IF(H1965+I1965&gt;N(F1965)+G1965,"ABNORMAL",IF(COUNTIFS($A$2:$A$2001,A1965,$B$2:$B$2001,B1965,$C$2:$C$2001,C1965,$D$2:$D$2001,D1965)&gt;1,"DUPLIKAT","OK"))))</f>
        <v/>
      </c>
    </row>
    <row r="1966">
      <c r="A1966" s="4" t="n"/>
      <c r="B1966" s="5" t="n"/>
      <c r="C1966" s="5" t="n"/>
      <c r="D1966" s="5" t="n"/>
      <c r="E1966" s="6">
        <f>IF(A1966="","","B"&amp;TEXT(COUNT($A$2:A1966),"00000"))</f>
        <v/>
      </c>
      <c r="F1966" s="6">
        <f>IF(OR(C1966="",D1966=""),"",IFERROR(LOOKUP(2,1/(($C$1:C1965=C1966)*($D$1:D1965=D1966)*ISNUMBER($J$1:J1965)),$J$1:J1965),SUMIFS(Master!$G$2:$G$13,Master!$E$2:$E$13,C1966,Master!$F$2:$F$13,D1966)))</f>
        <v/>
      </c>
      <c r="G1966" s="5" t="n"/>
      <c r="H1966" s="5" t="n"/>
      <c r="I1966" s="5" t="n"/>
      <c r="J1966" s="6">
        <f>IF(OR(F1966="",COUNT(G1966:I1966)&lt;3),"",F1966+G1966-H1966-I1966)</f>
        <v/>
      </c>
      <c r="K1966" s="6">
        <f>IF(COUNTA(A1966:D1966,G1966:I1966)=0,"",IF(COUNTA(A1966:D1966,G1966:I1966)&lt;7,"LENGKAPI",IF(H1966+I1966&gt;N(F1966)+G1966,"ABNORMAL",IF(COUNTIFS($A$2:$A$2001,A1966,$B$2:$B$2001,B1966,$C$2:$C$2001,C1966,$D$2:$D$2001,D1966)&gt;1,"DUPLIKAT","OK"))))</f>
        <v/>
      </c>
    </row>
    <row r="1967">
      <c r="A1967" s="4" t="n"/>
      <c r="B1967" s="5" t="n"/>
      <c r="C1967" s="5" t="n"/>
      <c r="D1967" s="5" t="n"/>
      <c r="E1967" s="6">
        <f>IF(A1967="","","B"&amp;TEXT(COUNT($A$2:A1967),"00000"))</f>
        <v/>
      </c>
      <c r="F1967" s="6">
        <f>IF(OR(C1967="",D1967=""),"",IFERROR(LOOKUP(2,1/(($C$1:C1966=C1967)*($D$1:D1966=D1967)*ISNUMBER($J$1:J1966)),$J$1:J1966),SUMIFS(Master!$G$2:$G$13,Master!$E$2:$E$13,C1967,Master!$F$2:$F$13,D1967)))</f>
        <v/>
      </c>
      <c r="G1967" s="5" t="n"/>
      <c r="H1967" s="5" t="n"/>
      <c r="I1967" s="5" t="n"/>
      <c r="J1967" s="6">
        <f>IF(OR(F1967="",COUNT(G1967:I1967)&lt;3),"",F1967+G1967-H1967-I1967)</f>
        <v/>
      </c>
      <c r="K1967" s="6">
        <f>IF(COUNTA(A1967:D1967,G1967:I1967)=0,"",IF(COUNTA(A1967:D1967,G1967:I1967)&lt;7,"LENGKAPI",IF(H1967+I1967&gt;N(F1967)+G1967,"ABNORMAL",IF(COUNTIFS($A$2:$A$2001,A1967,$B$2:$B$2001,B1967,$C$2:$C$2001,C1967,$D$2:$D$2001,D1967)&gt;1,"DUPLIKAT","OK"))))</f>
        <v/>
      </c>
    </row>
    <row r="1968">
      <c r="A1968" s="4" t="n"/>
      <c r="B1968" s="5" t="n"/>
      <c r="C1968" s="5" t="n"/>
      <c r="D1968" s="5" t="n"/>
      <c r="E1968" s="6">
        <f>IF(A1968="","","B"&amp;TEXT(COUNT($A$2:A1968),"00000"))</f>
        <v/>
      </c>
      <c r="F1968" s="6">
        <f>IF(OR(C1968="",D1968=""),"",IFERROR(LOOKUP(2,1/(($C$1:C1967=C1968)*($D$1:D1967=D1968)*ISNUMBER($J$1:J1967)),$J$1:J1967),SUMIFS(Master!$G$2:$G$13,Master!$E$2:$E$13,C1968,Master!$F$2:$F$13,D1968)))</f>
        <v/>
      </c>
      <c r="G1968" s="5" t="n"/>
      <c r="H1968" s="5" t="n"/>
      <c r="I1968" s="5" t="n"/>
      <c r="J1968" s="6">
        <f>IF(OR(F1968="",COUNT(G1968:I1968)&lt;3),"",F1968+G1968-H1968-I1968)</f>
        <v/>
      </c>
      <c r="K1968" s="6">
        <f>IF(COUNTA(A1968:D1968,G1968:I1968)=0,"",IF(COUNTA(A1968:D1968,G1968:I1968)&lt;7,"LENGKAPI",IF(H1968+I1968&gt;N(F1968)+G1968,"ABNORMAL",IF(COUNTIFS($A$2:$A$2001,A1968,$B$2:$B$2001,B1968,$C$2:$C$2001,C1968,$D$2:$D$2001,D1968)&gt;1,"DUPLIKAT","OK"))))</f>
        <v/>
      </c>
    </row>
    <row r="1969">
      <c r="A1969" s="4" t="n"/>
      <c r="B1969" s="5" t="n"/>
      <c r="C1969" s="5" t="n"/>
      <c r="D1969" s="5" t="n"/>
      <c r="E1969" s="6">
        <f>IF(A1969="","","B"&amp;TEXT(COUNT($A$2:A1969),"00000"))</f>
        <v/>
      </c>
      <c r="F1969" s="6">
        <f>IF(OR(C1969="",D1969=""),"",IFERROR(LOOKUP(2,1/(($C$1:C1968=C1969)*($D$1:D1968=D1969)*ISNUMBER($J$1:J1968)),$J$1:J1968),SUMIFS(Master!$G$2:$G$13,Master!$E$2:$E$13,C1969,Master!$F$2:$F$13,D1969)))</f>
        <v/>
      </c>
      <c r="G1969" s="5" t="n"/>
      <c r="H1969" s="5" t="n"/>
      <c r="I1969" s="5" t="n"/>
      <c r="J1969" s="6">
        <f>IF(OR(F1969="",COUNT(G1969:I1969)&lt;3),"",F1969+G1969-H1969-I1969)</f>
        <v/>
      </c>
      <c r="K1969" s="6">
        <f>IF(COUNTA(A1969:D1969,G1969:I1969)=0,"",IF(COUNTA(A1969:D1969,G1969:I1969)&lt;7,"LENGKAPI",IF(H1969+I1969&gt;N(F1969)+G1969,"ABNORMAL",IF(COUNTIFS($A$2:$A$2001,A1969,$B$2:$B$2001,B1969,$C$2:$C$2001,C1969,$D$2:$D$2001,D1969)&gt;1,"DUPLIKAT","OK"))))</f>
        <v/>
      </c>
    </row>
    <row r="1970">
      <c r="A1970" s="4" t="n"/>
      <c r="B1970" s="5" t="n"/>
      <c r="C1970" s="5" t="n"/>
      <c r="D1970" s="5" t="n"/>
      <c r="E1970" s="6">
        <f>IF(A1970="","","B"&amp;TEXT(COUNT($A$2:A1970),"00000"))</f>
        <v/>
      </c>
      <c r="F1970" s="6">
        <f>IF(OR(C1970="",D1970=""),"",IFERROR(LOOKUP(2,1/(($C$1:C1969=C1970)*($D$1:D1969=D1970)*ISNUMBER($J$1:J1969)),$J$1:J1969),SUMIFS(Master!$G$2:$G$13,Master!$E$2:$E$13,C1970,Master!$F$2:$F$13,D1970)))</f>
        <v/>
      </c>
      <c r="G1970" s="5" t="n"/>
      <c r="H1970" s="5" t="n"/>
      <c r="I1970" s="5" t="n"/>
      <c r="J1970" s="6">
        <f>IF(OR(F1970="",COUNT(G1970:I1970)&lt;3),"",F1970+G1970-H1970-I1970)</f>
        <v/>
      </c>
      <c r="K1970" s="6">
        <f>IF(COUNTA(A1970:D1970,G1970:I1970)=0,"",IF(COUNTA(A1970:D1970,G1970:I1970)&lt;7,"LENGKAPI",IF(H1970+I1970&gt;N(F1970)+G1970,"ABNORMAL",IF(COUNTIFS($A$2:$A$2001,A1970,$B$2:$B$2001,B1970,$C$2:$C$2001,C1970,$D$2:$D$2001,D1970)&gt;1,"DUPLIKAT","OK"))))</f>
        <v/>
      </c>
    </row>
    <row r="1971">
      <c r="A1971" s="4" t="n"/>
      <c r="B1971" s="5" t="n"/>
      <c r="C1971" s="5" t="n"/>
      <c r="D1971" s="5" t="n"/>
      <c r="E1971" s="6">
        <f>IF(A1971="","","B"&amp;TEXT(COUNT($A$2:A1971),"00000"))</f>
        <v/>
      </c>
      <c r="F1971" s="6">
        <f>IF(OR(C1971="",D1971=""),"",IFERROR(LOOKUP(2,1/(($C$1:C1970=C1971)*($D$1:D1970=D1971)*ISNUMBER($J$1:J1970)),$J$1:J1970),SUMIFS(Master!$G$2:$G$13,Master!$E$2:$E$13,C1971,Master!$F$2:$F$13,D1971)))</f>
        <v/>
      </c>
      <c r="G1971" s="5" t="n"/>
      <c r="H1971" s="5" t="n"/>
      <c r="I1971" s="5" t="n"/>
      <c r="J1971" s="6">
        <f>IF(OR(F1971="",COUNT(G1971:I1971)&lt;3),"",F1971+G1971-H1971-I1971)</f>
        <v/>
      </c>
      <c r="K1971" s="6">
        <f>IF(COUNTA(A1971:D1971,G1971:I1971)=0,"",IF(COUNTA(A1971:D1971,G1971:I1971)&lt;7,"LENGKAPI",IF(H1971+I1971&gt;N(F1971)+G1971,"ABNORMAL",IF(COUNTIFS($A$2:$A$2001,A1971,$B$2:$B$2001,B1971,$C$2:$C$2001,C1971,$D$2:$D$2001,D1971)&gt;1,"DUPLIKAT","OK"))))</f>
        <v/>
      </c>
    </row>
    <row r="1972">
      <c r="A1972" s="4" t="n"/>
      <c r="B1972" s="5" t="n"/>
      <c r="C1972" s="5" t="n"/>
      <c r="D1972" s="5" t="n"/>
      <c r="E1972" s="6">
        <f>IF(A1972="","","B"&amp;TEXT(COUNT($A$2:A1972),"00000"))</f>
        <v/>
      </c>
      <c r="F1972" s="6">
        <f>IF(OR(C1972="",D1972=""),"",IFERROR(LOOKUP(2,1/(($C$1:C1971=C1972)*($D$1:D1971=D1972)*ISNUMBER($J$1:J1971)),$J$1:J1971),SUMIFS(Master!$G$2:$G$13,Master!$E$2:$E$13,C1972,Master!$F$2:$F$13,D1972)))</f>
        <v/>
      </c>
      <c r="G1972" s="5" t="n"/>
      <c r="H1972" s="5" t="n"/>
      <c r="I1972" s="5" t="n"/>
      <c r="J1972" s="6">
        <f>IF(OR(F1972="",COUNT(G1972:I1972)&lt;3),"",F1972+G1972-H1972-I1972)</f>
        <v/>
      </c>
      <c r="K1972" s="6">
        <f>IF(COUNTA(A1972:D1972,G1972:I1972)=0,"",IF(COUNTA(A1972:D1972,G1972:I1972)&lt;7,"LENGKAPI",IF(H1972+I1972&gt;N(F1972)+G1972,"ABNORMAL",IF(COUNTIFS($A$2:$A$2001,A1972,$B$2:$B$2001,B1972,$C$2:$C$2001,C1972,$D$2:$D$2001,D1972)&gt;1,"DUPLIKAT","OK"))))</f>
        <v/>
      </c>
    </row>
    <row r="1973">
      <c r="A1973" s="4" t="n"/>
      <c r="B1973" s="5" t="n"/>
      <c r="C1973" s="5" t="n"/>
      <c r="D1973" s="5" t="n"/>
      <c r="E1973" s="6">
        <f>IF(A1973="","","B"&amp;TEXT(COUNT($A$2:A1973),"00000"))</f>
        <v/>
      </c>
      <c r="F1973" s="6">
        <f>IF(OR(C1973="",D1973=""),"",IFERROR(LOOKUP(2,1/(($C$1:C1972=C1973)*($D$1:D1972=D1973)*ISNUMBER($J$1:J1972)),$J$1:J1972),SUMIFS(Master!$G$2:$G$13,Master!$E$2:$E$13,C1973,Master!$F$2:$F$13,D1973)))</f>
        <v/>
      </c>
      <c r="G1973" s="5" t="n"/>
      <c r="H1973" s="5" t="n"/>
      <c r="I1973" s="5" t="n"/>
      <c r="J1973" s="6">
        <f>IF(OR(F1973="",COUNT(G1973:I1973)&lt;3),"",F1973+G1973-H1973-I1973)</f>
        <v/>
      </c>
      <c r="K1973" s="6">
        <f>IF(COUNTA(A1973:D1973,G1973:I1973)=0,"",IF(COUNTA(A1973:D1973,G1973:I1973)&lt;7,"LENGKAPI",IF(H1973+I1973&gt;N(F1973)+G1973,"ABNORMAL",IF(COUNTIFS($A$2:$A$2001,A1973,$B$2:$B$2001,B1973,$C$2:$C$2001,C1973,$D$2:$D$2001,D1973)&gt;1,"DUPLIKAT","OK"))))</f>
        <v/>
      </c>
    </row>
    <row r="1974">
      <c r="A1974" s="4" t="n"/>
      <c r="B1974" s="5" t="n"/>
      <c r="C1974" s="5" t="n"/>
      <c r="D1974" s="5" t="n"/>
      <c r="E1974" s="6">
        <f>IF(A1974="","","B"&amp;TEXT(COUNT($A$2:A1974),"00000"))</f>
        <v/>
      </c>
      <c r="F1974" s="6">
        <f>IF(OR(C1974="",D1974=""),"",IFERROR(LOOKUP(2,1/(($C$1:C1973=C1974)*($D$1:D1973=D1974)*ISNUMBER($J$1:J1973)),$J$1:J1973),SUMIFS(Master!$G$2:$G$13,Master!$E$2:$E$13,C1974,Master!$F$2:$F$13,D1974)))</f>
        <v/>
      </c>
      <c r="G1974" s="5" t="n"/>
      <c r="H1974" s="5" t="n"/>
      <c r="I1974" s="5" t="n"/>
      <c r="J1974" s="6">
        <f>IF(OR(F1974="",COUNT(G1974:I1974)&lt;3),"",F1974+G1974-H1974-I1974)</f>
        <v/>
      </c>
      <c r="K1974" s="6">
        <f>IF(COUNTA(A1974:D1974,G1974:I1974)=0,"",IF(COUNTA(A1974:D1974,G1974:I1974)&lt;7,"LENGKAPI",IF(H1974+I1974&gt;N(F1974)+G1974,"ABNORMAL",IF(COUNTIFS($A$2:$A$2001,A1974,$B$2:$B$2001,B1974,$C$2:$C$2001,C1974,$D$2:$D$2001,D1974)&gt;1,"DUPLIKAT","OK"))))</f>
        <v/>
      </c>
    </row>
    <row r="1975">
      <c r="A1975" s="4" t="n"/>
      <c r="B1975" s="5" t="n"/>
      <c r="C1975" s="5" t="n"/>
      <c r="D1975" s="5" t="n"/>
      <c r="E1975" s="6">
        <f>IF(A1975="","","B"&amp;TEXT(COUNT($A$2:A1975),"00000"))</f>
        <v/>
      </c>
      <c r="F1975" s="6">
        <f>IF(OR(C1975="",D1975=""),"",IFERROR(LOOKUP(2,1/(($C$1:C1974=C1975)*($D$1:D1974=D1975)*ISNUMBER($J$1:J1974)),$J$1:J1974),SUMIFS(Master!$G$2:$G$13,Master!$E$2:$E$13,C1975,Master!$F$2:$F$13,D1975)))</f>
        <v/>
      </c>
      <c r="G1975" s="5" t="n"/>
      <c r="H1975" s="5" t="n"/>
      <c r="I1975" s="5" t="n"/>
      <c r="J1975" s="6">
        <f>IF(OR(F1975="",COUNT(G1975:I1975)&lt;3),"",F1975+G1975-H1975-I1975)</f>
        <v/>
      </c>
      <c r="K1975" s="6">
        <f>IF(COUNTA(A1975:D1975,G1975:I1975)=0,"",IF(COUNTA(A1975:D1975,G1975:I1975)&lt;7,"LENGKAPI",IF(H1975+I1975&gt;N(F1975)+G1975,"ABNORMAL",IF(COUNTIFS($A$2:$A$2001,A1975,$B$2:$B$2001,B1975,$C$2:$C$2001,C1975,$D$2:$D$2001,D1975)&gt;1,"DUPLIKAT","OK"))))</f>
        <v/>
      </c>
    </row>
    <row r="1976">
      <c r="A1976" s="4" t="n"/>
      <c r="B1976" s="5" t="n"/>
      <c r="C1976" s="5" t="n"/>
      <c r="D1976" s="5" t="n"/>
      <c r="E1976" s="6">
        <f>IF(A1976="","","B"&amp;TEXT(COUNT($A$2:A1976),"00000"))</f>
        <v/>
      </c>
      <c r="F1976" s="6">
        <f>IF(OR(C1976="",D1976=""),"",IFERROR(LOOKUP(2,1/(($C$1:C1975=C1976)*($D$1:D1975=D1976)*ISNUMBER($J$1:J1975)),$J$1:J1975),SUMIFS(Master!$G$2:$G$13,Master!$E$2:$E$13,C1976,Master!$F$2:$F$13,D1976)))</f>
        <v/>
      </c>
      <c r="G1976" s="5" t="n"/>
      <c r="H1976" s="5" t="n"/>
      <c r="I1976" s="5" t="n"/>
      <c r="J1976" s="6">
        <f>IF(OR(F1976="",COUNT(G1976:I1976)&lt;3),"",F1976+G1976-H1976-I1976)</f>
        <v/>
      </c>
      <c r="K1976" s="6">
        <f>IF(COUNTA(A1976:D1976,G1976:I1976)=0,"",IF(COUNTA(A1976:D1976,G1976:I1976)&lt;7,"LENGKAPI",IF(H1976+I1976&gt;N(F1976)+G1976,"ABNORMAL",IF(COUNTIFS($A$2:$A$2001,A1976,$B$2:$B$2001,B1976,$C$2:$C$2001,C1976,$D$2:$D$2001,D1976)&gt;1,"DUPLIKAT","OK"))))</f>
        <v/>
      </c>
    </row>
    <row r="1977">
      <c r="A1977" s="4" t="n"/>
      <c r="B1977" s="5" t="n"/>
      <c r="C1977" s="5" t="n"/>
      <c r="D1977" s="5" t="n"/>
      <c r="E1977" s="6">
        <f>IF(A1977="","","B"&amp;TEXT(COUNT($A$2:A1977),"00000"))</f>
        <v/>
      </c>
      <c r="F1977" s="6">
        <f>IF(OR(C1977="",D1977=""),"",IFERROR(LOOKUP(2,1/(($C$1:C1976=C1977)*($D$1:D1976=D1977)*ISNUMBER($J$1:J1976)),$J$1:J1976),SUMIFS(Master!$G$2:$G$13,Master!$E$2:$E$13,C1977,Master!$F$2:$F$13,D1977)))</f>
        <v/>
      </c>
      <c r="G1977" s="5" t="n"/>
      <c r="H1977" s="5" t="n"/>
      <c r="I1977" s="5" t="n"/>
      <c r="J1977" s="6">
        <f>IF(OR(F1977="",COUNT(G1977:I1977)&lt;3),"",F1977+G1977-H1977-I1977)</f>
        <v/>
      </c>
      <c r="K1977" s="6">
        <f>IF(COUNTA(A1977:D1977,G1977:I1977)=0,"",IF(COUNTA(A1977:D1977,G1977:I1977)&lt;7,"LENGKAPI",IF(H1977+I1977&gt;N(F1977)+G1977,"ABNORMAL",IF(COUNTIFS($A$2:$A$2001,A1977,$B$2:$B$2001,B1977,$C$2:$C$2001,C1977,$D$2:$D$2001,D1977)&gt;1,"DUPLIKAT","OK"))))</f>
        <v/>
      </c>
    </row>
    <row r="1978">
      <c r="A1978" s="4" t="n"/>
      <c r="B1978" s="5" t="n"/>
      <c r="C1978" s="5" t="n"/>
      <c r="D1978" s="5" t="n"/>
      <c r="E1978" s="6">
        <f>IF(A1978="","","B"&amp;TEXT(COUNT($A$2:A1978),"00000"))</f>
        <v/>
      </c>
      <c r="F1978" s="6">
        <f>IF(OR(C1978="",D1978=""),"",IFERROR(LOOKUP(2,1/(($C$1:C1977=C1978)*($D$1:D1977=D1978)*ISNUMBER($J$1:J1977)),$J$1:J1977),SUMIFS(Master!$G$2:$G$13,Master!$E$2:$E$13,C1978,Master!$F$2:$F$13,D1978)))</f>
        <v/>
      </c>
      <c r="G1978" s="5" t="n"/>
      <c r="H1978" s="5" t="n"/>
      <c r="I1978" s="5" t="n"/>
      <c r="J1978" s="6">
        <f>IF(OR(F1978="",COUNT(G1978:I1978)&lt;3),"",F1978+G1978-H1978-I1978)</f>
        <v/>
      </c>
      <c r="K1978" s="6">
        <f>IF(COUNTA(A1978:D1978,G1978:I1978)=0,"",IF(COUNTA(A1978:D1978,G1978:I1978)&lt;7,"LENGKAPI",IF(H1978+I1978&gt;N(F1978)+G1978,"ABNORMAL",IF(COUNTIFS($A$2:$A$2001,A1978,$B$2:$B$2001,B1978,$C$2:$C$2001,C1978,$D$2:$D$2001,D1978)&gt;1,"DUPLIKAT","OK"))))</f>
        <v/>
      </c>
    </row>
    <row r="1979">
      <c r="A1979" s="4" t="n"/>
      <c r="B1979" s="5" t="n"/>
      <c r="C1979" s="5" t="n"/>
      <c r="D1979" s="5" t="n"/>
      <c r="E1979" s="6">
        <f>IF(A1979="","","B"&amp;TEXT(COUNT($A$2:A1979),"00000"))</f>
        <v/>
      </c>
      <c r="F1979" s="6">
        <f>IF(OR(C1979="",D1979=""),"",IFERROR(LOOKUP(2,1/(($C$1:C1978=C1979)*($D$1:D1978=D1979)*ISNUMBER($J$1:J1978)),$J$1:J1978),SUMIFS(Master!$G$2:$G$13,Master!$E$2:$E$13,C1979,Master!$F$2:$F$13,D1979)))</f>
        <v/>
      </c>
      <c r="G1979" s="5" t="n"/>
      <c r="H1979" s="5" t="n"/>
      <c r="I1979" s="5" t="n"/>
      <c r="J1979" s="6">
        <f>IF(OR(F1979="",COUNT(G1979:I1979)&lt;3),"",F1979+G1979-H1979-I1979)</f>
        <v/>
      </c>
      <c r="K1979" s="6">
        <f>IF(COUNTA(A1979:D1979,G1979:I1979)=0,"",IF(COUNTA(A1979:D1979,G1979:I1979)&lt;7,"LENGKAPI",IF(H1979+I1979&gt;N(F1979)+G1979,"ABNORMAL",IF(COUNTIFS($A$2:$A$2001,A1979,$B$2:$B$2001,B1979,$C$2:$C$2001,C1979,$D$2:$D$2001,D1979)&gt;1,"DUPLIKAT","OK"))))</f>
        <v/>
      </c>
    </row>
    <row r="1980">
      <c r="A1980" s="4" t="n"/>
      <c r="B1980" s="5" t="n"/>
      <c r="C1980" s="5" t="n"/>
      <c r="D1980" s="5" t="n"/>
      <c r="E1980" s="6">
        <f>IF(A1980="","","B"&amp;TEXT(COUNT($A$2:A1980),"00000"))</f>
        <v/>
      </c>
      <c r="F1980" s="6">
        <f>IF(OR(C1980="",D1980=""),"",IFERROR(LOOKUP(2,1/(($C$1:C1979=C1980)*($D$1:D1979=D1980)*ISNUMBER($J$1:J1979)),$J$1:J1979),SUMIFS(Master!$G$2:$G$13,Master!$E$2:$E$13,C1980,Master!$F$2:$F$13,D1980)))</f>
        <v/>
      </c>
      <c r="G1980" s="5" t="n"/>
      <c r="H1980" s="5" t="n"/>
      <c r="I1980" s="5" t="n"/>
      <c r="J1980" s="6">
        <f>IF(OR(F1980="",COUNT(G1980:I1980)&lt;3),"",F1980+G1980-H1980-I1980)</f>
        <v/>
      </c>
      <c r="K1980" s="6">
        <f>IF(COUNTA(A1980:D1980,G1980:I1980)=0,"",IF(COUNTA(A1980:D1980,G1980:I1980)&lt;7,"LENGKAPI",IF(H1980+I1980&gt;N(F1980)+G1980,"ABNORMAL",IF(COUNTIFS($A$2:$A$2001,A1980,$B$2:$B$2001,B1980,$C$2:$C$2001,C1980,$D$2:$D$2001,D1980)&gt;1,"DUPLIKAT","OK"))))</f>
        <v/>
      </c>
    </row>
    <row r="1981">
      <c r="A1981" s="4" t="n"/>
      <c r="B1981" s="5" t="n"/>
      <c r="C1981" s="5" t="n"/>
      <c r="D1981" s="5" t="n"/>
      <c r="E1981" s="6">
        <f>IF(A1981="","","B"&amp;TEXT(COUNT($A$2:A1981),"00000"))</f>
        <v/>
      </c>
      <c r="F1981" s="6">
        <f>IF(OR(C1981="",D1981=""),"",IFERROR(LOOKUP(2,1/(($C$1:C1980=C1981)*($D$1:D1980=D1981)*ISNUMBER($J$1:J1980)),$J$1:J1980),SUMIFS(Master!$G$2:$G$13,Master!$E$2:$E$13,C1981,Master!$F$2:$F$13,D1981)))</f>
        <v/>
      </c>
      <c r="G1981" s="5" t="n"/>
      <c r="H1981" s="5" t="n"/>
      <c r="I1981" s="5" t="n"/>
      <c r="J1981" s="6">
        <f>IF(OR(F1981="",COUNT(G1981:I1981)&lt;3),"",F1981+G1981-H1981-I1981)</f>
        <v/>
      </c>
      <c r="K1981" s="6">
        <f>IF(COUNTA(A1981:D1981,G1981:I1981)=0,"",IF(COUNTA(A1981:D1981,G1981:I1981)&lt;7,"LENGKAPI",IF(H1981+I1981&gt;N(F1981)+G1981,"ABNORMAL",IF(COUNTIFS($A$2:$A$2001,A1981,$B$2:$B$2001,B1981,$C$2:$C$2001,C1981,$D$2:$D$2001,D1981)&gt;1,"DUPLIKAT","OK"))))</f>
        <v/>
      </c>
    </row>
    <row r="1982">
      <c r="A1982" s="4" t="n"/>
      <c r="B1982" s="5" t="n"/>
      <c r="C1982" s="5" t="n"/>
      <c r="D1982" s="5" t="n"/>
      <c r="E1982" s="6">
        <f>IF(A1982="","","B"&amp;TEXT(COUNT($A$2:A1982),"00000"))</f>
        <v/>
      </c>
      <c r="F1982" s="6">
        <f>IF(OR(C1982="",D1982=""),"",IFERROR(LOOKUP(2,1/(($C$1:C1981=C1982)*($D$1:D1981=D1982)*ISNUMBER($J$1:J1981)),$J$1:J1981),SUMIFS(Master!$G$2:$G$13,Master!$E$2:$E$13,C1982,Master!$F$2:$F$13,D1982)))</f>
        <v/>
      </c>
      <c r="G1982" s="5" t="n"/>
      <c r="H1982" s="5" t="n"/>
      <c r="I1982" s="5" t="n"/>
      <c r="J1982" s="6">
        <f>IF(OR(F1982="",COUNT(G1982:I1982)&lt;3),"",F1982+G1982-H1982-I1982)</f>
        <v/>
      </c>
      <c r="K1982" s="6">
        <f>IF(COUNTA(A1982:D1982,G1982:I1982)=0,"",IF(COUNTA(A1982:D1982,G1982:I1982)&lt;7,"LENGKAPI",IF(H1982+I1982&gt;N(F1982)+G1982,"ABNORMAL",IF(COUNTIFS($A$2:$A$2001,A1982,$B$2:$B$2001,B1982,$C$2:$C$2001,C1982,$D$2:$D$2001,D1982)&gt;1,"DUPLIKAT","OK"))))</f>
        <v/>
      </c>
    </row>
    <row r="1983">
      <c r="A1983" s="4" t="n"/>
      <c r="B1983" s="5" t="n"/>
      <c r="C1983" s="5" t="n"/>
      <c r="D1983" s="5" t="n"/>
      <c r="E1983" s="6">
        <f>IF(A1983="","","B"&amp;TEXT(COUNT($A$2:A1983),"00000"))</f>
        <v/>
      </c>
      <c r="F1983" s="6">
        <f>IF(OR(C1983="",D1983=""),"",IFERROR(LOOKUP(2,1/(($C$1:C1982=C1983)*($D$1:D1982=D1983)*ISNUMBER($J$1:J1982)),$J$1:J1982),SUMIFS(Master!$G$2:$G$13,Master!$E$2:$E$13,C1983,Master!$F$2:$F$13,D1983)))</f>
        <v/>
      </c>
      <c r="G1983" s="5" t="n"/>
      <c r="H1983" s="5" t="n"/>
      <c r="I1983" s="5" t="n"/>
      <c r="J1983" s="6">
        <f>IF(OR(F1983="",COUNT(G1983:I1983)&lt;3),"",F1983+G1983-H1983-I1983)</f>
        <v/>
      </c>
      <c r="K1983" s="6">
        <f>IF(COUNTA(A1983:D1983,G1983:I1983)=0,"",IF(COUNTA(A1983:D1983,G1983:I1983)&lt;7,"LENGKAPI",IF(H1983+I1983&gt;N(F1983)+G1983,"ABNORMAL",IF(COUNTIFS($A$2:$A$2001,A1983,$B$2:$B$2001,B1983,$C$2:$C$2001,C1983,$D$2:$D$2001,D1983)&gt;1,"DUPLIKAT","OK"))))</f>
        <v/>
      </c>
    </row>
    <row r="1984">
      <c r="A1984" s="4" t="n"/>
      <c r="B1984" s="5" t="n"/>
      <c r="C1984" s="5" t="n"/>
      <c r="D1984" s="5" t="n"/>
      <c r="E1984" s="6">
        <f>IF(A1984="","","B"&amp;TEXT(COUNT($A$2:A1984),"00000"))</f>
        <v/>
      </c>
      <c r="F1984" s="6">
        <f>IF(OR(C1984="",D1984=""),"",IFERROR(LOOKUP(2,1/(($C$1:C1983=C1984)*($D$1:D1983=D1984)*ISNUMBER($J$1:J1983)),$J$1:J1983),SUMIFS(Master!$G$2:$G$13,Master!$E$2:$E$13,C1984,Master!$F$2:$F$13,D1984)))</f>
        <v/>
      </c>
      <c r="G1984" s="5" t="n"/>
      <c r="H1984" s="5" t="n"/>
      <c r="I1984" s="5" t="n"/>
      <c r="J1984" s="6">
        <f>IF(OR(F1984="",COUNT(G1984:I1984)&lt;3),"",F1984+G1984-H1984-I1984)</f>
        <v/>
      </c>
      <c r="K1984" s="6">
        <f>IF(COUNTA(A1984:D1984,G1984:I1984)=0,"",IF(COUNTA(A1984:D1984,G1984:I1984)&lt;7,"LENGKAPI",IF(H1984+I1984&gt;N(F1984)+G1984,"ABNORMAL",IF(COUNTIFS($A$2:$A$2001,A1984,$B$2:$B$2001,B1984,$C$2:$C$2001,C1984,$D$2:$D$2001,D1984)&gt;1,"DUPLIKAT","OK"))))</f>
        <v/>
      </c>
    </row>
    <row r="1985">
      <c r="A1985" s="4" t="n"/>
      <c r="B1985" s="5" t="n"/>
      <c r="C1985" s="5" t="n"/>
      <c r="D1985" s="5" t="n"/>
      <c r="E1985" s="6">
        <f>IF(A1985="","","B"&amp;TEXT(COUNT($A$2:A1985),"00000"))</f>
        <v/>
      </c>
      <c r="F1985" s="6">
        <f>IF(OR(C1985="",D1985=""),"",IFERROR(LOOKUP(2,1/(($C$1:C1984=C1985)*($D$1:D1984=D1985)*ISNUMBER($J$1:J1984)),$J$1:J1984),SUMIFS(Master!$G$2:$G$13,Master!$E$2:$E$13,C1985,Master!$F$2:$F$13,D1985)))</f>
        <v/>
      </c>
      <c r="G1985" s="5" t="n"/>
      <c r="H1985" s="5" t="n"/>
      <c r="I1985" s="5" t="n"/>
      <c r="J1985" s="6">
        <f>IF(OR(F1985="",COUNT(G1985:I1985)&lt;3),"",F1985+G1985-H1985-I1985)</f>
        <v/>
      </c>
      <c r="K1985" s="6">
        <f>IF(COUNTA(A1985:D1985,G1985:I1985)=0,"",IF(COUNTA(A1985:D1985,G1985:I1985)&lt;7,"LENGKAPI",IF(H1985+I1985&gt;N(F1985)+G1985,"ABNORMAL",IF(COUNTIFS($A$2:$A$2001,A1985,$B$2:$B$2001,B1985,$C$2:$C$2001,C1985,$D$2:$D$2001,D1985)&gt;1,"DUPLIKAT","OK"))))</f>
        <v/>
      </c>
    </row>
    <row r="1986">
      <c r="A1986" s="4" t="n"/>
      <c r="B1986" s="5" t="n"/>
      <c r="C1986" s="5" t="n"/>
      <c r="D1986" s="5" t="n"/>
      <c r="E1986" s="6">
        <f>IF(A1986="","","B"&amp;TEXT(COUNT($A$2:A1986),"00000"))</f>
        <v/>
      </c>
      <c r="F1986" s="6">
        <f>IF(OR(C1986="",D1986=""),"",IFERROR(LOOKUP(2,1/(($C$1:C1985=C1986)*($D$1:D1985=D1986)*ISNUMBER($J$1:J1985)),$J$1:J1985),SUMIFS(Master!$G$2:$G$13,Master!$E$2:$E$13,C1986,Master!$F$2:$F$13,D1986)))</f>
        <v/>
      </c>
      <c r="G1986" s="5" t="n"/>
      <c r="H1986" s="5" t="n"/>
      <c r="I1986" s="5" t="n"/>
      <c r="J1986" s="6">
        <f>IF(OR(F1986="",COUNT(G1986:I1986)&lt;3),"",F1986+G1986-H1986-I1986)</f>
        <v/>
      </c>
      <c r="K1986" s="6">
        <f>IF(COUNTA(A1986:D1986,G1986:I1986)=0,"",IF(COUNTA(A1986:D1986,G1986:I1986)&lt;7,"LENGKAPI",IF(H1986+I1986&gt;N(F1986)+G1986,"ABNORMAL",IF(COUNTIFS($A$2:$A$2001,A1986,$B$2:$B$2001,B1986,$C$2:$C$2001,C1986,$D$2:$D$2001,D1986)&gt;1,"DUPLIKAT","OK"))))</f>
        <v/>
      </c>
    </row>
    <row r="1987">
      <c r="A1987" s="4" t="n"/>
      <c r="B1987" s="5" t="n"/>
      <c r="C1987" s="5" t="n"/>
      <c r="D1987" s="5" t="n"/>
      <c r="E1987" s="6">
        <f>IF(A1987="","","B"&amp;TEXT(COUNT($A$2:A1987),"00000"))</f>
        <v/>
      </c>
      <c r="F1987" s="6">
        <f>IF(OR(C1987="",D1987=""),"",IFERROR(LOOKUP(2,1/(($C$1:C1986=C1987)*($D$1:D1986=D1987)*ISNUMBER($J$1:J1986)),$J$1:J1986),SUMIFS(Master!$G$2:$G$13,Master!$E$2:$E$13,C1987,Master!$F$2:$F$13,D1987)))</f>
        <v/>
      </c>
      <c r="G1987" s="5" t="n"/>
      <c r="H1987" s="5" t="n"/>
      <c r="I1987" s="5" t="n"/>
      <c r="J1987" s="6">
        <f>IF(OR(F1987="",COUNT(G1987:I1987)&lt;3),"",F1987+G1987-H1987-I1987)</f>
        <v/>
      </c>
      <c r="K1987" s="6">
        <f>IF(COUNTA(A1987:D1987,G1987:I1987)=0,"",IF(COUNTA(A1987:D1987,G1987:I1987)&lt;7,"LENGKAPI",IF(H1987+I1987&gt;N(F1987)+G1987,"ABNORMAL",IF(COUNTIFS($A$2:$A$2001,A1987,$B$2:$B$2001,B1987,$C$2:$C$2001,C1987,$D$2:$D$2001,D1987)&gt;1,"DUPLIKAT","OK"))))</f>
        <v/>
      </c>
    </row>
    <row r="1988">
      <c r="A1988" s="4" t="n"/>
      <c r="B1988" s="5" t="n"/>
      <c r="C1988" s="5" t="n"/>
      <c r="D1988" s="5" t="n"/>
      <c r="E1988" s="6">
        <f>IF(A1988="","","B"&amp;TEXT(COUNT($A$2:A1988),"00000"))</f>
        <v/>
      </c>
      <c r="F1988" s="6">
        <f>IF(OR(C1988="",D1988=""),"",IFERROR(LOOKUP(2,1/(($C$1:C1987=C1988)*($D$1:D1987=D1988)*ISNUMBER($J$1:J1987)),$J$1:J1987),SUMIFS(Master!$G$2:$G$13,Master!$E$2:$E$13,C1988,Master!$F$2:$F$13,D1988)))</f>
        <v/>
      </c>
      <c r="G1988" s="5" t="n"/>
      <c r="H1988" s="5" t="n"/>
      <c r="I1988" s="5" t="n"/>
      <c r="J1988" s="6">
        <f>IF(OR(F1988="",COUNT(G1988:I1988)&lt;3),"",F1988+G1988-H1988-I1988)</f>
        <v/>
      </c>
      <c r="K1988" s="6">
        <f>IF(COUNTA(A1988:D1988,G1988:I1988)=0,"",IF(COUNTA(A1988:D1988,G1988:I1988)&lt;7,"LENGKAPI",IF(H1988+I1988&gt;N(F1988)+G1988,"ABNORMAL",IF(COUNTIFS($A$2:$A$2001,A1988,$B$2:$B$2001,B1988,$C$2:$C$2001,C1988,$D$2:$D$2001,D1988)&gt;1,"DUPLIKAT","OK"))))</f>
        <v/>
      </c>
    </row>
    <row r="1989">
      <c r="A1989" s="4" t="n"/>
      <c r="B1989" s="5" t="n"/>
      <c r="C1989" s="5" t="n"/>
      <c r="D1989" s="5" t="n"/>
      <c r="E1989" s="6">
        <f>IF(A1989="","","B"&amp;TEXT(COUNT($A$2:A1989),"00000"))</f>
        <v/>
      </c>
      <c r="F1989" s="6">
        <f>IF(OR(C1989="",D1989=""),"",IFERROR(LOOKUP(2,1/(($C$1:C1988=C1989)*($D$1:D1988=D1989)*ISNUMBER($J$1:J1988)),$J$1:J1988),SUMIFS(Master!$G$2:$G$13,Master!$E$2:$E$13,C1989,Master!$F$2:$F$13,D1989)))</f>
        <v/>
      </c>
      <c r="G1989" s="5" t="n"/>
      <c r="H1989" s="5" t="n"/>
      <c r="I1989" s="5" t="n"/>
      <c r="J1989" s="6">
        <f>IF(OR(F1989="",COUNT(G1989:I1989)&lt;3),"",F1989+G1989-H1989-I1989)</f>
        <v/>
      </c>
      <c r="K1989" s="6">
        <f>IF(COUNTA(A1989:D1989,G1989:I1989)=0,"",IF(COUNTA(A1989:D1989,G1989:I1989)&lt;7,"LENGKAPI",IF(H1989+I1989&gt;N(F1989)+G1989,"ABNORMAL",IF(COUNTIFS($A$2:$A$2001,A1989,$B$2:$B$2001,B1989,$C$2:$C$2001,C1989,$D$2:$D$2001,D1989)&gt;1,"DUPLIKAT","OK"))))</f>
        <v/>
      </c>
    </row>
    <row r="1990">
      <c r="A1990" s="4" t="n"/>
      <c r="B1990" s="5" t="n"/>
      <c r="C1990" s="5" t="n"/>
      <c r="D1990" s="5" t="n"/>
      <c r="E1990" s="6">
        <f>IF(A1990="","","B"&amp;TEXT(COUNT($A$2:A1990),"00000"))</f>
        <v/>
      </c>
      <c r="F1990" s="6">
        <f>IF(OR(C1990="",D1990=""),"",IFERROR(LOOKUP(2,1/(($C$1:C1989=C1990)*($D$1:D1989=D1990)*ISNUMBER($J$1:J1989)),$J$1:J1989),SUMIFS(Master!$G$2:$G$13,Master!$E$2:$E$13,C1990,Master!$F$2:$F$13,D1990)))</f>
        <v/>
      </c>
      <c r="G1990" s="5" t="n"/>
      <c r="H1990" s="5" t="n"/>
      <c r="I1990" s="5" t="n"/>
      <c r="J1990" s="6">
        <f>IF(OR(F1990="",COUNT(G1990:I1990)&lt;3),"",F1990+G1990-H1990-I1990)</f>
        <v/>
      </c>
      <c r="K1990" s="6">
        <f>IF(COUNTA(A1990:D1990,G1990:I1990)=0,"",IF(COUNTA(A1990:D1990,G1990:I1990)&lt;7,"LENGKAPI",IF(H1990+I1990&gt;N(F1990)+G1990,"ABNORMAL",IF(COUNTIFS($A$2:$A$2001,A1990,$B$2:$B$2001,B1990,$C$2:$C$2001,C1990,$D$2:$D$2001,D1990)&gt;1,"DUPLIKAT","OK"))))</f>
        <v/>
      </c>
    </row>
    <row r="1991">
      <c r="A1991" s="4" t="n"/>
      <c r="B1991" s="5" t="n"/>
      <c r="C1991" s="5" t="n"/>
      <c r="D1991" s="5" t="n"/>
      <c r="E1991" s="6">
        <f>IF(A1991="","","B"&amp;TEXT(COUNT($A$2:A1991),"00000"))</f>
        <v/>
      </c>
      <c r="F1991" s="6">
        <f>IF(OR(C1991="",D1991=""),"",IFERROR(LOOKUP(2,1/(($C$1:C1990=C1991)*($D$1:D1990=D1991)*ISNUMBER($J$1:J1990)),$J$1:J1990),SUMIFS(Master!$G$2:$G$13,Master!$E$2:$E$13,C1991,Master!$F$2:$F$13,D1991)))</f>
        <v/>
      </c>
      <c r="G1991" s="5" t="n"/>
      <c r="H1991" s="5" t="n"/>
      <c r="I1991" s="5" t="n"/>
      <c r="J1991" s="6">
        <f>IF(OR(F1991="",COUNT(G1991:I1991)&lt;3),"",F1991+G1991-H1991-I1991)</f>
        <v/>
      </c>
      <c r="K1991" s="6">
        <f>IF(COUNTA(A1991:D1991,G1991:I1991)=0,"",IF(COUNTA(A1991:D1991,G1991:I1991)&lt;7,"LENGKAPI",IF(H1991+I1991&gt;N(F1991)+G1991,"ABNORMAL",IF(COUNTIFS($A$2:$A$2001,A1991,$B$2:$B$2001,B1991,$C$2:$C$2001,C1991,$D$2:$D$2001,D1991)&gt;1,"DUPLIKAT","OK"))))</f>
        <v/>
      </c>
    </row>
    <row r="1992">
      <c r="A1992" s="4" t="n"/>
      <c r="B1992" s="5" t="n"/>
      <c r="C1992" s="5" t="n"/>
      <c r="D1992" s="5" t="n"/>
      <c r="E1992" s="6">
        <f>IF(A1992="","","B"&amp;TEXT(COUNT($A$2:A1992),"00000"))</f>
        <v/>
      </c>
      <c r="F1992" s="6">
        <f>IF(OR(C1992="",D1992=""),"",IFERROR(LOOKUP(2,1/(($C$1:C1991=C1992)*($D$1:D1991=D1992)*ISNUMBER($J$1:J1991)),$J$1:J1991),SUMIFS(Master!$G$2:$G$13,Master!$E$2:$E$13,C1992,Master!$F$2:$F$13,D1992)))</f>
        <v/>
      </c>
      <c r="G1992" s="5" t="n"/>
      <c r="H1992" s="5" t="n"/>
      <c r="I1992" s="5" t="n"/>
      <c r="J1992" s="6">
        <f>IF(OR(F1992="",COUNT(G1992:I1992)&lt;3),"",F1992+G1992-H1992-I1992)</f>
        <v/>
      </c>
      <c r="K1992" s="6">
        <f>IF(COUNTA(A1992:D1992,G1992:I1992)=0,"",IF(COUNTA(A1992:D1992,G1992:I1992)&lt;7,"LENGKAPI",IF(H1992+I1992&gt;N(F1992)+G1992,"ABNORMAL",IF(COUNTIFS($A$2:$A$2001,A1992,$B$2:$B$2001,B1992,$C$2:$C$2001,C1992,$D$2:$D$2001,D1992)&gt;1,"DUPLIKAT","OK"))))</f>
        <v/>
      </c>
    </row>
    <row r="1993">
      <c r="A1993" s="4" t="n"/>
      <c r="B1993" s="5" t="n"/>
      <c r="C1993" s="5" t="n"/>
      <c r="D1993" s="5" t="n"/>
      <c r="E1993" s="6">
        <f>IF(A1993="","","B"&amp;TEXT(COUNT($A$2:A1993),"00000"))</f>
        <v/>
      </c>
      <c r="F1993" s="6">
        <f>IF(OR(C1993="",D1993=""),"",IFERROR(LOOKUP(2,1/(($C$1:C1992=C1993)*($D$1:D1992=D1993)*ISNUMBER($J$1:J1992)),$J$1:J1992),SUMIFS(Master!$G$2:$G$13,Master!$E$2:$E$13,C1993,Master!$F$2:$F$13,D1993)))</f>
        <v/>
      </c>
      <c r="G1993" s="5" t="n"/>
      <c r="H1993" s="5" t="n"/>
      <c r="I1993" s="5" t="n"/>
      <c r="J1993" s="6">
        <f>IF(OR(F1993="",COUNT(G1993:I1993)&lt;3),"",F1993+G1993-H1993-I1993)</f>
        <v/>
      </c>
      <c r="K1993" s="6">
        <f>IF(COUNTA(A1993:D1993,G1993:I1993)=0,"",IF(COUNTA(A1993:D1993,G1993:I1993)&lt;7,"LENGKAPI",IF(H1993+I1993&gt;N(F1993)+G1993,"ABNORMAL",IF(COUNTIFS($A$2:$A$2001,A1993,$B$2:$B$2001,B1993,$C$2:$C$2001,C1993,$D$2:$D$2001,D1993)&gt;1,"DUPLIKAT","OK"))))</f>
        <v/>
      </c>
    </row>
    <row r="1994">
      <c r="A1994" s="4" t="n"/>
      <c r="B1994" s="5" t="n"/>
      <c r="C1994" s="5" t="n"/>
      <c r="D1994" s="5" t="n"/>
      <c r="E1994" s="6">
        <f>IF(A1994="","","B"&amp;TEXT(COUNT($A$2:A1994),"00000"))</f>
        <v/>
      </c>
      <c r="F1994" s="6">
        <f>IF(OR(C1994="",D1994=""),"",IFERROR(LOOKUP(2,1/(($C$1:C1993=C1994)*($D$1:D1993=D1994)*ISNUMBER($J$1:J1993)),$J$1:J1993),SUMIFS(Master!$G$2:$G$13,Master!$E$2:$E$13,C1994,Master!$F$2:$F$13,D1994)))</f>
        <v/>
      </c>
      <c r="G1994" s="5" t="n"/>
      <c r="H1994" s="5" t="n"/>
      <c r="I1994" s="5" t="n"/>
      <c r="J1994" s="6">
        <f>IF(OR(F1994="",COUNT(G1994:I1994)&lt;3),"",F1994+G1994-H1994-I1994)</f>
        <v/>
      </c>
      <c r="K1994" s="6">
        <f>IF(COUNTA(A1994:D1994,G1994:I1994)=0,"",IF(COUNTA(A1994:D1994,G1994:I1994)&lt;7,"LENGKAPI",IF(H1994+I1994&gt;N(F1994)+G1994,"ABNORMAL",IF(COUNTIFS($A$2:$A$2001,A1994,$B$2:$B$2001,B1994,$C$2:$C$2001,C1994,$D$2:$D$2001,D1994)&gt;1,"DUPLIKAT","OK"))))</f>
        <v/>
      </c>
    </row>
    <row r="1995">
      <c r="A1995" s="4" t="n"/>
      <c r="B1995" s="5" t="n"/>
      <c r="C1995" s="5" t="n"/>
      <c r="D1995" s="5" t="n"/>
      <c r="E1995" s="6">
        <f>IF(A1995="","","B"&amp;TEXT(COUNT($A$2:A1995),"00000"))</f>
        <v/>
      </c>
      <c r="F1995" s="6">
        <f>IF(OR(C1995="",D1995=""),"",IFERROR(LOOKUP(2,1/(($C$1:C1994=C1995)*($D$1:D1994=D1995)*ISNUMBER($J$1:J1994)),$J$1:J1994),SUMIFS(Master!$G$2:$G$13,Master!$E$2:$E$13,C1995,Master!$F$2:$F$13,D1995)))</f>
        <v/>
      </c>
      <c r="G1995" s="5" t="n"/>
      <c r="H1995" s="5" t="n"/>
      <c r="I1995" s="5" t="n"/>
      <c r="J1995" s="6">
        <f>IF(OR(F1995="",COUNT(G1995:I1995)&lt;3),"",F1995+G1995-H1995-I1995)</f>
        <v/>
      </c>
      <c r="K1995" s="6">
        <f>IF(COUNTA(A1995:D1995,G1995:I1995)=0,"",IF(COUNTA(A1995:D1995,G1995:I1995)&lt;7,"LENGKAPI",IF(H1995+I1995&gt;N(F1995)+G1995,"ABNORMAL",IF(COUNTIFS($A$2:$A$2001,A1995,$B$2:$B$2001,B1995,$C$2:$C$2001,C1995,$D$2:$D$2001,D1995)&gt;1,"DUPLIKAT","OK"))))</f>
        <v/>
      </c>
    </row>
    <row r="1996">
      <c r="A1996" s="4" t="n"/>
      <c r="B1996" s="5" t="n"/>
      <c r="C1996" s="5" t="n"/>
      <c r="D1996" s="5" t="n"/>
      <c r="E1996" s="6">
        <f>IF(A1996="","","B"&amp;TEXT(COUNT($A$2:A1996),"00000"))</f>
        <v/>
      </c>
      <c r="F1996" s="6">
        <f>IF(OR(C1996="",D1996=""),"",IFERROR(LOOKUP(2,1/(($C$1:C1995=C1996)*($D$1:D1995=D1996)*ISNUMBER($J$1:J1995)),$J$1:J1995),SUMIFS(Master!$G$2:$G$13,Master!$E$2:$E$13,C1996,Master!$F$2:$F$13,D1996)))</f>
        <v/>
      </c>
      <c r="G1996" s="5" t="n"/>
      <c r="H1996" s="5" t="n"/>
      <c r="I1996" s="5" t="n"/>
      <c r="J1996" s="6">
        <f>IF(OR(F1996="",COUNT(G1996:I1996)&lt;3),"",F1996+G1996-H1996-I1996)</f>
        <v/>
      </c>
      <c r="K1996" s="6">
        <f>IF(COUNTA(A1996:D1996,G1996:I1996)=0,"",IF(COUNTA(A1996:D1996,G1996:I1996)&lt;7,"LENGKAPI",IF(H1996+I1996&gt;N(F1996)+G1996,"ABNORMAL",IF(COUNTIFS($A$2:$A$2001,A1996,$B$2:$B$2001,B1996,$C$2:$C$2001,C1996,$D$2:$D$2001,D1996)&gt;1,"DUPLIKAT","OK"))))</f>
        <v/>
      </c>
    </row>
    <row r="1997">
      <c r="A1997" s="4" t="n"/>
      <c r="B1997" s="5" t="n"/>
      <c r="C1997" s="5" t="n"/>
      <c r="D1997" s="5" t="n"/>
      <c r="E1997" s="6">
        <f>IF(A1997="","","B"&amp;TEXT(COUNT($A$2:A1997),"00000"))</f>
        <v/>
      </c>
      <c r="F1997" s="6">
        <f>IF(OR(C1997="",D1997=""),"",IFERROR(LOOKUP(2,1/(($C$1:C1996=C1997)*($D$1:D1996=D1997)*ISNUMBER($J$1:J1996)),$J$1:J1996),SUMIFS(Master!$G$2:$G$13,Master!$E$2:$E$13,C1997,Master!$F$2:$F$13,D1997)))</f>
        <v/>
      </c>
      <c r="G1997" s="5" t="n"/>
      <c r="H1997" s="5" t="n"/>
      <c r="I1997" s="5" t="n"/>
      <c r="J1997" s="6">
        <f>IF(OR(F1997="",COUNT(G1997:I1997)&lt;3),"",F1997+G1997-H1997-I1997)</f>
        <v/>
      </c>
      <c r="K1997" s="6">
        <f>IF(COUNTA(A1997:D1997,G1997:I1997)=0,"",IF(COUNTA(A1997:D1997,G1997:I1997)&lt;7,"LENGKAPI",IF(H1997+I1997&gt;N(F1997)+G1997,"ABNORMAL",IF(COUNTIFS($A$2:$A$2001,A1997,$B$2:$B$2001,B1997,$C$2:$C$2001,C1997,$D$2:$D$2001,D1997)&gt;1,"DUPLIKAT","OK"))))</f>
        <v/>
      </c>
    </row>
    <row r="1998">
      <c r="A1998" s="4" t="n"/>
      <c r="B1998" s="5" t="n"/>
      <c r="C1998" s="5" t="n"/>
      <c r="D1998" s="5" t="n"/>
      <c r="E1998" s="6">
        <f>IF(A1998="","","B"&amp;TEXT(COUNT($A$2:A1998),"00000"))</f>
        <v/>
      </c>
      <c r="F1998" s="6">
        <f>IF(OR(C1998="",D1998=""),"",IFERROR(LOOKUP(2,1/(($C$1:C1997=C1998)*($D$1:D1997=D1998)*ISNUMBER($J$1:J1997)),$J$1:J1997),SUMIFS(Master!$G$2:$G$13,Master!$E$2:$E$13,C1998,Master!$F$2:$F$13,D1998)))</f>
        <v/>
      </c>
      <c r="G1998" s="5" t="n"/>
      <c r="H1998" s="5" t="n"/>
      <c r="I1998" s="5" t="n"/>
      <c r="J1998" s="6">
        <f>IF(OR(F1998="",COUNT(G1998:I1998)&lt;3),"",F1998+G1998-H1998-I1998)</f>
        <v/>
      </c>
      <c r="K1998" s="6">
        <f>IF(COUNTA(A1998:D1998,G1998:I1998)=0,"",IF(COUNTA(A1998:D1998,G1998:I1998)&lt;7,"LENGKAPI",IF(H1998+I1998&gt;N(F1998)+G1998,"ABNORMAL",IF(COUNTIFS($A$2:$A$2001,A1998,$B$2:$B$2001,B1998,$C$2:$C$2001,C1998,$D$2:$D$2001,D1998)&gt;1,"DUPLIKAT","OK"))))</f>
        <v/>
      </c>
    </row>
    <row r="1999">
      <c r="A1999" s="4" t="n"/>
      <c r="B1999" s="5" t="n"/>
      <c r="C1999" s="5" t="n"/>
      <c r="D1999" s="5" t="n"/>
      <c r="E1999" s="6">
        <f>IF(A1999="","","B"&amp;TEXT(COUNT($A$2:A1999),"00000"))</f>
        <v/>
      </c>
      <c r="F1999" s="6">
        <f>IF(OR(C1999="",D1999=""),"",IFERROR(LOOKUP(2,1/(($C$1:C1998=C1999)*($D$1:D1998=D1999)*ISNUMBER($J$1:J1998)),$J$1:J1998),SUMIFS(Master!$G$2:$G$13,Master!$E$2:$E$13,C1999,Master!$F$2:$F$13,D1999)))</f>
        <v/>
      </c>
      <c r="G1999" s="5" t="n"/>
      <c r="H1999" s="5" t="n"/>
      <c r="I1999" s="5" t="n"/>
      <c r="J1999" s="6">
        <f>IF(OR(F1999="",COUNT(G1999:I1999)&lt;3),"",F1999+G1999-H1999-I1999)</f>
        <v/>
      </c>
      <c r="K1999" s="6">
        <f>IF(COUNTA(A1999:D1999,G1999:I1999)=0,"",IF(COUNTA(A1999:D1999,G1999:I1999)&lt;7,"LENGKAPI",IF(H1999+I1999&gt;N(F1999)+G1999,"ABNORMAL",IF(COUNTIFS($A$2:$A$2001,A1999,$B$2:$B$2001,B1999,$C$2:$C$2001,C1999,$D$2:$D$2001,D1999)&gt;1,"DUPLIKAT","OK"))))</f>
        <v/>
      </c>
    </row>
    <row r="2000">
      <c r="A2000" s="4" t="n"/>
      <c r="B2000" s="5" t="n"/>
      <c r="C2000" s="5" t="n"/>
      <c r="D2000" s="5" t="n"/>
      <c r="E2000" s="6">
        <f>IF(A2000="","","B"&amp;TEXT(COUNT($A$2:A2000),"00000"))</f>
        <v/>
      </c>
      <c r="F2000" s="6">
        <f>IF(OR(C2000="",D2000=""),"",IFERROR(LOOKUP(2,1/(($C$1:C1999=C2000)*($D$1:D1999=D2000)*ISNUMBER($J$1:J1999)),$J$1:J1999),SUMIFS(Master!$G$2:$G$13,Master!$E$2:$E$13,C2000,Master!$F$2:$F$13,D2000)))</f>
        <v/>
      </c>
      <c r="G2000" s="5" t="n"/>
      <c r="H2000" s="5" t="n"/>
      <c r="I2000" s="5" t="n"/>
      <c r="J2000" s="6">
        <f>IF(OR(F2000="",COUNT(G2000:I2000)&lt;3),"",F2000+G2000-H2000-I2000)</f>
        <v/>
      </c>
      <c r="K2000" s="6">
        <f>IF(COUNTA(A2000:D2000,G2000:I2000)=0,"",IF(COUNTA(A2000:D2000,G2000:I2000)&lt;7,"LENGKAPI",IF(H2000+I2000&gt;N(F2000)+G2000,"ABNORMAL",IF(COUNTIFS($A$2:$A$2001,A2000,$B$2:$B$2001,B2000,$C$2:$C$2001,C2000,$D$2:$D$2001,D2000)&gt;1,"DUPLIKAT","OK"))))</f>
        <v/>
      </c>
    </row>
    <row r="2001">
      <c r="A2001" s="4" t="n"/>
      <c r="B2001" s="5" t="n"/>
      <c r="C2001" s="5" t="n"/>
      <c r="D2001" s="5" t="n"/>
      <c r="E2001" s="6">
        <f>IF(A2001="","","B"&amp;TEXT(COUNT($A$2:A2001),"00000"))</f>
        <v/>
      </c>
      <c r="F2001" s="6">
        <f>IF(OR(C2001="",D2001=""),"",IFERROR(LOOKUP(2,1/(($C$1:C2000=C2001)*($D$1:D2000=D2001)*ISNUMBER($J$1:J2000)),$J$1:J2000),SUMIFS(Master!$G$2:$G$13,Master!$E$2:$E$13,C2001,Master!$F$2:$F$13,D2001)))</f>
        <v/>
      </c>
      <c r="G2001" s="5" t="n"/>
      <c r="H2001" s="5" t="n"/>
      <c r="I2001" s="5" t="n"/>
      <c r="J2001" s="6">
        <f>IF(OR(F2001="",COUNT(G2001:I2001)&lt;3),"",F2001+G2001-H2001-I2001)</f>
        <v/>
      </c>
      <c r="K2001" s="6">
        <f>IF(COUNTA(A2001:D2001,G2001:I2001)=0,"",IF(COUNTA(A2001:D2001,G2001:I2001)&lt;7,"LENGKAPI",IF(H2001+I2001&gt;N(F2001)+G2001,"ABNORMAL",IF(COUNTIFS($A$2:$A$2001,A2001,$B$2:$B$2001,B2001,$C$2:$C$2001,C2001,$D$2:$D$2001,D2001)&gt;1,"DUPLIKAT","OK"))))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 password="DEF5"/>
  <conditionalFormatting sqref="K2:K2001">
    <cfRule type="expression" priority="1" dxfId="0">
      <formula>AND(K2&lt;&gt;"",K2&lt;&gt;"OK")</formula>
    </cfRule>
  </conditionalFormatting>
  <dataValidations count="7">
    <dataValidation sqref="A2:A2001" showDropDown="0" showInputMessage="0" showErrorMessage="1" allowBlank="1" errorTitle="Tanggal" error="Tanggal harus 2026-07-01 sampai 2026-09-30." type="date" operator="between">
      <formula1>DATE(2026,7,1)</formula1>
      <formula2>DATE(2026,9,30)</formula2>
    </dataValidation>
    <dataValidation sqref="B2:B2001" showDropDown="0" showInputMessage="0" showErrorMessage="1" allowBlank="1" errorTitle="Pilihan" error="Pilih dari daftar." type="list">
      <formula1>=ListShift</formula1>
    </dataValidation>
    <dataValidation sqref="C2:C2001" showDropDown="0" showInputMessage="0" showErrorMessage="1" allowBlank="1" errorTitle="Pilihan" error="Pilih dari daftar." type="list">
      <formula1>=ListModel</formula1>
    </dataValidation>
    <dataValidation sqref="D2:D2001" showDropDown="0" showInputMessage="0" showErrorMessage="1" allowBlank="1" errorTitle="Pilihan" error="Pilih dari daftar." type="list">
      <formula1>=ListStasiun</formula1>
    </dataValidation>
    <dataValidation sqref="G2:G2001" showDropDown="0" showInputMessage="0" showErrorMessage="1" allowBlank="1" errorTitle="Angka" error="Isi bilangan bulat &gt;= 0." type="whole" operator="greaterThanOrEqual">
      <formula1>0</formula1>
    </dataValidation>
    <dataValidation sqref="H2:H2001" showDropDown="0" showInputMessage="0" showErrorMessage="1" allowBlank="1" errorTitle="Qty OK" error="Bilangan bulat &gt;= 0 dan OK + Scrap tidak boleh melebihi Sisa Awal + Diterima." type="custom">
      <formula1>=AND(ISNUMBER(H2),H2&gt;=0,H2=INT(H2),H2+N(I2)&lt;=N(F2)+N(G2))</formula1>
    </dataValidation>
    <dataValidation sqref="I2:I2001" showDropDown="0" showInputMessage="0" showErrorMessage="1" allowBlank="1" errorTitle="Qty Scrap" error="Bilangan bulat &gt;= 0 dan OK + Scrap tidak boleh melebihi Sisa Awal + Diterima." type="custom">
      <formula1>=AND(ISNUMBER(I2),I2&gt;=0,I2=INT(I2),N(H2)+I2&lt;=N(F2)+N(G2))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Shift</t>
        </is>
      </c>
      <c r="B1" s="7" t="inlineStr">
        <is>
          <t>Model</t>
        </is>
      </c>
      <c r="C1" s="7" t="inlineStr">
        <is>
          <t>Stasiun Asal</t>
        </is>
      </c>
      <c r="E1" s="7" t="inlineStr">
        <is>
          <t>Model</t>
        </is>
      </c>
      <c r="F1" s="7" t="inlineStr">
        <is>
          <t>Stasiun Asal</t>
        </is>
      </c>
      <c r="G1" s="7" t="inlineStr">
        <is>
          <t>Saldo awal</t>
        </is>
      </c>
    </row>
    <row r="2">
      <c r="A2" t="inlineStr">
        <is>
          <t>Shift 1</t>
        </is>
      </c>
      <c r="B2" t="inlineStr">
        <is>
          <t>PCB-A1</t>
        </is>
      </c>
      <c r="C2" t="inlineStr">
        <is>
          <t>Stasiun SMT</t>
        </is>
      </c>
      <c r="E2" t="inlineStr">
        <is>
          <t>PCB-A1</t>
        </is>
      </c>
      <c r="F2" t="inlineStr">
        <is>
          <t>Stasiun SMT</t>
        </is>
      </c>
      <c r="G2" t="n">
        <v>0</v>
      </c>
    </row>
    <row r="3">
      <c r="A3" t="inlineStr">
        <is>
          <t>Shift 2</t>
        </is>
      </c>
      <c r="B3" t="inlineStr">
        <is>
          <t>PCB-A2</t>
        </is>
      </c>
      <c r="C3" t="inlineStr">
        <is>
          <t>Stasiun AOI</t>
        </is>
      </c>
      <c r="E3" t="inlineStr">
        <is>
          <t>PCB-A1</t>
        </is>
      </c>
      <c r="F3" t="inlineStr">
        <is>
          <t>Stasiun AOI</t>
        </is>
      </c>
      <c r="G3" t="n">
        <v>0</v>
      </c>
    </row>
    <row r="4">
      <c r="B4" t="inlineStr">
        <is>
          <t>PCB-B1</t>
        </is>
      </c>
      <c r="C4" t="inlineStr">
        <is>
          <t>Stasiun ICT</t>
        </is>
      </c>
      <c r="E4" t="inlineStr">
        <is>
          <t>PCB-A1</t>
        </is>
      </c>
      <c r="F4" t="inlineStr">
        <is>
          <t>Stasiun ICT</t>
        </is>
      </c>
      <c r="G4" t="n">
        <v>0</v>
      </c>
    </row>
    <row r="5">
      <c r="B5" t="inlineStr">
        <is>
          <t>PCB-B2</t>
        </is>
      </c>
      <c r="E5" t="inlineStr">
        <is>
          <t>PCB-A2</t>
        </is>
      </c>
      <c r="F5" t="inlineStr">
        <is>
          <t>Stasiun SMT</t>
        </is>
      </c>
      <c r="G5" t="n">
        <v>0</v>
      </c>
    </row>
    <row r="6">
      <c r="E6" t="inlineStr">
        <is>
          <t>PCB-A2</t>
        </is>
      </c>
      <c r="F6" t="inlineStr">
        <is>
          <t>Stasiun AOI</t>
        </is>
      </c>
      <c r="G6" t="n">
        <v>0</v>
      </c>
    </row>
    <row r="7">
      <c r="E7" t="inlineStr">
        <is>
          <t>PCB-A2</t>
        </is>
      </c>
      <c r="F7" t="inlineStr">
        <is>
          <t>Stasiun ICT</t>
        </is>
      </c>
      <c r="G7" t="n">
        <v>0</v>
      </c>
    </row>
    <row r="8">
      <c r="E8" t="inlineStr">
        <is>
          <t>PCB-B1</t>
        </is>
      </c>
      <c r="F8" t="inlineStr">
        <is>
          <t>Stasiun SMT</t>
        </is>
      </c>
      <c r="G8" t="n">
        <v>0</v>
      </c>
    </row>
    <row r="9">
      <c r="E9" t="inlineStr">
        <is>
          <t>PCB-B1</t>
        </is>
      </c>
      <c r="F9" t="inlineStr">
        <is>
          <t>Stasiun AOI</t>
        </is>
      </c>
      <c r="G9" t="n">
        <v>0</v>
      </c>
    </row>
    <row r="10">
      <c r="E10" t="inlineStr">
        <is>
          <t>PCB-B1</t>
        </is>
      </c>
      <c r="F10" t="inlineStr">
        <is>
          <t>Stasiun ICT</t>
        </is>
      </c>
      <c r="G10" t="n">
        <v>0</v>
      </c>
    </row>
    <row r="11">
      <c r="E11" t="inlineStr">
        <is>
          <t>PCB-B2</t>
        </is>
      </c>
      <c r="F11" t="inlineStr">
        <is>
          <t>Stasiun SMT</t>
        </is>
      </c>
      <c r="G11" t="n">
        <v>0</v>
      </c>
    </row>
    <row r="12">
      <c r="E12" t="inlineStr">
        <is>
          <t>PCB-B2</t>
        </is>
      </c>
      <c r="F12" t="inlineStr">
        <is>
          <t>Stasiun AOI</t>
        </is>
      </c>
      <c r="G12" t="n">
        <v>0</v>
      </c>
    </row>
    <row r="13">
      <c r="E13" t="inlineStr">
        <is>
          <t>PCB-B2</t>
        </is>
      </c>
      <c r="F13" t="inlineStr">
        <is>
          <t>Stasiun ICT</t>
        </is>
      </c>
      <c r="G13" t="n">
        <v>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EF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8" t="inlineStr">
        <is>
          <t>Bulan</t>
        </is>
      </c>
      <c r="B1" s="8" t="inlineStr">
        <is>
          <t>Model</t>
        </is>
      </c>
      <c r="C1" s="8" t="inlineStr">
        <is>
          <t>Jumlah entri</t>
        </is>
      </c>
      <c r="D1" s="8" t="inlineStr">
        <is>
          <t>Qty Diterima</t>
        </is>
      </c>
      <c r="E1" s="8" t="inlineStr">
        <is>
          <t>Qty OK</t>
        </is>
      </c>
      <c r="F1" s="8" t="inlineStr">
        <is>
          <t>Qty Scrap</t>
        </is>
      </c>
      <c r="G1" s="8" t="inlineStr">
        <is>
          <t>Entri bertanda (bukan OK)</t>
        </is>
      </c>
    </row>
    <row r="2">
      <c r="A2" t="inlineStr">
        <is>
          <t>2026-07</t>
        </is>
      </c>
      <c r="B2" t="inlineStr">
        <is>
          <t>PCB-A1</t>
        </is>
      </c>
      <c r="C2">
        <f>COUNTIFS(Log!$A$2:$A$2001,"&gt;="&amp;DATE(2026,7,1),Log!$A$2:$A$2001,"&lt;"&amp;DATE(2026,8,1),Log!$C$2:$C$2001,$B2)</f>
        <v/>
      </c>
      <c r="D2">
        <f>SUMIFS(Log!$G$2:$G$2001,Log!$A$2:$A$2001,"&gt;="&amp;DATE(2026,7,1),Log!$A$2:$A$2001,"&lt;"&amp;DATE(2026,8,1),Log!$C$2:$C$2001,$B2)</f>
        <v/>
      </c>
      <c r="E2">
        <f>SUMIFS(Log!$H$2:$H$2001,Log!$A$2:$A$2001,"&gt;="&amp;DATE(2026,7,1),Log!$A$2:$A$2001,"&lt;"&amp;DATE(2026,8,1),Log!$C$2:$C$2001,$B2)</f>
        <v/>
      </c>
      <c r="F2">
        <f>SUMIFS(Log!$I$2:$I$2001,Log!$A$2:$A$2001,"&gt;="&amp;DATE(2026,7,1),Log!$A$2:$A$2001,"&lt;"&amp;DATE(2026,8,1),Log!$C$2:$C$2001,$B2)</f>
        <v/>
      </c>
      <c r="G2">
        <f>COUNTIFS(Log!$A$2:$A$2001,"&gt;="&amp;DATE(2026,7,1),Log!$A$2:$A$2001,"&lt;"&amp;DATE(2026,8,1),Log!$C$2:$C$2001,$B2,Log!$K$2:$K$2001,"&lt;&gt;OK",Log!$K$2:$K$2001,"&lt;&gt;")</f>
        <v/>
      </c>
    </row>
    <row r="3">
      <c r="A3" t="inlineStr">
        <is>
          <t>2026-07</t>
        </is>
      </c>
      <c r="B3" t="inlineStr">
        <is>
          <t>PCB-A2</t>
        </is>
      </c>
      <c r="C3">
        <f>COUNTIFS(Log!$A$2:$A$2001,"&gt;="&amp;DATE(2026,7,1),Log!$A$2:$A$2001,"&lt;"&amp;DATE(2026,8,1),Log!$C$2:$C$2001,$B3)</f>
        <v/>
      </c>
      <c r="D3">
        <f>SUMIFS(Log!$G$2:$G$2001,Log!$A$2:$A$2001,"&gt;="&amp;DATE(2026,7,1),Log!$A$2:$A$2001,"&lt;"&amp;DATE(2026,8,1),Log!$C$2:$C$2001,$B3)</f>
        <v/>
      </c>
      <c r="E3">
        <f>SUMIFS(Log!$H$2:$H$2001,Log!$A$2:$A$2001,"&gt;="&amp;DATE(2026,7,1),Log!$A$2:$A$2001,"&lt;"&amp;DATE(2026,8,1),Log!$C$2:$C$2001,$B3)</f>
        <v/>
      </c>
      <c r="F3">
        <f>SUMIFS(Log!$I$2:$I$2001,Log!$A$2:$A$2001,"&gt;="&amp;DATE(2026,7,1),Log!$A$2:$A$2001,"&lt;"&amp;DATE(2026,8,1),Log!$C$2:$C$2001,$B3)</f>
        <v/>
      </c>
      <c r="G3">
        <f>COUNTIFS(Log!$A$2:$A$2001,"&gt;="&amp;DATE(2026,7,1),Log!$A$2:$A$2001,"&lt;"&amp;DATE(2026,8,1),Log!$C$2:$C$2001,$B3,Log!$K$2:$K$2001,"&lt;&gt;OK",Log!$K$2:$K$2001,"&lt;&gt;")</f>
        <v/>
      </c>
    </row>
    <row r="4">
      <c r="A4" t="inlineStr">
        <is>
          <t>2026-07</t>
        </is>
      </c>
      <c r="B4" t="inlineStr">
        <is>
          <t>PCB-B1</t>
        </is>
      </c>
      <c r="C4">
        <f>COUNTIFS(Log!$A$2:$A$2001,"&gt;="&amp;DATE(2026,7,1),Log!$A$2:$A$2001,"&lt;"&amp;DATE(2026,8,1),Log!$C$2:$C$2001,$B4)</f>
        <v/>
      </c>
      <c r="D4">
        <f>SUMIFS(Log!$G$2:$G$2001,Log!$A$2:$A$2001,"&gt;="&amp;DATE(2026,7,1),Log!$A$2:$A$2001,"&lt;"&amp;DATE(2026,8,1),Log!$C$2:$C$2001,$B4)</f>
        <v/>
      </c>
      <c r="E4">
        <f>SUMIFS(Log!$H$2:$H$2001,Log!$A$2:$A$2001,"&gt;="&amp;DATE(2026,7,1),Log!$A$2:$A$2001,"&lt;"&amp;DATE(2026,8,1),Log!$C$2:$C$2001,$B4)</f>
        <v/>
      </c>
      <c r="F4">
        <f>SUMIFS(Log!$I$2:$I$2001,Log!$A$2:$A$2001,"&gt;="&amp;DATE(2026,7,1),Log!$A$2:$A$2001,"&lt;"&amp;DATE(2026,8,1),Log!$C$2:$C$2001,$B4)</f>
        <v/>
      </c>
      <c r="G4">
        <f>COUNTIFS(Log!$A$2:$A$2001,"&gt;="&amp;DATE(2026,7,1),Log!$A$2:$A$2001,"&lt;"&amp;DATE(2026,8,1),Log!$C$2:$C$2001,$B4,Log!$K$2:$K$2001,"&lt;&gt;OK",Log!$K$2:$K$2001,"&lt;&gt;")</f>
        <v/>
      </c>
    </row>
    <row r="5">
      <c r="A5" t="inlineStr">
        <is>
          <t>2026-07</t>
        </is>
      </c>
      <c r="B5" t="inlineStr">
        <is>
          <t>PCB-B2</t>
        </is>
      </c>
      <c r="C5">
        <f>COUNTIFS(Log!$A$2:$A$2001,"&gt;="&amp;DATE(2026,7,1),Log!$A$2:$A$2001,"&lt;"&amp;DATE(2026,8,1),Log!$C$2:$C$2001,$B5)</f>
        <v/>
      </c>
      <c r="D5">
        <f>SUMIFS(Log!$G$2:$G$2001,Log!$A$2:$A$2001,"&gt;="&amp;DATE(2026,7,1),Log!$A$2:$A$2001,"&lt;"&amp;DATE(2026,8,1),Log!$C$2:$C$2001,$B5)</f>
        <v/>
      </c>
      <c r="E5">
        <f>SUMIFS(Log!$H$2:$H$2001,Log!$A$2:$A$2001,"&gt;="&amp;DATE(2026,7,1),Log!$A$2:$A$2001,"&lt;"&amp;DATE(2026,8,1),Log!$C$2:$C$2001,$B5)</f>
        <v/>
      </c>
      <c r="F5">
        <f>SUMIFS(Log!$I$2:$I$2001,Log!$A$2:$A$2001,"&gt;="&amp;DATE(2026,7,1),Log!$A$2:$A$2001,"&lt;"&amp;DATE(2026,8,1),Log!$C$2:$C$2001,$B5)</f>
        <v/>
      </c>
      <c r="G5">
        <f>COUNTIFS(Log!$A$2:$A$2001,"&gt;="&amp;DATE(2026,7,1),Log!$A$2:$A$2001,"&lt;"&amp;DATE(2026,8,1),Log!$C$2:$C$2001,$B5,Log!$K$2:$K$2001,"&lt;&gt;OK",Log!$K$2:$K$2001,"&lt;&gt;")</f>
        <v/>
      </c>
    </row>
    <row r="6">
      <c r="A6" t="inlineStr">
        <is>
          <t>2026-08</t>
        </is>
      </c>
      <c r="B6" t="inlineStr">
        <is>
          <t>PCB-A1</t>
        </is>
      </c>
      <c r="C6">
        <f>COUNTIFS(Log!$A$2:$A$2001,"&gt;="&amp;DATE(2026,8,1),Log!$A$2:$A$2001,"&lt;"&amp;DATE(2026,9,1),Log!$C$2:$C$2001,$B6)</f>
        <v/>
      </c>
      <c r="D6">
        <f>SUMIFS(Log!$G$2:$G$2001,Log!$A$2:$A$2001,"&gt;="&amp;DATE(2026,8,1),Log!$A$2:$A$2001,"&lt;"&amp;DATE(2026,9,1),Log!$C$2:$C$2001,$B6)</f>
        <v/>
      </c>
      <c r="E6">
        <f>SUMIFS(Log!$H$2:$H$2001,Log!$A$2:$A$2001,"&gt;="&amp;DATE(2026,8,1),Log!$A$2:$A$2001,"&lt;"&amp;DATE(2026,9,1),Log!$C$2:$C$2001,$B6)</f>
        <v/>
      </c>
      <c r="F6">
        <f>SUMIFS(Log!$I$2:$I$2001,Log!$A$2:$A$2001,"&gt;="&amp;DATE(2026,8,1),Log!$A$2:$A$2001,"&lt;"&amp;DATE(2026,9,1),Log!$C$2:$C$2001,$B6)</f>
        <v/>
      </c>
      <c r="G6">
        <f>COUNTIFS(Log!$A$2:$A$2001,"&gt;="&amp;DATE(2026,8,1),Log!$A$2:$A$2001,"&lt;"&amp;DATE(2026,9,1),Log!$C$2:$C$2001,$B6,Log!$K$2:$K$2001,"&lt;&gt;OK",Log!$K$2:$K$2001,"&lt;&gt;")</f>
        <v/>
      </c>
    </row>
    <row r="7">
      <c r="A7" t="inlineStr">
        <is>
          <t>2026-08</t>
        </is>
      </c>
      <c r="B7" t="inlineStr">
        <is>
          <t>PCB-A2</t>
        </is>
      </c>
      <c r="C7">
        <f>COUNTIFS(Log!$A$2:$A$2001,"&gt;="&amp;DATE(2026,8,1),Log!$A$2:$A$2001,"&lt;"&amp;DATE(2026,9,1),Log!$C$2:$C$2001,$B7)</f>
        <v/>
      </c>
      <c r="D7">
        <f>SUMIFS(Log!$G$2:$G$2001,Log!$A$2:$A$2001,"&gt;="&amp;DATE(2026,8,1),Log!$A$2:$A$2001,"&lt;"&amp;DATE(2026,9,1),Log!$C$2:$C$2001,$B7)</f>
        <v/>
      </c>
      <c r="E7">
        <f>SUMIFS(Log!$H$2:$H$2001,Log!$A$2:$A$2001,"&gt;="&amp;DATE(2026,8,1),Log!$A$2:$A$2001,"&lt;"&amp;DATE(2026,9,1),Log!$C$2:$C$2001,$B7)</f>
        <v/>
      </c>
      <c r="F7">
        <f>SUMIFS(Log!$I$2:$I$2001,Log!$A$2:$A$2001,"&gt;="&amp;DATE(2026,8,1),Log!$A$2:$A$2001,"&lt;"&amp;DATE(2026,9,1),Log!$C$2:$C$2001,$B7)</f>
        <v/>
      </c>
      <c r="G7">
        <f>COUNTIFS(Log!$A$2:$A$2001,"&gt;="&amp;DATE(2026,8,1),Log!$A$2:$A$2001,"&lt;"&amp;DATE(2026,9,1),Log!$C$2:$C$2001,$B7,Log!$K$2:$K$2001,"&lt;&gt;OK",Log!$K$2:$K$2001,"&lt;&gt;")</f>
        <v/>
      </c>
    </row>
    <row r="8">
      <c r="A8" t="inlineStr">
        <is>
          <t>2026-08</t>
        </is>
      </c>
      <c r="B8" t="inlineStr">
        <is>
          <t>PCB-B1</t>
        </is>
      </c>
      <c r="C8">
        <f>COUNTIFS(Log!$A$2:$A$2001,"&gt;="&amp;DATE(2026,8,1),Log!$A$2:$A$2001,"&lt;"&amp;DATE(2026,9,1),Log!$C$2:$C$2001,$B8)</f>
        <v/>
      </c>
      <c r="D8">
        <f>SUMIFS(Log!$G$2:$G$2001,Log!$A$2:$A$2001,"&gt;="&amp;DATE(2026,8,1),Log!$A$2:$A$2001,"&lt;"&amp;DATE(2026,9,1),Log!$C$2:$C$2001,$B8)</f>
        <v/>
      </c>
      <c r="E8">
        <f>SUMIFS(Log!$H$2:$H$2001,Log!$A$2:$A$2001,"&gt;="&amp;DATE(2026,8,1),Log!$A$2:$A$2001,"&lt;"&amp;DATE(2026,9,1),Log!$C$2:$C$2001,$B8)</f>
        <v/>
      </c>
      <c r="F8">
        <f>SUMIFS(Log!$I$2:$I$2001,Log!$A$2:$A$2001,"&gt;="&amp;DATE(2026,8,1),Log!$A$2:$A$2001,"&lt;"&amp;DATE(2026,9,1),Log!$C$2:$C$2001,$B8)</f>
        <v/>
      </c>
      <c r="G8">
        <f>COUNTIFS(Log!$A$2:$A$2001,"&gt;="&amp;DATE(2026,8,1),Log!$A$2:$A$2001,"&lt;"&amp;DATE(2026,9,1),Log!$C$2:$C$2001,$B8,Log!$K$2:$K$2001,"&lt;&gt;OK",Log!$K$2:$K$2001,"&lt;&gt;")</f>
        <v/>
      </c>
    </row>
    <row r="9">
      <c r="A9" t="inlineStr">
        <is>
          <t>2026-08</t>
        </is>
      </c>
      <c r="B9" t="inlineStr">
        <is>
          <t>PCB-B2</t>
        </is>
      </c>
      <c r="C9">
        <f>COUNTIFS(Log!$A$2:$A$2001,"&gt;="&amp;DATE(2026,8,1),Log!$A$2:$A$2001,"&lt;"&amp;DATE(2026,9,1),Log!$C$2:$C$2001,$B9)</f>
        <v/>
      </c>
      <c r="D9">
        <f>SUMIFS(Log!$G$2:$G$2001,Log!$A$2:$A$2001,"&gt;="&amp;DATE(2026,8,1),Log!$A$2:$A$2001,"&lt;"&amp;DATE(2026,9,1),Log!$C$2:$C$2001,$B9)</f>
        <v/>
      </c>
      <c r="E9">
        <f>SUMIFS(Log!$H$2:$H$2001,Log!$A$2:$A$2001,"&gt;="&amp;DATE(2026,8,1),Log!$A$2:$A$2001,"&lt;"&amp;DATE(2026,9,1),Log!$C$2:$C$2001,$B9)</f>
        <v/>
      </c>
      <c r="F9">
        <f>SUMIFS(Log!$I$2:$I$2001,Log!$A$2:$A$2001,"&gt;="&amp;DATE(2026,8,1),Log!$A$2:$A$2001,"&lt;"&amp;DATE(2026,9,1),Log!$C$2:$C$2001,$B9)</f>
        <v/>
      </c>
      <c r="G9">
        <f>COUNTIFS(Log!$A$2:$A$2001,"&gt;="&amp;DATE(2026,8,1),Log!$A$2:$A$2001,"&lt;"&amp;DATE(2026,9,1),Log!$C$2:$C$2001,$B9,Log!$K$2:$K$2001,"&lt;&gt;OK",Log!$K$2:$K$2001,"&lt;&gt;")</f>
        <v/>
      </c>
    </row>
    <row r="10">
      <c r="A10" t="inlineStr">
        <is>
          <t>2026-09</t>
        </is>
      </c>
      <c r="B10" t="inlineStr">
        <is>
          <t>PCB-A1</t>
        </is>
      </c>
      <c r="C10">
        <f>COUNTIFS(Log!$A$2:$A$2001,"&gt;="&amp;DATE(2026,9,1),Log!$A$2:$A$2001,"&lt;"&amp;DATE(2026,10,1),Log!$C$2:$C$2001,$B10)</f>
        <v/>
      </c>
      <c r="D10">
        <f>SUMIFS(Log!$G$2:$G$2001,Log!$A$2:$A$2001,"&gt;="&amp;DATE(2026,9,1),Log!$A$2:$A$2001,"&lt;"&amp;DATE(2026,10,1),Log!$C$2:$C$2001,$B10)</f>
        <v/>
      </c>
      <c r="E10">
        <f>SUMIFS(Log!$H$2:$H$2001,Log!$A$2:$A$2001,"&gt;="&amp;DATE(2026,9,1),Log!$A$2:$A$2001,"&lt;"&amp;DATE(2026,10,1),Log!$C$2:$C$2001,$B10)</f>
        <v/>
      </c>
      <c r="F10">
        <f>SUMIFS(Log!$I$2:$I$2001,Log!$A$2:$A$2001,"&gt;="&amp;DATE(2026,9,1),Log!$A$2:$A$2001,"&lt;"&amp;DATE(2026,10,1),Log!$C$2:$C$2001,$B10)</f>
        <v/>
      </c>
      <c r="G10">
        <f>COUNTIFS(Log!$A$2:$A$2001,"&gt;="&amp;DATE(2026,9,1),Log!$A$2:$A$2001,"&lt;"&amp;DATE(2026,10,1),Log!$C$2:$C$2001,$B10,Log!$K$2:$K$2001,"&lt;&gt;OK",Log!$K$2:$K$2001,"&lt;&gt;")</f>
        <v/>
      </c>
    </row>
    <row r="11">
      <c r="A11" t="inlineStr">
        <is>
          <t>2026-09</t>
        </is>
      </c>
      <c r="B11" t="inlineStr">
        <is>
          <t>PCB-A2</t>
        </is>
      </c>
      <c r="C11">
        <f>COUNTIFS(Log!$A$2:$A$2001,"&gt;="&amp;DATE(2026,9,1),Log!$A$2:$A$2001,"&lt;"&amp;DATE(2026,10,1),Log!$C$2:$C$2001,$B11)</f>
        <v/>
      </c>
      <c r="D11">
        <f>SUMIFS(Log!$G$2:$G$2001,Log!$A$2:$A$2001,"&gt;="&amp;DATE(2026,9,1),Log!$A$2:$A$2001,"&lt;"&amp;DATE(2026,10,1),Log!$C$2:$C$2001,$B11)</f>
        <v/>
      </c>
      <c r="E11">
        <f>SUMIFS(Log!$H$2:$H$2001,Log!$A$2:$A$2001,"&gt;="&amp;DATE(2026,9,1),Log!$A$2:$A$2001,"&lt;"&amp;DATE(2026,10,1),Log!$C$2:$C$2001,$B11)</f>
        <v/>
      </c>
      <c r="F11">
        <f>SUMIFS(Log!$I$2:$I$2001,Log!$A$2:$A$2001,"&gt;="&amp;DATE(2026,9,1),Log!$A$2:$A$2001,"&lt;"&amp;DATE(2026,10,1),Log!$C$2:$C$2001,$B11)</f>
        <v/>
      </c>
      <c r="G11">
        <f>COUNTIFS(Log!$A$2:$A$2001,"&gt;="&amp;DATE(2026,9,1),Log!$A$2:$A$2001,"&lt;"&amp;DATE(2026,10,1),Log!$C$2:$C$2001,$B11,Log!$K$2:$K$2001,"&lt;&gt;OK",Log!$K$2:$K$2001,"&lt;&gt;")</f>
        <v/>
      </c>
    </row>
    <row r="12">
      <c r="A12" t="inlineStr">
        <is>
          <t>2026-09</t>
        </is>
      </c>
      <c r="B12" t="inlineStr">
        <is>
          <t>PCB-B1</t>
        </is>
      </c>
      <c r="C12">
        <f>COUNTIFS(Log!$A$2:$A$2001,"&gt;="&amp;DATE(2026,9,1),Log!$A$2:$A$2001,"&lt;"&amp;DATE(2026,10,1),Log!$C$2:$C$2001,$B12)</f>
        <v/>
      </c>
      <c r="D12">
        <f>SUMIFS(Log!$G$2:$G$2001,Log!$A$2:$A$2001,"&gt;="&amp;DATE(2026,9,1),Log!$A$2:$A$2001,"&lt;"&amp;DATE(2026,10,1),Log!$C$2:$C$2001,$B12)</f>
        <v/>
      </c>
      <c r="E12">
        <f>SUMIFS(Log!$H$2:$H$2001,Log!$A$2:$A$2001,"&gt;="&amp;DATE(2026,9,1),Log!$A$2:$A$2001,"&lt;"&amp;DATE(2026,10,1),Log!$C$2:$C$2001,$B12)</f>
        <v/>
      </c>
      <c r="F12">
        <f>SUMIFS(Log!$I$2:$I$2001,Log!$A$2:$A$2001,"&gt;="&amp;DATE(2026,9,1),Log!$A$2:$A$2001,"&lt;"&amp;DATE(2026,10,1),Log!$C$2:$C$2001,$B12)</f>
        <v/>
      </c>
      <c r="G12">
        <f>COUNTIFS(Log!$A$2:$A$2001,"&gt;="&amp;DATE(2026,9,1),Log!$A$2:$A$2001,"&lt;"&amp;DATE(2026,10,1),Log!$C$2:$C$2001,$B12,Log!$K$2:$K$2001,"&lt;&gt;OK",Log!$K$2:$K$2001,"&lt;&gt;")</f>
        <v/>
      </c>
    </row>
    <row r="13">
      <c r="A13" t="inlineStr">
        <is>
          <t>2026-09</t>
        </is>
      </c>
      <c r="B13" t="inlineStr">
        <is>
          <t>PCB-B2</t>
        </is>
      </c>
      <c r="C13">
        <f>COUNTIFS(Log!$A$2:$A$2001,"&gt;="&amp;DATE(2026,9,1),Log!$A$2:$A$2001,"&lt;"&amp;DATE(2026,10,1),Log!$C$2:$C$2001,$B13)</f>
        <v/>
      </c>
      <c r="D13">
        <f>SUMIFS(Log!$G$2:$G$2001,Log!$A$2:$A$2001,"&gt;="&amp;DATE(2026,9,1),Log!$A$2:$A$2001,"&lt;"&amp;DATE(2026,10,1),Log!$C$2:$C$2001,$B13)</f>
        <v/>
      </c>
      <c r="E13">
        <f>SUMIFS(Log!$H$2:$H$2001,Log!$A$2:$A$2001,"&gt;="&amp;DATE(2026,9,1),Log!$A$2:$A$2001,"&lt;"&amp;DATE(2026,10,1),Log!$C$2:$C$2001,$B13)</f>
        <v/>
      </c>
      <c r="F13">
        <f>SUMIFS(Log!$I$2:$I$2001,Log!$A$2:$A$2001,"&gt;="&amp;DATE(2026,9,1),Log!$A$2:$A$2001,"&lt;"&amp;DATE(2026,10,1),Log!$C$2:$C$2001,$B13)</f>
        <v/>
      </c>
      <c r="G13">
        <f>COUNTIFS(Log!$A$2:$A$2001,"&gt;="&amp;DATE(2026,9,1),Log!$A$2:$A$2001,"&lt;"&amp;DATE(2026,10,1),Log!$C$2:$C$2001,$B13,Log!$K$2:$K$2001,"&lt;&gt;OK",Log!$K$2:$K$2001,"&lt;&gt;")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EF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2026-10-28T17:06:59Z</dcterms:created>
  <dcterms:modified xmlns:dcterms="http://purl.org/dc/terms/" xmlns:xsi="http://www.w3.org/2001/XMLSchema-instance" xsi:type="dcterms:W3CDTF">2026-10-28T17:07:01Z</dcterms:modified>
</cp:coreProperties>
</file>